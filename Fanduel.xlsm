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4" activeTab="7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23" i="19" l="1"/>
  <c r="D24" i="19"/>
  <c r="D25" i="19"/>
  <c r="D26" i="19"/>
  <c r="D27" i="19"/>
  <c r="D28" i="19"/>
  <c r="D29" i="19"/>
  <c r="D30" i="19"/>
  <c r="D22" i="19"/>
  <c r="D34" i="19"/>
  <c r="D35" i="19"/>
  <c r="D36" i="19"/>
  <c r="D37" i="19"/>
  <c r="D38" i="19"/>
  <c r="D39" i="19"/>
  <c r="D40" i="19"/>
  <c r="D41" i="19"/>
  <c r="D33" i="19"/>
  <c r="D48" i="19"/>
  <c r="D49" i="19"/>
  <c r="D50" i="19"/>
  <c r="D51" i="19"/>
  <c r="D52" i="19"/>
  <c r="D53" i="19"/>
  <c r="D54" i="19"/>
  <c r="D55" i="19"/>
  <c r="D47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<sst xmlns="http://schemas.openxmlformats.org/spreadsheetml/2006/main" count="2692" uniqueCount="1547">
  <si>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</si>
  <si>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</si>
  <si>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</si>
  <si>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</si>
  <si>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</si>
  <si>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</si>
  <si>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</si>
  <si>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</si>
  <si>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</si>
  <si>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</si>
  <si>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</si>
  <si>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</si>
  <si>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</si>
  <si>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</si>
  <si>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</si>
  <si>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</si>
  <si>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</si>
  <si>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</si>
  <si>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</si>
  <si>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</si>
  <si>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</si>
  <si>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</si>
  <si>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</si>
  <si>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</si>
  <si>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</si>
  <si>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</si>
  <si>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</si>
  <si>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</si>
  <si>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</si>
  <si>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</si>
  <si>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</si>
  <si>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</si>
  <si>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</si>
  <si>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</si>
  <si>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</si>
  <si>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</si>
  <si>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</si>
  <si>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</si>
  <si>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</si>
  <si>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</si>
  <si>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</si>
  <si>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</si>
  <si>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</si>
  <si>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</si>
  <si>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</si>
  <si>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</si>
  <si>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</si>
  <si>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</si>
  <si>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</si>
  <si>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</si>
  <si>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</si>
  <si>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</si>
  <si>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</si>
  <si>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</si>
  <si>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</si>
  <si>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</si>
  <si>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</si>
  <si>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</si>
  <si>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</si>
  <si>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</si>
  <si>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</si>
  <si>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</si>
  <si>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</si>
  <si>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</si>
  <si>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</si>
  <si>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</si>
  <si>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</si>
  <si>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</si>
  <si>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</si>
  <si>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</si>
  <si>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</si>
  <si>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</si>
  <si>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</si>
  <si>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</si>
  <si>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</si>
  <si>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</si>
  <si>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</si>
  <si>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</si>
  <si>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</si>
  <si>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</si>
  <si>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</si>
  <si>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</si>
  <si>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</si>
  <si>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</si>
  <si>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</si>
  <si>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</si>
  <si>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</si>
  <si>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</si>
  <si>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</si>
  <si>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</si>
  <si>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</si>
  <si>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</si>
  <si>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</si>
  <si>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</si>
  <si>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</si>
  <si>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</si>
  <si>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</si>
  <si>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</si>
  <si>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</si>
  <si>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</si>
  <si>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</si>
  <si>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</si>
  <si>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</si>
  <si>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</si>
  <si>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</si>
  <si>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</si>
  <si>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</si>
  <si>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</si>
  <si>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</si>
  <si>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</si>
  <si>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</si>
  <si>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</si>
  <si>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</si>
  <si>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</si>
  <si>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</si>
  <si>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</si>
  <si>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</si>
  <si>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</si>
  <si>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</si>
  <si>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</si>
  <si>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</si>
  <si>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</si>
  <si>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</si>
  <si>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</si>
  <si>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</si>
  <si>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</si>
  <si>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</si>
  <si>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</si>
  <si>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</si>
  <si>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</si>
  <si>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</si>
  <si>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</si>
  <si>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</si>
  <si>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</si>
  <si>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</si>
  <si>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</si>
  <si>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</si>
  <si>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</si>
  <si>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</si>
  <si>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</si>
  <si>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</si>
  <si>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</si>
  <si>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</si>
  <si>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</si>
  <si>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</si>
  <si>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</si>
  <si>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</si>
  <si>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</si>
  <si>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</si>
  <si>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</si>
  <si>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</si>
  <si>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</si>
  <si>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</si>
  <si>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</si>
  <si>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</si>
  <si>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</si>
  <si>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</si>
  <si>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</si>
  <si>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</si>
  <si>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</si>
  <si>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</si>
  <si>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</si>
  <si>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</si>
  <si>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</si>
  <si>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</si>
  <si>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</si>
  <si>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</si>
  <si>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</si>
  <si>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</si>
  <si>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</si>
  <si>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</si>
  <si>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</si>
  <si>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</si>
  <si>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</si>
  <si>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</si>
  <si>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</si>
  <si>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</si>
  <si>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</si>
  <si>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</si>
  <si>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</si>
  <si>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</si>
  <si>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</si>
  <si>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</si>
  <si>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</si>
  <si>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</si>
  <si>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</si>
  <si>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</si>
  <si>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</si>
  <si>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</si>
  <si>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</si>
  <si>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</si>
  <si>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</si>
  <si>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</si>
  <si>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</si>
  <si>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</si>
  <si>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</si>
  <si>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</si>
  <si>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</si>
  <si>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</si>
  <si>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</si>
  <si>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</si>
  <si>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</si>
  <si>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</si>
  <si>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</si>
  <si>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</si>
  <si>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</si>
  <si>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</si>
  <si>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</si>
  <si>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</si>
  <si>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</si>
  <si>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</si>
  <si>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</si>
  <si>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</si>
  <si>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</si>
  <si>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</si>
  <si>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</si>
  <si>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</si>
  <si>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</si>
  <si>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</si>
  <si>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</si>
  <si>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</si>
  <si>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</si>
  <si>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</si>
  <si>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</si>
  <si>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</si>
  <si>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</si>
  <si>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</si>
  <si>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</si>
  <si>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</si>
  <si>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</si>
  <si>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</si>
  <si>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</si>
  <si>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</si>
  <si>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</si>
  <si>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</si>
  <si>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</si>
  <si>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</si>
  <si>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</si>
  <si>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</si>
  <si>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</si>
  <si>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</si>
  <si>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</si>
  <si>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</si>
  <si>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</si>
  <si>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</si>
  <si>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</si>
  <si>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</si>
  <si>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</si>
  <si>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</si>
  <si>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</si>
  <si>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</si>
  <si>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</si>
  <si>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</si>
  <si>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</si>
  <si>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</si>
  <si>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</si>
  <si>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</si>
  <si>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</si>
  <si>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</si>
  <si>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</si>
  <si>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</si>
  <si>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</si>
  <si>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</si>
  <si>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</si>
  <si>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</si>
  <si>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</si>
  <si>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</si>
  <si>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</si>
  <si>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</si>
  <si>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</si>
  <si>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</si>
  <si>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</si>
  <si>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</si>
  <si>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</si>
  <si>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</si>
  <si>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</si>
  <si>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</si>
  <si>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</si>
  <si>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</si>
  <si>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</si>
  <si>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</si>
  <si>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</si>
  <si>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</si>
  <si>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</si>
  <si>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</si>
  <si>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</si>
  <si>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</si>
  <si>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</si>
  <si>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</si>
  <si>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</si>
  <si>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</si>
  <si>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</si>
  <si>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</si>
  <si>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</si>
  <si>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</si>
  <si>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</si>
  <si>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</si>
  <si>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</si>
  <si>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</si>
  <si>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</si>
  <si>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</si>
  <si>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</si>
  <si>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</si>
  <si>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</si>
  <si>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</si>
  <si>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</si>
  <si>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</si>
  <si>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</si>
  <si>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</si>
  <si>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</si>
  <si>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</si>
  <si>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</si>
  <si>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</si>
  <si>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</si>
  <si>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</si>
  <si>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</si>
  <si>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</si>
  <si>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</si>
  <si>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</si>
  <si>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</si>
  <si>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</si>
  <si>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</si>
  <si>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</si>
  <si>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</si>
  <si>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</si>
  <si>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</si>
  <si>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</si>
  <si>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</si>
  <si>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</si>
  <si>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</si>
  <si>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</si>
  <si>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</si>
  <si>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</si>
  <si>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</si>
  <si>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</si>
  <si>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</si>
  <si>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</si>
  <si>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</si>
  <si>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</si>
  <si>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</si>
  <si>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</si>
  <si>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</si>
  <si>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</si>
  <si>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</si>
  <si>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</si>
  <si>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</si>
  <si>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</si>
  <si>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</si>
  <si>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</si>
  <si>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</si>
  <si>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</si>
  <si>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</si>
  <si>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</si>
  <si>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</si>
  <si>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</si>
  <si>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</si>
  <si>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</si>
  <si>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</si>
  <si>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</si>
  <si>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</si>
  <si>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</si>
  <si>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</si>
  <si>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</si>
  <si>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</si>
  <si>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</si>
  <si>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</si>
  <si>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</si>
  <si>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</si>
  <si>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</si>
  <si>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</si>
  <si>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</si>
  <si>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</si>
  <si>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</si>
  <si>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</si>
  <si>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</si>
  <si>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</si>
  <si>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</si>
  <si>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</si>
  <si>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</si>
  <si>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</si>
  <si>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</si>
  <si>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</si>
  <si>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</si>
  <si>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</si>
  <si>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</si>
  <si>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</si>
  <si>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</si>
  <si>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</si>
  <si>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</si>
  <si>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</si>
  <si>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</si>
  <si>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</si>
  <si>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</si>
  <si>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</si>
  <si>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</si>
  <si>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</si>
  <si>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</si>
  <si>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</si>
  <si>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</si>
  <si>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</si>
  <si>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</si>
  <si>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</si>
  <si>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</si>
  <si>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</si>
  <si>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</si>
  <si>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</si>
  <si>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</si>
  <si>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</si>
  <si>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</si>
  <si>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</si>
  <si>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</si>
  <si>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</si>
  <si>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</si>
  <si>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</si>
  <si>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</si>
  <si>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</si>
  <si>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</si>
  <si>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</si>
  <si>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</si>
  <si>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</si>
  <si>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</si>
  <si>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</si>
  <si>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</si>
  <si>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</si>
  <si>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</si>
  <si>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</si>
  <si>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</si>
  <si>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</si>
  <si>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</si>
  <si>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</si>
  <si>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</si>
  <si>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</si>
  <si>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</si>
  <si>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</si>
  <si>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</si>
  <si>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</si>
  <si>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</si>
  <si>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</si>
  <si>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</si>
  <si>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</si>
  <si>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</si>
  <si>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</si>
  <si>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</si>
  <si>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</si>
  <si>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</si>
  <si>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</si>
  <si>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</si>
  <si>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</si>
  <si>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</si>
  <si>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</si>
  <si>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</si>
  <si>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</si>
  <si>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</si>
  <si>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</si>
  <si>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</si>
  <si>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</si>
  <si>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</si>
  <si>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</si>
  <si>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</si>
  <si>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</si>
  <si>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</si>
  <si>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</si>
  <si>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</si>
  <si>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</si>
  <si>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</si>
  <si>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</si>
  <si>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</si>
  <si>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</si>
  <si>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</si>
  <si>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</si>
  <si>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</si>
  <si>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</si>
  <si>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</si>
  <si>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</si>
  <si>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</si>
  <si>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</si>
  <si>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</si>
  <si>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</si>
  <si>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</si>
  <si>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</si>
  <si>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</si>
  <si>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</si>
  <si>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</si>
  <si>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</si>
  <si>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</si>
  <si>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</si>
  <si>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</si>
  <si>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</si>
  <si>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</si>
  <si>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</si>
  <si>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</si>
  <si>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</si>
  <si>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</si>
  <si>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</si>
  <si>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</si>
  <si>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</si>
  <si>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</si>
  <si>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</si>
  <si>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</si>
  <si>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</si>
  <si>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</si>
  <si>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</si>
  <si>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</si>
  <si>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</si>
  <si>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</si>
  <si>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</si>
  <si>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</si>
  <si>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</si>
  <si>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</si>
  <si>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</si>
  <si>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</si>
  <si>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</si>
  <si>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</si>
  <si>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</si>
  <si>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</si>
  <si>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</si>
  <si>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</si>
  <si>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</si>
  <si>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</si>
  <si>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</si>
  <si>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</si>
  <si>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</si>
  <si>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</si>
  <si>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</si>
  <si>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</si>
  <si>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</si>
  <si>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</si>
  <si>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</si>
  <si>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</si>
  <si>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</si>
  <si>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</si>
  <si>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</si>
  <si>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</si>
  <si>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</si>
  <si>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</si>
  <si>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</si>
  <si>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</si>
  <si>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</si>
  <si>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</si>
  <si>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</si>
  <si>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</si>
  <si>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</si>
  <si>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</si>
  <si>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</si>
  <si>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</si>
  <si>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</si>
  <si>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</si>
  <si>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</si>
  <si>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</si>
  <si>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</si>
  <si>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</si>
  <si>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</si>
  <si>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</si>
  <si>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</si>
  <si>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</si>
  <si>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</si>
  <si>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</si>
  <si>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</si>
  <si>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</si>
  <si>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</si>
  <si>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</si>
  <si>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</si>
  <si>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</si>
  <si>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</si>
  <si>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</si>
  <si>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</si>
  <si>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</si>
  <si>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</si>
  <si>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</si>
  <si>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</si>
  <si>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</si>
  <si>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</si>
  <si>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</si>
  <si>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</si>
  <si>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</si>
  <si>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</si>
  <si>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</si>
  <si>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</si>
  <si>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</si>
  <si>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</si>
  <si>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</si>
  <si>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</si>
  <si>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</si>
  <si>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</si>
  <si>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</si>
  <si>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</si>
  <si>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</si>
  <si>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</si>
  <si>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</si>
  <si>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</si>
  <si>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</si>
  <si>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</si>
  <si>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</si>
  <si>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</si>
  <si>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</si>
  <si>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</si>
  <si>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</si>
  <si>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</si>
  <si>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</si>
  <si>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</si>
  <si>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</si>
  <si>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</si>
  <si>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</si>
  <si>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</si>
  <si>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</si>
  <si>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</si>
  <si>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</si>
  <si>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</si>
  <si>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</si>
  <si>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</si>
  <si>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</si>
  <si>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</si>
  <si>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</si>
  <si>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</si>
  <si>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</si>
  <si>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</si>
  <si>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</si>
  <si>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</si>
  <si>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</si>
  <si>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</si>
  <si>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</si>
  <si>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</si>
  <si>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</si>
  <si>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</si>
  <si>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</si>
  <si>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</si>
  <si>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</si>
  <si>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</si>
  <si>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</si>
  <si>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</si>
  <si>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</si>
  <si>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</si>
  <si>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</si>
  <si>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</si>
  <si>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</si>
  <si>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</si>
  <si>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</si>
  <si>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</si>
  <si>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</si>
  <si>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</si>
  <si>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</si>
  <si>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</si>
  <si>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</si>
  <si>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</si>
  <si>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</si>
  <si>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</si>
  <si>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</si>
  <si>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</si>
  <si>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</si>
  <si>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</si>
  <si>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</si>
  <si>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</si>
  <si>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</si>
  <si>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</si>
  <si>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</si>
  <si>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</si>
  <si>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</si>
  <si>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</si>
  <si>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</si>
  <si>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</si>
  <si>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</si>
  <si>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</si>
  <si>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</si>
  <si>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</si>
  <si>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</si>
  <si>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</si>
  <si>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</si>
  <si>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</si>
  <si>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</si>
  <si>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</si>
  <si>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</si>
  <si>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</si>
  <si>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</si>
  <si>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</si>
  <si>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</si>
  <si>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</si>
  <si>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</si>
  <si>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</si>
  <si>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</si>
  <si>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</si>
  <si>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</si>
  <si>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</si>
  <si>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</si>
  <si>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</si>
  <si>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</si>
  <si>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</si>
  <si>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</si>
  <si>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</si>
  <si>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</si>
  <si>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</si>
  <si>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</si>
  <si>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</si>
  <si>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</si>
  <si>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</si>
  <si>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</si>
  <si>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</si>
  <si>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</si>
  <si>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</si>
  <si>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</si>
  <si>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</si>
  <si>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</si>
  <si>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</si>
  <si>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</si>
  <si>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</si>
  <si>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</si>
  <si>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</si>
  <si>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</si>
  <si>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</si>
  <si>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</si>
  <si>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</si>
  <si>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</si>
  <si>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</si>
  <si>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</si>
  <si>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</si>
  <si>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</si>
  <si>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</si>
  <si>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</si>
  <si>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</si>
  <si>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</si>
  <si>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</si>
  <si>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</si>
  <si>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</si>
  <si>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</si>
  <si>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</si>
  <si>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</si>
  <si>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</si>
  <si>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</si>
  <si>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</si>
  <si>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</si>
  <si>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</si>
  <si>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</si>
  <si>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</si>
  <si>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</si>
  <si>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</si>
  <si>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</si>
  <si>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</si>
  <si>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</si>
  <si>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</si>
  <si>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</si>
  <si>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</si>
  <si>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</si>
  <si>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</si>
  <si>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</si>
  <si>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</si>
  <si>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</si>
  <si>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</si>
  <si>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</si>
  <si>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</si>
  <si>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</si>
  <si>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</si>
  <si>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</si>
  <si>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</si>
  <si>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</si>
  <si>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</si>
  <si>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</si>
  <si>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</si>
  <si>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</si>
  <si>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</si>
  <si>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</si>
  <si>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</si>
  <si>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</si>
  <si>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</si>
  <si>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</si>
  <si>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</si>
  <si>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Ian To Do:</t>
  </si>
  <si>
    <t>1) Fanduel lineup historical points</t>
  </si>
  <si>
    <t>4) get Weather API working. Incorporate cities in Team Map</t>
  </si>
  <si>
    <t>5) Rotowire historize player point predictions</t>
  </si>
  <si>
    <t>6) automate hist_web_lineups by scraping web for lineups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</si>
  <si>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</si>
  <si>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</si>
  <si>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</si>
  <si>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</si>
  <si>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</si>
  <si>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</si>
  <si>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</si>
  <si>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</si>
  <si>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</si>
  <si>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</si>
  <si>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</si>
  <si>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</si>
  <si>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</si>
  <si>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</si>
  <si>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</si>
  <si>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</si>
  <si>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</si>
  <si>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</si>
  <si>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</si>
  <si>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</si>
  <si>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</si>
  <si>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</si>
  <si>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</si>
  <si>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</si>
  <si>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</si>
  <si>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</si>
  <si>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</si>
  <si>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</si>
  <si>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</si>
  <si>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</si>
  <si>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</si>
  <si>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</si>
  <si>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</si>
  <si>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</si>
  <si>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</si>
  <si>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</si>
  <si>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</si>
  <si>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</si>
  <si>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</si>
  <si>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</si>
  <si>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</si>
  <si>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</si>
  <si>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</si>
  <si>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</si>
  <si>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</si>
  <si>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</si>
  <si>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</si>
  <si>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</si>
  <si>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</si>
  <si>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</si>
  <si>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</si>
  <si>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</si>
  <si>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</si>
  <si>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</si>
  <si>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</si>
  <si>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</si>
  <si>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</si>
  <si>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</si>
  <si>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</si>
  <si>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</si>
  <si>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</si>
  <si>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</si>
  <si>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</si>
  <si>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</si>
  <si>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</si>
  <si>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</si>
  <si>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</si>
  <si>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</si>
  <si>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</si>
  <si>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</si>
  <si>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</si>
  <si>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</si>
  <si>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</si>
  <si>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</si>
  <si>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</si>
  <si>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</si>
  <si>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</si>
  <si>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</si>
  <si>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</si>
  <si>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</si>
  <si>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</si>
  <si>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</si>
  <si>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</si>
  <si>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</si>
  <si>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</si>
  <si>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</si>
  <si>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</si>
  <si>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</si>
  <si>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</si>
  <si>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</si>
  <si>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</si>
  <si>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</si>
  <si>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</si>
  <si>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</si>
  <si>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</si>
  <si>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</si>
  <si>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</si>
  <si>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</si>
  <si>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</si>
  <si>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</si>
  <si>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</si>
  <si>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</si>
  <si>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</si>
  <si>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</si>
  <si>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</si>
  <si>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</si>
  <si>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</si>
  <si>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</si>
  <si>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</si>
  <si>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</si>
  <si>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</si>
  <si>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</si>
  <si>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</si>
  <si>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</si>
  <si>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</si>
  <si>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</si>
  <si>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</si>
  <si>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</si>
  <si>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</si>
  <si>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</si>
  <si>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</si>
  <si>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</si>
  <si>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</si>
  <si>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</si>
  <si>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</si>
  <si>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</si>
  <si>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</si>
  <si>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</si>
  <si>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</si>
  <si>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</si>
  <si>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</si>
  <si>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</si>
  <si>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</si>
  <si>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</si>
  <si>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</si>
  <si>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</si>
  <si>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</si>
  <si>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</si>
  <si>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</si>
  <si>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</si>
  <si>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</si>
  <si>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</si>
  <si>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</si>
  <si>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</si>
  <si>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</si>
  <si>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</si>
  <si>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</si>
  <si>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</si>
  <si>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</si>
  <si>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</si>
  <si>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</si>
  <si>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</si>
  <si>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</si>
  <si>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</si>
  <si>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</si>
  <si>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</si>
  <si>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</si>
  <si>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</si>
  <si>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</si>
  <si>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</si>
  <si>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</si>
  <si>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</si>
  <si>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</si>
  <si>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</si>
  <si>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</si>
  <si>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</si>
  <si>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</si>
  <si>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</si>
  <si>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</si>
  <si>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</si>
  <si>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</si>
  <si>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</si>
  <si>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</si>
  <si>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</si>
  <si>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</si>
  <si>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</si>
  <si>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</si>
  <si>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</si>
  <si>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</si>
  <si>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</si>
  <si>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</si>
  <si>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</si>
  <si>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</si>
  <si>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</si>
  <si>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</si>
  <si>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</si>
  <si>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</si>
  <si>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</si>
  <si>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</si>
  <si>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</si>
  <si>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</si>
  <si>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</si>
  <si>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</si>
  <si>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</si>
  <si>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</si>
  <si>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</si>
  <si>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</si>
  <si>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</si>
  <si>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</si>
  <si>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</si>
  <si>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</si>
  <si>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</si>
  <si>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</si>
  <si>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</si>
  <si>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</si>
  <si>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</si>
  <si>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</si>
  <si>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</si>
  <si>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</si>
  <si>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</si>
  <si>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</si>
  <si>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</si>
  <si>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</si>
  <si>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</si>
  <si>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</si>
  <si>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</si>
  <si>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</si>
  <si>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</si>
  <si>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</si>
  <si>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</si>
  <si>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</si>
  <si>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</si>
  <si>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</si>
  <si>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</si>
  <si>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</si>
  <si>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</si>
  <si>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</si>
  <si>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</si>
  <si>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</si>
  <si>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</si>
  <si>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</si>
  <si>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</si>
  <si>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</si>
  <si>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</si>
  <si>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</si>
  <si>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</si>
  <si>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</si>
  <si>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</si>
  <si>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</si>
  <si>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</si>
  <si>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</si>
  <si>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</si>
  <si>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</si>
  <si>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</si>
  <si>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</si>
  <si>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</si>
  <si>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</si>
  <si>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</si>
  <si>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</si>
  <si>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</si>
  <si>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</si>
  <si>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</si>
  <si>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</si>
  <si>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</si>
  <si>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</si>
  <si>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</si>
  <si>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</si>
  <si>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</si>
  <si>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</si>
  <si>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</si>
  <si>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</si>
  <si>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</si>
  <si>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</si>
  <si>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</si>
  <si>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</si>
  <si>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</si>
  <si>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</si>
  <si>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</si>
  <si>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</si>
  <si>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</si>
  <si>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</si>
  <si>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</si>
  <si>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</si>
  <si>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</si>
  <si>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</si>
  <si>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</si>
  <si>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</si>
  <si>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</si>
  <si>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</si>
  <si>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</si>
  <si>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</si>
  <si>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</si>
  <si>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</si>
  <si>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</si>
  <si>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</si>
  <si>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</si>
  <si>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</si>
  <si>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</si>
  <si>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</si>
  <si>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</si>
  <si>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</si>
  <si>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</si>
  <si>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</si>
  <si>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</si>
  <si>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</si>
  <si>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</si>
  <si>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</si>
  <si>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</si>
  <si>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</si>
  <si>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</si>
  <si>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</si>
  <si>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</si>
  <si>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</si>
  <si>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</si>
  <si>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</si>
  <si>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</si>
  <si>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</si>
  <si>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</si>
  <si>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</si>
  <si>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</si>
  <si>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</si>
  <si>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</si>
  <si>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</si>
  <si>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</si>
  <si>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</si>
  <si>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</si>
  <si>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</si>
  <si>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</si>
  <si>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</si>
  <si>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</si>
  <si>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</si>
  <si>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</si>
  <si>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</si>
  <si>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</si>
  <si>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</si>
  <si>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</si>
  <si>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</si>
  <si>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</si>
  <si>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</si>
  <si>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</si>
  <si>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</si>
  <si>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</si>
  <si>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</si>
  <si>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</si>
  <si>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</si>
  <si>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</si>
  <si>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</si>
  <si>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</si>
  <si>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</si>
  <si>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</si>
  <si>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</si>
  <si>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</si>
  <si>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</si>
  <si>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</si>
  <si>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</si>
  <si>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</si>
  <si>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</si>
  <si>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</si>
  <si>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</si>
  <si>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</si>
  <si>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</si>
  <si>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</si>
  <si>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</si>
  <si>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</si>
  <si>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</si>
  <si>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</si>
  <si>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</si>
  <si>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</si>
  <si>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</si>
  <si>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</si>
  <si>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</si>
  <si>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</si>
  <si>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</si>
  <si>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</si>
  <si>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</si>
  <si>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</si>
  <si>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</si>
  <si>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</si>
  <si>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</si>
  <si>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</si>
  <si>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</si>
  <si>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</si>
  <si>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</si>
  <si>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</si>
  <si>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</si>
  <si>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</si>
  <si>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</si>
  <si>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</si>
  <si>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</si>
  <si>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</si>
  <si>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</si>
  <si>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</si>
  <si>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</si>
  <si>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</si>
  <si>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</si>
  <si>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</si>
  <si>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</si>
  <si>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</si>
  <si>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</si>
  <si>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</si>
  <si>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</si>
  <si>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</si>
  <si>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</si>
  <si>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</si>
  <si>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</si>
  <si>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</si>
  <si>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</si>
  <si>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</si>
  <si>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</si>
  <si>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</si>
  <si>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</si>
  <si>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</si>
  <si>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</si>
  <si>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</si>
  <si>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</si>
  <si>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</si>
  <si>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</si>
  <si>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</si>
  <si>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</si>
  <si>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</si>
  <si>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</si>
  <si>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</si>
  <si>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</si>
  <si>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</si>
  <si>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</si>
  <si>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</si>
  <si>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</si>
  <si>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</si>
  <si>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</si>
  <si>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</si>
  <si>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</si>
  <si>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</si>
  <si>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</si>
  <si>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</si>
  <si>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</si>
  <si>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</si>
  <si>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</si>
  <si>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</si>
  <si>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</si>
  <si>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</si>
  <si>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</si>
  <si>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</si>
  <si>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</si>
  <si>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</si>
  <si>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</si>
  <si>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</si>
  <si>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</si>
  <si>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</si>
  <si>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</si>
  <si>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</si>
  <si>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</si>
  <si>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</si>
  <si>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</si>
  <si>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</si>
  <si>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</si>
  <si>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</si>
  <si>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</si>
  <si>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</si>
  <si>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</si>
  <si>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</si>
  <si>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</si>
  <si>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</si>
  <si>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</si>
  <si>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</si>
  <si>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</si>
  <si>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</si>
  <si>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</si>
  <si>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</si>
  <si>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</si>
  <si>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</si>
  <si>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</si>
  <si>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</si>
  <si>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</si>
  <si>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</si>
  <si>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</si>
  <si>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</si>
  <si>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</si>
  <si>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</si>
  <si>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</si>
  <si>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</si>
  <si>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</si>
  <si>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</si>
  <si>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</si>
  <si>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</si>
  <si>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</si>
  <si>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</si>
  <si>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</si>
  <si>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</si>
  <si>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</si>
  <si>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</si>
  <si>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</si>
  <si>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</si>
  <si>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</si>
  <si>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</si>
  <si>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</si>
  <si>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</si>
  <si>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</si>
  <si>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</si>
  <si>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</si>
  <si>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</si>
  <si>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</si>
  <si>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</si>
  <si>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</si>
  <si>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</si>
  <si>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</si>
  <si>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</si>
  <si>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</si>
  <si>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</si>
  <si>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</si>
  <si>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</si>
  <si>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</si>
  <si>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</si>
  <si>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</si>
  <si>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</si>
  <si>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</si>
  <si>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</si>
  <si>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</si>
  <si>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</si>
  <si>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</si>
  <si>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</si>
  <si>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</si>
  <si>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</si>
  <si>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</si>
  <si>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</si>
  <si>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</si>
  <si>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</si>
  <si>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</si>
  <si>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</si>
  <si>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</si>
  <si>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</si>
  <si>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</si>
  <si>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</si>
  <si>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</si>
  <si>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</si>
  <si>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</si>
  <si>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</si>
  <si>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</si>
  <si>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</si>
  <si>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</si>
  <si>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</si>
  <si>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</si>
  <si>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</si>
  <si>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</si>
  <si>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</si>
  <si>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</si>
  <si>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</si>
  <si>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</si>
  <si>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</si>
  <si>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</si>
  <si>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</si>
  <si>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</si>
  <si>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</si>
  <si>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</si>
  <si>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</si>
  <si>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</si>
  <si>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</si>
  <si>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</si>
  <si>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</si>
  <si>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</si>
  <si>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</si>
  <si>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</si>
  <si>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</si>
  <si>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</si>
  <si>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</si>
  <si>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</si>
  <si>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</si>
  <si>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</si>
  <si>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</si>
  <si>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</si>
  <si>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</si>
  <si>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</si>
  <si>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</si>
  <si>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</si>
  <si>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</si>
  <si>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</si>
  <si>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</si>
  <si>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</si>
  <si>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</si>
  <si>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</si>
  <si>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</si>
  <si>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</si>
  <si>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</si>
  <si>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</si>
  <si>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</si>
  <si>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</si>
  <si>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</si>
  <si>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</si>
  <si>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</si>
  <si>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</si>
  <si>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</si>
  <si>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</si>
  <si>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</si>
  <si>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</si>
  <si>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</si>
  <si>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</si>
  <si>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</si>
  <si>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</si>
  <si>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</si>
  <si>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</si>
  <si>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</si>
  <si>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</si>
  <si>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</si>
  <si>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</si>
  <si>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</si>
  <si>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</si>
  <si>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</si>
  <si>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</si>
  <si>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</si>
  <si>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</si>
  <si>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</si>
  <si>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</si>
  <si>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</si>
  <si>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</si>
  <si>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</si>
  <si>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</si>
  <si>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</si>
  <si>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</si>
  <si>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</si>
  <si>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</si>
  <si>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</si>
  <si>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</si>
  <si>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</si>
  <si>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</si>
  <si>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</si>
  <si>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</si>
  <si>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</si>
  <si>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</si>
  <si>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</si>
  <si>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</si>
  <si>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</si>
  <si>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</si>
  <si>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</si>
  <si>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</si>
  <si>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</si>
  <si>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</si>
  <si>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</si>
  <si>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</si>
  <si>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</si>
  <si>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</si>
  <si>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</si>
  <si>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</si>
  <si>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</si>
  <si>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</si>
  <si>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</si>
  <si>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</si>
  <si>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</si>
  <si>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</si>
  <si>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</si>
  <si>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</si>
  <si>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</si>
  <si>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</si>
  <si>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</si>
  <si>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</si>
  <si>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</si>
  <si>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</si>
  <si>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</si>
  <si>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</si>
  <si>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</si>
  <si>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</si>
  <si>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</si>
  <si>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</si>
  <si>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</si>
  <si>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</si>
  <si>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</si>
  <si>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</si>
  <si>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</si>
  <si>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</si>
  <si>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</si>
  <si>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</si>
  <si>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</si>
  <si>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</si>
  <si>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</si>
  <si>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</si>
  <si>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</si>
  <si>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</si>
  <si>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</si>
  <si>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</si>
  <si>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</si>
  <si>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</si>
  <si>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</si>
  <si>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</si>
  <si>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</si>
  <si>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</si>
  <si>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</si>
  <si>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</si>
  <si>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</si>
  <si>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Paste Rotowire NBA Here</t>
  </si>
  <si>
    <t>Paste Rotowire MLB Here</t>
  </si>
  <si>
    <t>Tulowitzki</t>
  </si>
  <si>
    <t>Troy</t>
  </si>
  <si>
    <t>test_ian.py</t>
  </si>
  <si>
    <t>C:\Users\Ian Whitestone\Documents\Python Projects\Fanduel-master\fanduel\modules\test_ian.py</t>
  </si>
  <si>
    <t>script_name_12</t>
  </si>
  <si>
    <t>script_path_12</t>
  </si>
  <si>
    <t>McCutchen</t>
  </si>
  <si>
    <t>Dozier</t>
  </si>
  <si>
    <t>Brian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</si>
  <si>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</si>
  <si>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</si>
  <si>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</si>
  <si>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</si>
  <si>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</si>
  <si>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</si>
  <si>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</si>
  <si>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</si>
  <si>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</si>
  <si>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</si>
  <si>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</si>
  <si>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</si>
  <si>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</si>
  <si>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</si>
  <si>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</si>
  <si>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</si>
  <si>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</si>
  <si>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</si>
  <si>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</si>
  <si>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</si>
  <si>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</si>
  <si>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</si>
  <si>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</si>
  <si>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</si>
  <si>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</si>
  <si>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</si>
  <si>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</si>
  <si>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</si>
  <si>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</si>
  <si>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</si>
  <si>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</si>
  <si>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POR</t>
  </si>
  <si>
    <t>MEM</t>
  </si>
  <si>
    <t>BKN</t>
  </si>
  <si>
    <t>Stamkos</t>
  </si>
  <si>
    <t>Backstrom</t>
  </si>
  <si>
    <t>Ovechkin</t>
  </si>
  <si>
    <t>Palat</t>
  </si>
  <si>
    <t>Callahan</t>
  </si>
  <si>
    <t>McDonald</t>
  </si>
  <si>
    <t>Garrison</t>
  </si>
  <si>
    <t>Mayfield</t>
  </si>
  <si>
    <t>Holtby</t>
  </si>
  <si>
    <t>Nicklas</t>
  </si>
  <si>
    <t>Ondrej</t>
  </si>
  <si>
    <t>Colin</t>
  </si>
  <si>
    <t>Scott</t>
  </si>
  <si>
    <t>Braden</t>
  </si>
  <si>
    <t>Kluber</t>
  </si>
  <si>
    <t>Castro</t>
  </si>
  <si>
    <t>Valbuena</t>
  </si>
  <si>
    <t>Corey</t>
  </si>
  <si>
    <t>Seth</t>
  </si>
  <si>
    <t>Lillard</t>
  </si>
  <si>
    <t>Rose</t>
  </si>
  <si>
    <t>Korver</t>
  </si>
  <si>
    <t>Batum</t>
  </si>
  <si>
    <t>Bogdanovic</t>
  </si>
  <si>
    <t>Gasol</t>
  </si>
  <si>
    <t>Randolph</t>
  </si>
  <si>
    <t>Damian</t>
  </si>
  <si>
    <t>Derrick</t>
  </si>
  <si>
    <t>Joe</t>
  </si>
  <si>
    <t>Nicolas</t>
  </si>
  <si>
    <t>Bojan</t>
  </si>
  <si>
    <t>Pau</t>
  </si>
  <si>
    <t>Marc</t>
  </si>
  <si>
    <t>Damian Lillard</t>
  </si>
  <si>
    <t>Derrick Rose</t>
  </si>
  <si>
    <t>Jimmy Butler</t>
  </si>
  <si>
    <t>Joe Johnson</t>
  </si>
  <si>
    <t>Khris Middleton</t>
  </si>
  <si>
    <t>@CHI</t>
  </si>
  <si>
    <t>Bojan Bogdanovic</t>
  </si>
  <si>
    <t>LaMarcus Aldridge</t>
  </si>
  <si>
    <t>John Henson</t>
  </si>
  <si>
    <t>Joakim Noah</t>
  </si>
  <si>
    <t>{u'Justin Upton': [u'8:40 PM ET', u'62degF-Mostly Cloudy-0%', u'SD'], u'Seth Smith': [u'9:10 PM ET', u'52degF-Partly Cloudy-0%', u'SEA'], u'Chris Coghlan': [u'PPD', u'49degF-Rain-100%', u'CHC'], u'Brad Miller': [u'9:10 PM ET', u'52degF-Partly Cloudy-0%', u'SEA'], u'Jason Heyward': [u'7:10 PM ET', u'42degF-Overcast-0%', u'STL'], u'Jeff Francoeur': [u'7:05 PM ET', u'55degF-Mostly Cloudy-0%', u'PHI'], u'Ryan Braun': [u'7:10 PM ET', u'42degF-Overcast-0%', u'MIL'], u'John Danks': [u'PPD', u'44degF-Light Rain-100%', u'CHW'], u'Mark Teixeira': [u'4:05 PM ET', u'58degF-Clear-0%', u'NYY'], u'Kelly Johnson': [u'7:05 PM ET', u'55degF-Mostly Cloudy-0%', u'ATL'], u'Wilson Ramos': [u'4:10 PM ET', u'85degF-Mostly Cloudy-15%', u'WAS'], u'John Mayberry Jr.': [u'4:05 PM ET', u'58degF-Clear-0%', u'NYM'], u'Eric Sogard': [u'4:05 PM ET', u'57degF-Mostly Cloudy-0%', u'OAK'], u'Angel Pagan': [u'8:10 PM ET', u'58degF-Mostly Cloudy-1%', u'SF'], u'Jake Smolinski': [u'9:05 PM ET', u'59degF-Mostly Cloudy-0%', u'TEX'], u'Kevin Plawecki': [u'4:05 PM ET', u'58degF-Clear-0%', u'NYM'], u'Adrian Gonzalez': [u'8:40 PM ET', u'62degF-Mostly Cloudy-0%', u'LAD'], u'Jon Jay': [u'7:10 PM ET', u'42degF-Overcast-0%', u'STL'], u'Matt Joyce': [u'9:05 PM ET', u'59degF-Mostly Cloudy-0%', u'LAA'], u'Ender Inciarte': [u'8:10 PM ET', u'77degF-Mostly Cloudy-31%', u'ARI'], u'Jorge De La Rosa': [u'8:10 PM ET', u'58degF-Mostly Cloudy-1%', u'COL'], u'Dustin Pedroia': [u'7:05 PM ET', u'51degF-Mostly Cloudy-0%', u'BOS'], u'J.T. Realmuto': [u'4:10 PM ET', u'85degF-Mostly Cloudy-15%', u'MIA'], u'Eduardo Escobar': [u'9:10 PM ET', u'52degF-Partly Cloudy-0%', u'MIN'], u'David Murphy': [u'1:08 PM ET', u'47degF-Overcast-0%', u'CLE'], u'Justin Morneau': [u'8:10 PM ET', u'58degF-Mostly Cloudy-1%', u'COL'], u'Erasmo Ramirez': [u'6:10 PM ET', u'81degF-Clear-0%', u'TB'], u'Stephen Vogt': [u'4:05 PM ET', u'57degF-Mostly Cloudy-0%', u'OAK'], u'Matt Duffy': [u'8:10 PM ET', u'58degF-Mostly Cloudy-1%', u'SF'], u'Shane Robinson': [u'9:10 PM ET', u'52degF-Partly Cloudy-0%', u'MIN'], u'Kevin Pillar': [u'6:10 PM ET', u'81degF-Clear-0%', u'TOR'], u'Adam Wainwright': [u'7:10 PM ET', u'42degF-Overcast-0%', u'STL'], u'Mike Zunino': [u'9:10 PM ET', u'52degF-Partly Cloudy-0%', u'SEA'], u'TJ House': [u'1:08 PM ET', u'47degF-Overcast-0%', u'CLE'], u'Tony Cruz': [u'7:10 PM ET', u'42degF-Overcast-0%', u'STL'], u'Jose Ramirez': [u'1:08 PM ET', u'47degF-Overcast-0%', u'CLE'], u'Gregory Polanco': [u'8:10 PM ET', u'77degF-Mostly Cloudy-31%', u'PIT'], u'Corey Dickerson': [u'8:10 PM ET', u'58degF-Mostly Cloudy-1%', u'COL'], u'Drew Butera': [u'9:05 PM ET', u'59degF-Mostly Cloudy-0%', u'LAA'], u'Manny Machado': [u'7:05 PM ET', u'51degF-Mostly Cloudy-0%', u'BAL'], u'Chris Young': [u'4:05 PM ET', u'58degF-Clear-0%', u'NYY'], u'Allen Craig': [u'7:05 PM ET', u'51degF-Mostly Cloudy-0%', u'BOS'], u'Albert Pujols': [u'9:05 PM ET', u'59degF-Mostly Cloudy-0%', u'LAA'], u'Justin Masterson': [u'7:05 PM ET', u'51degF-Mostly Cloudy-0%', u'BOS'], u'Billy Hamilton': [u'PPD', u'49degF-Rain-100%', u'CIN'], u'Starlin Castro': [u'PPD', u'49degF-Rain-100%', u'CHC'], u'Robbie Grossman': [u'4:05 PM ET', u'57degF-Mostly Cloudy-0%', u'HOU'], u'Yasmani Grandal': [u'8:40 PM ET', u'62degF-Mostly Cloudy-0%', u'LAD'], u'Jimmy Rollins': [u'8:40 PM ET', u'62degF-Mostly Cloudy-0%', u'LAD'], u'Neil Walker': [u'8:10 PM ET', u'77degF-Mostly Cloudy-31%', u'PIT'], u'Billy Butler': [u'4:05 PM ET', u'57degF-Mostly Cloudy-0%', u'OAK'], u'Juan Uribe': [u'8:40 PM ET', u'62degF-Mostly Cloudy-0%', u'LAD'], u'Jason Castro': [u'4:05 PM ET', u'57degF-Mostly Cloudy-0%', u'HOU'], u'A.J. Burnett': [u'8:10 PM ET', u'77degF-Mostly Cloudy-31%', u'PIT'], u'Hector Gomez': [u'7:10 PM ET', u'42degF-Overcast-0%', u'MIL'], u'Starling Marte': [u'8:10 PM ET', u'77degF-Mostly Cloudy-31%', u'PIT'], u'Aaron Hill': [u'8:10 PM ET', u'77degF-Mostly Cloudy-31%', u'ARI'], u'Francisco Cervelli': [u'8:10 PM ET', u'77degF-Mostly Cloudy-31%', u'PIT'], u'Kyle Seager': [u'9:10 PM ET', u'52degF-Partly Cloudy-0%', u'SEA'], u'Torii Hunter': [u'9:10 PM ET', u'52degF-Partly Cloudy-0%', u'MIN'], u'Shin-Soo Choo': [u'9:05 PM ET', u'59degF-Mostly Cloudy-0%', u'TEX'], u'Kole Calhoun': [u'9:05 PM ET', u'59degF-Mostly Cloudy-0%', u'LAA'], u'Josh Reddick': [u'4:05 PM ET', u'57degF-Mostly Cloudy-0%', u'OAK'], 'no away_lineup listed': [u'PPD', u'44degF-Light Rain-100%', u'CHW'], u'Robinson Chirinos': [u'9:05 PM ET', u'59degF-Mostly Cloudy-0%', u'TEX'], u'Sam Fuld': [u'4:05 PM ET', u'57degF-Mostly Cloudy-0%', u'OAK'], u'Cody Ross': [u'4:05 PM ET', u'57degF-Mostly Cloudy-0%', u'OAK'], u'Evan Longoria': [u'6:10 PM ET', u'81degF-Clear-0%', u'TB'], u'Eduardo Nunez': [u'9:10 PM ET', u'52degF-Partly Cloudy-0%', u'MIN'], u'A.J. Pierzynski': [u'7:05 PM ET', u'55degF-Mostly Cloudy-0%', u'ATL'], u'Marcus Semien': [u'4:05 PM ET', u'57degF-Mostly Cloudy-0%', u'OAK'], u'Kendall Graveman': [u'4:05 PM ET', u'57degF-Mostly Cloudy-0%', u'OAK'], u'Ike Davis': [u'4:05 PM ET', u'57degF-Mostly Cloudy-0%', u'OAK'], u'Cody Asche': [u'7:05 PM ET', u'55degF-Mostly Cloudy-0%', u'PHI'], u'Alex Rodriguez': [u'4:05 PM ET', u'58degF-Clear-0%', u'NYY'], u'Mike Napoli': [u'7:05 PM ET', u'51degF-Mostly Cloudy-0%', u'BOS'], u'Devon Travis': [u'6:10 PM ET', u'81degF-Clear-0%', u'TOR'], u'Justin Bour': [u'4:10 PM ET', u'85degF-Mostly Cloudy-15%', u'MIA'], u'Nick Castellanos': [u'1:08 PM ET', u'47degF-Overcast-0%', u'DET'], u'Eric Campbell': [u'4:05 PM ET', u'58degF-Clear-0%', u'NYM'], u'Stephen Strasburg': [u'4:10 PM ET', u'85degF-Mostly Cloudy-15%', u'WAS'], u'Mike Trout': [u'9:05 PM ET', u'59degF-Mostly Cloudy-0%', u'LAA'], u'Khris Davis': [u'7:10 PM ET', u'42degF-Overcast-0%', u'MIL'], u'Miguel Montero': [u'PPD', u'49degF-Rain-100%', u'CHC'], u'Jonny Gomes': [u'7:05 PM ET', u'55degF-Mostly Cloudy-0%', u'ATL'], u'Andre Ethier': [u'8:40 PM ET', u'62degF-Mostly Cloudy-0%', u'LAD'], u'James Paxton': [u'9:10 PM ET', u'52degF-Partly Cloudy-0%', u'SEA'], u'Alejandro De Aza': [u'7:05 PM ET', u'51degF-Mostly Cloudy-0%', u'BAL'], u'Tim Beckham': [u'6:10 PM ET', u'81degF-Clear-0%', u'TB'], u'Troy Tulowitzki': [u'8:10 PM ET', u'58degF-Mostly Cloudy-1%', u'COL'], u'Jordy Mercer': [u'8:10 PM ET', u'77degF-Mostly Cloudy-31%', u'PIT'], u'Tim Hudson': [u'8:10 PM ET', u'58degF-Mostly Cloudy-1%', u'SF'], u'Brandon Guyer': [u'6:10 PM ET', u'81degF-Clear-0%', u'TB'], u'Wily Peralta': [u'7:10 PM ET', u'42degF-Overcast-0%', u'MIL'], u'Marlon Byrd': [u'PPD', u'49degF-Rain-100%', u'CIN'], u'Austin Jackson': [u'9:10 PM ET', u'52degF-Partly Cloudy-0%', u'SEA'], u'Jace Peterson': [u'7:05 PM ET', u'55degF-Mostly Cloudy-0%', u'ATL'], u'Jed Lowrie': [u'4:05 PM ET', u'57degF-Mostly Cloudy-0%', u'HOU'], u'Adam Rosales': [u'9:05 PM ET', u'59degF-Mostly Cloudy-0%', u'TEX'], u'Brandon Crawford': [u'8:10 PM ET', u'58degF-Mostly Cloudy-1%', u'SF'], u'Carlos Gonzalez': [u'8:10 PM ET', u'58degF-Mostly Cloudy-1%', u'COL'], u'Jean Segura': [u'7:10 PM ET', u'42degF-Overcast-0%', u'MIL'], u'Danny Espinosa': [u'4:10 PM ET', u'85degF-Mostly Cloudy-15%', u'WAS'], u'Miguel Cabrera': [u'1:08 PM ET', u'47degF-Overcast-0%', u'DET'], u'Desmond Jennings': [u'6:10 PM ET', u'81degF-Clear-0%', u'TB'], u'Jose Iglesias': [u'1:08 PM ET', u'47degF-Overcast-0%', u'DET'], u'Jason Kipnis': [u'1:08 PM ET', u'47degF-Overcast-0%', u'CLE'], u'Mitch Moreland': [u'9:05 PM ET', u'59degF-Mostly Cloudy-0%', u'TEX'], u'Nolan Arenado': [u'8:10 PM ET', u'58degF-Mostly Cloudy-1%', u'COL'], u'David Buchanan': [u'7:05 PM ET', u'55degF-Mostly Cloudy-0%', u'PHI'], u'Rubby De La Rosa': [u'8:10 PM ET', u'77degF-Mostly Cloudy-31%', u'ARI'], u'Brayan Pena': [u'PPD', u'49degF-Rain-100%', u'CIN'], u'Alex Avila': [u'1:08 PM ET', u'47degF-Overcast-0%', u'DET'], u'Wei-Yin Chen': [u'7:05 PM ET', u'51degF-Mostly Cloudy-0%', u'BAL'], u'Rajai Davis': [u'1:08 PM ET', u'47degF-Overcast-0%', u'DET'], u'Anthony DeSclafani': [u'PPD', u'49degF-Rain-100%', u'CIN'], u'Ryan Howard': [u'7:05 PM ET', u'55degF-Mostly Cloudy-0%', u'PHI'], u'Asdrubal Cabrera': [u'6:10 PM ET', u'81degF-Clear-0%', u'TB'], u'Edwin Encarnacion': [u'6:10 PM ET', u'81degF-Clear-0%', u'TOR'], u'CC Sabathia': [u'4:05 PM ET', u'58degF-Clear-0%', u'NYY'], u'DJ LeMahieu': [u'8:10 PM ET', u'58degF-Mostly Cloudy-1%', u'COL'], u'J.D. Martinez': [u'1:08 PM ET', u'47degF-Overcast-0%', u'DET'], u'Chase Utley': [u'7:05 PM ET', u'55degF-Mostly Cloudy-0%', u'PHI'], u'Matt Carpenter': [u'7:10 PM ET', u'42degF-Overcast-0%', u'STL'], u'Ian Desmond': [u'4:10 PM ET', u'85degF-Mostly Cloudy-15%', u'WAS'], u'Scott Feldman': [u'4:05 PM ET', u'57degF-Mostly Cloudy-0%', u'HOU'], u'Matt Harvey': [u'4:05 PM ET', u'58degF-Clear-0%', u'NYM'], u'Yangervis Solarte': [u'8:40 PM ET', u'62degF-Mostly Cloudy-0%', u'SD'], u'Jacoby Ellsbury': [u'4:05 PM ET', u'58degF-Clear-0%', u'NYY'], u'Xander Bogaerts': [u'7:05 PM ET', u'51degF-Mostly Cloudy-0%', u'BOS'], u'Joe Mauer': [u'9:10 PM ET', u'52degF-Partly Cloudy-0%', u'MIN'], u'Logan Morrison': [u'9:10 PM ET', u'52degF-Partly Cloudy-0%', u'SEA'], u'Trevor May': [u'9:10 PM ET', u'52degF-Partly Cloudy-0%', u'MIN'], u'Aramis Ramirez': [u'7:10 PM ET', u'42degF-Overcast-0%', u'MIL'], u'Nori Aoki': [u'8:10 PM ET', u'58degF-Mostly Cloudy-1%', u'SF'], u'Howie Kendrick': [u'8:40 PM ET', u'62degF-Mostly Cloudy-0%', u'LAD'], u'Ichiro Suzuki': [u'4:10 PM ET', u'85degF-Mostly Cloudy-15%', u'MIA'], u'Pablo Sandoval': [u'7:05 PM ET', u'51degF-Mostly Cloudy-0%', u'BOS'], u'Chris Carter': [u'4:05 PM ET', u'57degF-Mostly Cloudy-0%', u'HOU'], u'Jake Arrieta': [u'PPD', u'49degF-Rain-100%', u'CHC'], u'Jhonny Peralta': [u'7:10 PM ET', u'42degF-Overcast-0%', u'STL'], u'David Peralta': [u'8:10 PM ET', u'77degF-Mostly Cloudy-31%', u'ARI'], u'Michael Cuddyer': [u'4:05 PM ET', u'58degF-Clear-0%', u'NYM'], u'Jorge Soler': [u'PPD', u'49degF-Rain-100%', u'CHC'], u'Travis Snider': [u'7:05 PM ET', u'51degF-Mostly Cloudy-0%', u'BAL'], u'Dustin Ackley': [u'9:10 PM ET', u'52degF-Partly Cloudy-0%', u'SEA'], u'Pedro Alvarez': [u'8:10 PM ET', u'77degF-Mostly Cloudy-31%', u'PIT'], u'Edinson Volquez': [u'PPD', u'44degF-Light Rain-100%', u'KC'], u'Lucas Duda': [u'4:05 PM ET', u'58degF-Clear-0%', u'NYM'], u'Ian Kinsler': [u'1:08 PM ET', u'47degF-Overcast-0%', u'DET'], u'Ryan Zimmerman': [u'4:10 PM ET', u'85degF-Mostly Cloudy-15%', u'WAS'], u'Nick Hundley': [u'8:10 PM ET', u'58degF-Mostly Cloudy-1%', u'COL'], u'Justin Maxwell': [u'8:10 PM ET', u'58degF-Mostly Cloudy-1%', u'SF'], u'Odubel Herrera': [u'7:05 PM ET', u'55degF-Mostly Cloudy-0%', u'PHI'], u'Carlos Santana': [u'1:08 PM ET', u'47degF-Overcast-0%', u'CLE'], u'Chris Davis': [u'7:05 PM ET', u'51degF-Mostly Cloudy-0%', u'BAL'], u'Ryan Hanigan': [u'7:05 PM ET', u'51degF-Mostly Cloudy-0%', u'BOS'], u'Charlie Blackmon': [u'8:10 PM ET', u'58degF-Mostly Cloudy-1%', u'COL'], u'Brian McCann': [u'4:05 PM ET', u'58degF-Clear-0%', u'NYY'], u'Carl Crawford': [u'8:40 PM ET', u'62degF-Mostly Cloudy-0%', u'LAD'], u'Adam Jones': [u'7:05 PM ET', u'51degF-Mostly Cloudy-0%', u'BAL'], u'Reed Johnson': [u'4:10 PM ET', u'85degF-Mostly Cloudy-15%', u'WAS'], u'Luis Valbuena': [u'4:05 PM ET', u'57degF-Mostly Cloudy-0%', u'HOU'], u'Jose Altuve': [u'4:05 PM ET', u'57degF-Mostly Cloudy-0%', u'HOU'], u'Daniel Murphy': [u'4:05 PM ET', u'58degF-Clear-0%', u'NYM'], u'Robinson Cano': [u'9:10 PM ET', u'52degF-Partly Cloudy-0%', u'SEA'], u'Marwin Gonzalez': [u'4:05 PM ET', u'57degF-Mostly Cloudy-0%', u'HOU'], u'Logan Forsythe': [u'6:10 PM ET', u'81degF-Clear-0%', u'TB'], u'Dexter Fowler': [u'PPD', u'49degF-Rain-100%', u'CHC'], u'Zack Cozart': [u'PPD', u'49degF-Rain-100%', u'CIN'], u'Leonys Martin': [u'9:05 PM ET', u'59degF-Mostly Cloudy-0%', u'TEX'], u'Yoenis Cespedes': [u'1:08 PM ET', u'47degF-Overcast-0%', u'DET'], u'Yunel Escobar': [u'4:10 PM ET', u'85degF-Mostly Cloudy-15%', u'WAS'], u'Freddie Freeman': [u'7:05 PM ET', u'55degF-Mostly Cloudy-0%', u'ATL'], u'Lonnie Chisenhall': [u'1:08 PM ET', u'47degF-Overcast-0%', u'CLE'], u'Adeiny Hechavarria': [u'4:10 PM ET', u'85degF-Mostly Cloudy-15%', u'MIA'], u'Brennan Boesch': [u'PPD', u'49degF-Rain-100%', u'CIN'], u'Hanley Ramirez': [u'7:05 PM ET', u'51degF-Mostly Cloudy-0%', u'BOS'], u'Daniel Norris': [u'6:10 PM ET', u'81degF-Clear-0%', u'TOR'], u'Wil Myers': [u'8:40 PM ET', u'62degF-Mostly Cloudy-0%', u'SD'], u'Caleb Joseph': [u'7:05 PM ET', u'51degF-Mostly Cloudy-0%', u'BAL'], u'Mark Reynolds': [u'7:10 PM ET', u'42degF-Overcast-0%', u'STL'], u'Nelson Cruz': [u'9:10 PM ET', u'52degF-Partly Cloudy-0%', u'SEA'], u'Mookie Betts': [u'7:05 PM ET', u'51degF-Mostly Cloudy-0%', u'BOS'], u'Brandon Moss': [u'1:08 PM ET', u'47degF-Overcast-0%', u'CLE'], u'Matt Holliday': [u'7:10 PM ET', u'42degF-Overcast-0%', u'STL'], u'Jimmy Paredes': [u'7:05 PM ET', u'51degF-Mostly Cloudy-0%', u'BAL'], u'Dee Gordon': [u'4:10 PM ET', u'85degF-Mostly Cloudy-15%', u'MIA'], u'Freddy Galvis': [u'7:05 PM ET', u'55degF-Mostly Cloudy-0%', u'PHI'], u'Dalton Pompey': [u'6:10 PM ET', u'81degF-Clear-0%', u'TOR'], 'no home_lineup listed': [u'PPD', u'44degF-Light Rain-100%', u'KC'], u'Tom Koehler': [u'4:10 PM ET', u'85degF-Mostly Cloudy-15%', u'MIA'], u'Alfredo Simon': [u'1:08 PM ET', u'47degF-Overcast-0%', u'DET'], u'Justin Smoak': [u'6:10 PM ET', u'81degF-Clear-0%', u'TOR'], u'Jose Reyes': [u'6:10 PM ET', u'81degF-Clear-0%', u'TOR'], u'Joey Votto': [u'PPD', u'49degF-Rain-100%', u'CIN'], u'Bobby Wilson': [u'6:10 PM ET', u'81degF-Clear-0%', u'TB'], u'Brandon McCarthy': [u'8:40 PM ET', u'62degF-Mostly Cloudy-0%', u'LAD'], u'Michael Bourn': [u'1:08 PM ET', u'47degF-Overcast-0%', u'CLE'], u'Andrew McCutchen': [u'8:10 PM ET', u'77degF-Mostly Cloudy-31%', u'PIT'], u'Wilmer Flores': [u'4:05 PM ET', u'58degF-Clear-0%', u'NYM'], u'Curtis Granderson': [u'4:05 PM ET', u'58degF-Clear-0%', u'NYM'], u'Shelby Miller': [u'7:05 PM ET', u'55degF-Mostly Cloudy-0%', u'ATL'], u'Adam Lind': [u'7:10 PM ET', u'42degF-Overcast-0%', u'MIL'], u'Paul Goldschmidt': [u'8:10 PM ET', u'77degF-Mostly Cloudy-31%', u'ARI'], u'Eric Young Jr.': [u'7:05 PM ET', u'55degF-Mostly Cloudy-0%', u'ATL'], u'George Springer': [u'4:05 PM ET', u'57degF-Mostly Cloudy-0%', u'HOU'], u'Adrian Beltre': [u'9:05 PM ET', u'59degF-Mostly Cloudy-0%', u'TEX'], u'Erick Aybar': [u'9:05 PM ET', u'59degF-Mostly Cloudy-0%', u'LAA'], u'Stephen Drew': [u'4:05 PM ET', u'58degF-Clear-0%', u'NYY'], u'Jayson Werth': [u'4:10 PM ET', u'85degF-Mostly Cloudy-15%', u'WAS'], u'Bryce Harper': [u'4:10 PM ET', u'85degF-Mostly Cloudy-15%', u'WAS'], u'Kris Bryant': [u'PPD', u'49degF-Rain-100%', u'CHC'], u'Brian Dozier': [u'9:10 PM ET', u'52degF-Partly Cloudy-0%', u'MIN'], u'Didi Gregorius': [u'4:05 PM ET', u'58degF-Clear-0%', u'NYY'], u'Colby Rasmus': [u'4:05 PM ET', u'57degF-Mostly Cloudy-0%', u'HOU'], u'Nick Markakis': [u'7:05 PM ET', u'55degF-Mostly Cloudy-0%', u'ATL'], u'Casey McGehee': [u'8:10 PM ET', u'58degF-Mostly Cloudy-1%', u'SF'], u'Steven Souza Jr.': [u'6:10 PM ET', u'81degF-Clear-0%', u'TB'], u'Ben Revere': [u'7:05 PM ET', u'55degF-Mostly Cloudy-0%', u'PHI'], u'Ian Kennedy': [u'8:40 PM ET', u'62degF-Mostly Cloudy-0%', u'SD'], u'Grant Green': [u'9:05 PM ET', u'59degF-Mostly Cloudy-0%', u'LAA'], u'Chris Owings': [u'8:10 PM ET', u'77degF-Mostly Cloudy-31%', u'ARI'], u'Josh Donaldson': [u'6:10 PM ET', u'81degF-Clear-0%', u'TOR'], u'Brett Gardner': [u'4:05 PM ET', u'58degF-Clear-0%', u'NYY'], u'Andrew Susac': [u'8:10 PM ET', u'58degF-Mostly Cloudy-1%', u'SF'], u'Brandon Phillips': [u'PPD', u'49degF-Rain-100%', u'CIN'], u'Addison Russell': [u'PPD', u'49degF-Rain-100%', u'CHC'], u'Giancarlo Stanton': [u'4:10 PM ET', u'85degF-Mostly Cloudy-15%', u'MIA'], u'Derek Norris': [u'8:40 PM ET', u'62degF-Mostly Cloudy-0%', u'SD'], u'Kolten Wong': [u'7:10 PM ET', u'42degF-Overcast-0%', u'STL'], u'Victor Martinez': [u'1:08 PM ET', u'47degF-Overcast-0%', u'DET'], u'Marcell Ozuna': [u'4:10 PM ET', u'85degF-Mostly Cloudy-15%', u'MIA'], u'Rey Navarro': [u'7:05 PM ET', u'51degF-Mostly Cloudy-0%', u'BAL'], u'Joc Pederson': [u'8:40 PM ET', u'62degF-Mostly Cloudy-0%', u'LAD'], u'Tuffy Gosewisch': [u'8:10 PM ET', u'77degF-Mostly Cloudy-31%', u'ARI'], u'Trevor Plouffe': [u'9:10 PM ET', u'52degF-Partly Cloudy-0%', u'MIN'], u'Matt Kemp': [u'8:40 PM ET', u'62degF-Mostly Cloudy-0%', u'SD'], u'Michael Saunders': [u'6:10 PM ET', u'81degF-Clear-0%', u'TOR'], u'Anthony Rizzo': [u'PPD', u'49degF-Rain-100%', u'CHC'], u'Michael Brantley': [u'1:08 PM ET', u'47degF-Overcast-0%', u'CLE'], u'Juan Lagares': [u'4:05 PM ET', u'58degF-Clear-0%', u'NYM'], u'Gerardo Parra': [u'7:10 PM ET', u'42degF-Overcast-0%', u'MIL'], u'Will Middlebrooks': [u'8:40 PM ET', u'62degF-Mostly Cloudy-0%', u'SD'], u'A.J. Pollock': [u'8:10 PM ET', u'77degF-Mostly Cloudy-31%', u'ARI'], u'Prince Fielder': [u'9:05 PM ET', u'59degF-Mostly Cloudy-0%', u'TEX'], u'Kurt Suzuki': [u'9:10 PM ET', u'52degF-Partly Cloudy-0%', u'MIN'], u'Josh Harrison': [u'8:10 PM ET', u'77degF-Mostly Cloudy-31%', u'PIT'], u'Colby Lewis': [u'9:05 PM ET', u'59degF-Mostly Cloudy-0%', u'TEX'], u'Buster Posey': [u'8:10 PM ET', u'58degF-Mostly Cloudy-1%', u'SF'], u'Martin Maldonado': [u'7:10 PM ET', u'42degF-Overcast-0%', u'MIL'], u'David Ortiz': [u'7:05 PM ET', u'51degF-Mostly Cloudy-0%', u'BOS'], u'Alexi Amarista': [u'8:40 PM ET', u'62degF-Mostly Cloudy-0%', u'SD'], u'Todd Frazier': [u'PPD', u'49degF-Rain-100%', u'CIN'], u'Andrelton Simmons': [u'7:05 PM ET', u'55degF-Mostly Cloudy-0%', u'ATL'], u'Russell Martin': [u'6:10 PM ET', u'81degF-Clear-0%', u'TOR'], u'Brett Hayes': [u'1:08 PM ET', u'47degF-Overcast-0%', u'CLE'], u'Carlos Ruiz': [u'7:05 PM ET', u'55degF-Mostly Cloudy-0%', u'PHI'], u'Kennys Vargas': [u'9:10 PM ET', u'52degF-Partly Cloudy-0%', u'MIN'], u'Jake Elmore': [u'6:10 PM ET', u'81degF-Clear-0%', u'TB'], u'Martin Prado': [u'4:10 PM ET', u'85degF-Mostly Cloudy-15%', u'MIA'], u'David Freese': [u'9:05 PM ET', u'59degF-Mostly Cloudy-0%', u'LAA'], u'Everth Cabrera': [u'7:05 PM ET', u'51degF-Mostly Cloudy-0%', u'BAL'], u'Chase Headley': [u'4:05 PM ET', u'58degF-Clear-0%', u'NYY'], u'Yonder Alonso': [u'8:40 PM ET', u'62degF-Mostly Cloudy-0%', u'SD'], u'Elvis Andrus': [u'9:05 PM ET', u'59degF-Mostly Cloudy-0%', u'TEX'], u'C.J. Cron': [u'9:05 PM ET', u'59degF-Mostly Cloudy-0%', u'LAA'], u'Max Muncy': [u'4:05 PM ET', u'57degF-Mostly Cloudy-0%', u'OAK'], u'Cliff Pennington': [u'8:10 PM ET', u'77degF-Mostly Cloudy-31%', u'ARI'], u'C.J. Wilson': [u'9:05 PM ET', u'59degF-Mostly Cloudy-0%', u'LAA']}</t>
  </si>
  <si>
    <t>Sport.py</t>
  </si>
  <si>
    <t>C:\Users\Cole\Desktop\FanDuel\fanduel\modules\Sport.py</t>
  </si>
  <si>
    <t>Project FD Points</t>
  </si>
  <si>
    <t>Confidence</t>
  </si>
  <si>
    <t>Ben Revere_batter</t>
  </si>
  <si>
    <t>Evan Longoria_batter</t>
  </si>
  <si>
    <t>Ryan Braun_batter</t>
  </si>
  <si>
    <t>Jeff Samardzija_pitcher</t>
  </si>
  <si>
    <t>Asdrubal Cabrera_batter</t>
  </si>
  <si>
    <t>Carlos Ruiz_batter</t>
  </si>
  <si>
    <t>Dan Uggla_batter</t>
  </si>
  <si>
    <t>Joey Votto_batter</t>
  </si>
  <si>
    <t>Brett Gardner_batter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</si>
</sst>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142016"/>
        <c:axId val="241143808"/>
      </c:barChart>
      <c:catAx>
        <c:axId val="241142016"/>
        <c:scaling>
          <c:orientation val="minMax"/>
        </c:scaling>
        <c:delete val="0"/>
        <c:axPos val="b"/>
        <c:majorTickMark val="out"/>
        <c:minorTickMark val="none"/>
        <c:tickLblPos val="nextTo"/>
        <c:crossAx val="241143808"/>
        <c:crosses val="autoZero"/>
        <c:auto val="1"/>
        <c:lblAlgn val="ctr"/>
        <c:lblOffset val="100"/>
        <c:noMultiLvlLbl val="0"/>
      </c:catAx>
      <c:valAx>
        <c:axId val="2411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142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75936"/>
        <c:axId val="241181824"/>
      </c:areaChart>
      <c:catAx>
        <c:axId val="241175936"/>
        <c:scaling>
          <c:orientation val="minMax"/>
        </c:scaling>
        <c:delete val="0"/>
        <c:axPos val="b"/>
        <c:majorTickMark val="out"/>
        <c:minorTickMark val="none"/>
        <c:tickLblPos val="nextTo"/>
        <c:crossAx val="241181824"/>
        <c:crosses val="autoZero"/>
        <c:auto val="1"/>
        <c:lblAlgn val="ctr"/>
        <c:lblOffset val="100"/>
        <c:noMultiLvlLbl val="0"/>
      </c:catAx>
      <c:valAx>
        <c:axId val="2411818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41175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/>
  </sheetViews>
  <sheetFormatPr defaultRowHeight="15" x14ac:dyDescent="0.25"/>
  <sheetData>
    <row r="1" spans="1:2" x14ac:dyDescent="0.25">
      <c r="A1">
        <v>28</v>
      </c>
    </row>
    <row r="3" spans="1:2" x14ac:dyDescent="0.25">
      <c r="A3" t="s">
        <v>0</v>
      </c>
      <c r="B3">
        <v>11</v>
      </c>
    </row>
    <row r="4" spans="1:2" x14ac:dyDescent="0.25">
      <c r="A4" t="s">
        <v>1</v>
      </c>
      <c r="B4" t="s">
        <v>1534</v>
      </c>
    </row>
    <row r="5" spans="1:2" x14ac:dyDescent="0.25">
      <c r="A5" t="s">
        <v>2</v>
      </c>
      <c r="B5" t="s">
        <v>1535</v>
      </c>
    </row>
    <row r="6" spans="1:2" x14ac:dyDescent="0.25">
      <c r="A6" t="s">
        <v>5</v>
      </c>
      <c r="B6" t="s">
        <v>1449</v>
      </c>
    </row>
    <row r="7" spans="1:2" x14ac:dyDescent="0.25">
      <c r="A7" t="s">
        <v>6</v>
      </c>
      <c r="B7" t="s">
        <v>1450</v>
      </c>
    </row>
    <row r="8" spans="1:2" x14ac:dyDescent="0.25">
      <c r="A8" t="s">
        <v>7</v>
      </c>
      <c r="B8" t="s">
        <v>769</v>
      </c>
    </row>
    <row r="9" spans="1:2" x14ac:dyDescent="0.25">
      <c r="A9" t="s">
        <v>8</v>
      </c>
      <c r="B9" t="s">
        <v>770</v>
      </c>
    </row>
    <row r="10" spans="1:2" x14ac:dyDescent="0.25">
      <c r="A10" t="s">
        <v>9</v>
      </c>
      <c r="B10" t="s">
        <v>760</v>
      </c>
    </row>
    <row r="11" spans="1:2" x14ac:dyDescent="0.25">
      <c r="A11" t="s">
        <v>10</v>
      </c>
      <c r="B11" t="s">
        <v>761</v>
      </c>
    </row>
    <row r="12" spans="1:2" x14ac:dyDescent="0.25">
      <c r="A12" t="s">
        <v>12</v>
      </c>
      <c r="B12" t="s">
        <v>722</v>
      </c>
    </row>
    <row r="13" spans="1:2" x14ac:dyDescent="0.25">
      <c r="A13" t="s">
        <v>13</v>
      </c>
      <c r="B13" t="s">
        <v>723</v>
      </c>
    </row>
    <row r="14" spans="1:2" x14ac:dyDescent="0.25">
      <c r="A14" t="s">
        <v>706</v>
      </c>
      <c r="B14" t="s">
        <v>718</v>
      </c>
    </row>
    <row r="15" spans="1:2" x14ac:dyDescent="0.25">
      <c r="A15" t="s">
        <v>707</v>
      </c>
      <c r="B15" t="s">
        <v>719</v>
      </c>
    </row>
    <row r="16" spans="1:2" x14ac:dyDescent="0.25">
      <c r="A16" t="s">
        <v>712</v>
      </c>
      <c r="B16" t="s">
        <v>714</v>
      </c>
    </row>
    <row r="17" spans="1:2" x14ac:dyDescent="0.25">
      <c r="A17" t="s">
        <v>713</v>
      </c>
      <c r="B17" t="s">
        <v>715</v>
      </c>
    </row>
    <row r="18" spans="1:2" x14ac:dyDescent="0.25">
      <c r="A18" t="s">
        <v>716</v>
      </c>
      <c r="B18" t="s">
        <v>704</v>
      </c>
    </row>
    <row r="19" spans="1:2" x14ac:dyDescent="0.25">
      <c r="A19" t="s">
        <v>717</v>
      </c>
      <c r="B19" t="s">
        <v>705</v>
      </c>
    </row>
    <row r="20" spans="1:2" x14ac:dyDescent="0.25">
      <c r="A20" t="s">
        <v>720</v>
      </c>
      <c r="B20" t="s">
        <v>335</v>
      </c>
    </row>
    <row r="21" spans="1:2" x14ac:dyDescent="0.25">
      <c r="A21" t="s">
        <v>721</v>
      </c>
      <c r="B21" t="s">
        <v>336</v>
      </c>
    </row>
    <row r="22" spans="1:2" x14ac:dyDescent="0.25">
      <c r="A22" t="s">
        <v>724</v>
      </c>
      <c r="B22" t="s">
        <v>223</v>
      </c>
    </row>
    <row r="23" spans="1:2" x14ac:dyDescent="0.25">
      <c r="A23" t="s">
        <v>725</v>
      </c>
      <c r="B23" t="s">
        <v>224</v>
      </c>
    </row>
    <row r="24" spans="1:2" x14ac:dyDescent="0.25">
      <c r="A24" t="s">
        <v>762</v>
      </c>
      <c r="B24" t="s">
        <v>208</v>
      </c>
    </row>
    <row r="25" spans="1:2" x14ac:dyDescent="0.25">
      <c r="A25" t="s">
        <v>763</v>
      </c>
      <c r="B25" t="s">
        <v>209</v>
      </c>
    </row>
    <row r="26" spans="1:2" x14ac:dyDescent="0.25">
      <c r="A26" t="s">
        <v>771</v>
      </c>
      <c r="B26" t="s">
        <v>11</v>
      </c>
    </row>
    <row r="27" spans="1:2" x14ac:dyDescent="0.25">
      <c r="A27" t="s">
        <v>772</v>
      </c>
      <c r="B27" t="s">
        <v>207</v>
      </c>
    </row>
    <row r="28" spans="1:2" x14ac:dyDescent="0.25">
      <c r="A28" t="s">
        <v>1451</v>
      </c>
      <c r="B28" t="s">
        <v>11</v>
      </c>
    </row>
    <row r="29" spans="1:2" x14ac:dyDescent="0.25">
      <c r="A29" t="s">
        <v>1452</v>
      </c>
      <c r="B29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4" sqref="B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1" t="s">
        <v>743</v>
      </c>
      <c r="I1" s="31"/>
      <c r="J1" s="31"/>
    </row>
    <row r="2" spans="1:18" x14ac:dyDescent="0.25">
      <c r="H2" s="5" t="s">
        <v>744</v>
      </c>
      <c r="I2" s="5" t="s">
        <v>750</v>
      </c>
      <c r="J2" s="5" t="s">
        <v>745</v>
      </c>
    </row>
    <row r="3" spans="1:18" ht="12.75" customHeight="1" x14ac:dyDescent="0.25">
      <c r="A3" s="18" t="s">
        <v>708</v>
      </c>
      <c r="B3" s="19">
        <v>42121</v>
      </c>
      <c r="H3" s="20" t="s">
        <v>737</v>
      </c>
      <c r="I3" s="20" t="s">
        <v>746</v>
      </c>
      <c r="J3" s="5" t="s">
        <v>155</v>
      </c>
    </row>
    <row r="4" spans="1:18" x14ac:dyDescent="0.25">
      <c r="A4" s="5" t="s">
        <v>709</v>
      </c>
      <c r="B4" s="5" t="str">
        <f>IF(A11&gt;0,CONCATENATE(A11,", ",A12,", ",A13,", ",A14,", ",A16,", ",A17,", ",A18,", ",A19),"")</f>
        <v>Damian Lillard, Derrick Rose, Jimmy Butler, Joe Johnson, Bojan Bogdanovic, LaMarcus Aldridge, John Henson, Joakim Noah</v>
      </c>
      <c r="H4" s="20" t="s">
        <v>155</v>
      </c>
      <c r="I4" s="20" t="s">
        <v>746</v>
      </c>
      <c r="J4" s="5" t="s">
        <v>155</v>
      </c>
    </row>
    <row r="5" spans="1:18" x14ac:dyDescent="0.25">
      <c r="A5" s="5" t="s">
        <v>710</v>
      </c>
      <c r="B5" s="5" t="str">
        <f>IF(D22&gt;0,CONCATENATE(D22,", ",D23,", ",D24,", ",D25,", ",D26,", ",D27,", ",D28,", ",D29,", ",D30),"")</f>
        <v>Damian Lillard, Derrick Rose, Joe Johnson, Kyle Korver, Nicolas Batum, Bojan Bogdanovic, Pau Gasol, Zach Randolph, Marc Gasol</v>
      </c>
      <c r="H5" s="20" t="s">
        <v>738</v>
      </c>
      <c r="I5" s="20" t="s">
        <v>747</v>
      </c>
      <c r="J5" s="5" t="s">
        <v>156</v>
      </c>
    </row>
    <row r="6" spans="1:18" x14ac:dyDescent="0.25">
      <c r="A6" s="5" t="s">
        <v>711</v>
      </c>
      <c r="B6" s="5" t="str">
        <f>IF(D33&gt;0,CONCATENATE(D33,", ",D34,", ",D35,", ",D36,", ",D37,", ",D38,", ",D39,", ",D40,", ",D41),"")</f>
        <v>Corey Kluber, Jason Castro, Edwin Encarnacion, Brian Dozier, Luis Valbuena, Troy Tulowitzki, Andrew McCutchen, Carlos Gonzalez, Seth Smith</v>
      </c>
      <c r="H6" s="20" t="s">
        <v>739</v>
      </c>
      <c r="I6" s="20" t="s">
        <v>747</v>
      </c>
      <c r="J6" s="5" t="s">
        <v>156</v>
      </c>
    </row>
    <row r="7" spans="1:18" x14ac:dyDescent="0.25">
      <c r="A7" s="5" t="s">
        <v>729</v>
      </c>
      <c r="B7" s="5" t="str">
        <f>IF(D47&gt;0,CONCATENATE(D47,", ",D48,", ",D49,", ",D50,", ",D51,", ",D52,", ",D53,", ",D54,", ",D55),"")</f>
        <v>Steven Stamkos, Nicklas Backstrom, Alex Ovechkin, Ondrej Palat, Ryan Callahan, Colin McDonald, Jason Garrison, Scott Mayfield, Braden Holtby</v>
      </c>
      <c r="H7" s="20" t="s">
        <v>740</v>
      </c>
      <c r="I7" s="20" t="s">
        <v>748</v>
      </c>
      <c r="J7" s="5" t="s">
        <v>157</v>
      </c>
      <c r="N7" s="21"/>
    </row>
    <row r="8" spans="1:18" x14ac:dyDescent="0.25">
      <c r="H8" s="20" t="s">
        <v>741</v>
      </c>
      <c r="I8" s="5" t="s">
        <v>748</v>
      </c>
      <c r="J8" s="5" t="s">
        <v>157</v>
      </c>
      <c r="K8" s="20"/>
      <c r="N8" s="21"/>
    </row>
    <row r="9" spans="1:18" x14ac:dyDescent="0.25">
      <c r="B9" s="5" t="s">
        <v>727</v>
      </c>
      <c r="H9" s="20" t="s">
        <v>742</v>
      </c>
      <c r="I9" s="5" t="s">
        <v>749</v>
      </c>
      <c r="J9" s="5" t="s">
        <v>158</v>
      </c>
      <c r="K9" s="20"/>
      <c r="L9" s="20"/>
      <c r="N9" s="21"/>
    </row>
    <row r="10" spans="1:18" x14ac:dyDescent="0.25">
      <c r="A10" s="7" t="s">
        <v>726</v>
      </c>
      <c r="B10" s="1"/>
      <c r="H10" s="5" t="s">
        <v>742</v>
      </c>
      <c r="I10" s="5" t="s">
        <v>749</v>
      </c>
      <c r="J10" s="5" t="s">
        <v>158</v>
      </c>
      <c r="K10" s="20"/>
      <c r="L10" s="20"/>
      <c r="N10" s="21"/>
    </row>
    <row r="11" spans="1:18" x14ac:dyDescent="0.25">
      <c r="A11" s="20" t="s">
        <v>1523</v>
      </c>
      <c r="H11" s="5" t="s">
        <v>742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A12" s="5" t="s">
        <v>1524</v>
      </c>
      <c r="I12" s="20"/>
      <c r="K12" s="20"/>
      <c r="L12" s="20"/>
      <c r="M12" s="20"/>
      <c r="N12" s="21"/>
      <c r="P12" s="21"/>
    </row>
    <row r="13" spans="1:18" x14ac:dyDescent="0.25">
      <c r="A13" s="5" t="s">
        <v>1525</v>
      </c>
      <c r="I13" s="20"/>
      <c r="K13" s="20"/>
      <c r="L13" s="20"/>
      <c r="M13" s="20"/>
      <c r="N13" s="21"/>
      <c r="P13" s="21"/>
    </row>
    <row r="14" spans="1:18" x14ac:dyDescent="0.25">
      <c r="A14" s="5" t="s">
        <v>1526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1527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20" t="s">
        <v>1529</v>
      </c>
      <c r="I16" s="20" t="s">
        <v>764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20" t="s">
        <v>1530</v>
      </c>
      <c r="I17" s="20" t="s">
        <v>765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20" t="s">
        <v>1531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20" t="s">
        <v>1532</v>
      </c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766</v>
      </c>
      <c r="M20" s="20"/>
      <c r="N20" s="20"/>
      <c r="O20" s="20"/>
      <c r="P20" s="21"/>
      <c r="Q20" s="21"/>
      <c r="R20" s="21"/>
    </row>
    <row r="21" spans="1:18" x14ac:dyDescent="0.25">
      <c r="A21" s="7" t="s">
        <v>1445</v>
      </c>
      <c r="I21" s="20" t="s">
        <v>767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20" t="s">
        <v>1509</v>
      </c>
      <c r="C22" s="5" t="s">
        <v>1516</v>
      </c>
      <c r="D22" s="5" t="str">
        <f>CONCATENATE(C22," ",A22)</f>
        <v>Damian Lillard</v>
      </c>
      <c r="I22" s="20" t="s">
        <v>768</v>
      </c>
      <c r="L22" s="20"/>
      <c r="N22" s="20"/>
      <c r="O22" s="20"/>
      <c r="Q22" s="21"/>
      <c r="R22" s="21"/>
    </row>
    <row r="23" spans="1:18" x14ac:dyDescent="0.25">
      <c r="A23" s="5" t="s">
        <v>1510</v>
      </c>
      <c r="C23" s="5" t="s">
        <v>1517</v>
      </c>
      <c r="D23" s="5" t="str">
        <f t="shared" ref="D23:D30" si="0">CONCATENATE(C23," ",A23)</f>
        <v>Derrick Rose</v>
      </c>
      <c r="L23" s="20"/>
      <c r="N23" s="21"/>
      <c r="O23" s="21"/>
      <c r="R23" s="21"/>
    </row>
    <row r="24" spans="1:18" hidden="1" x14ac:dyDescent="0.25">
      <c r="A24" s="5" t="s">
        <v>1234</v>
      </c>
      <c r="C24" s="5" t="s">
        <v>1518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1511</v>
      </c>
      <c r="C25" s="5" t="s">
        <v>736</v>
      </c>
      <c r="D25" s="5" t="str">
        <f t="shared" si="0"/>
        <v>Kyle Korver</v>
      </c>
      <c r="L25" s="20"/>
      <c r="M25" s="20"/>
      <c r="N25" s="21"/>
      <c r="O25" s="21"/>
      <c r="R25" s="21"/>
    </row>
    <row r="26" spans="1:18" x14ac:dyDescent="0.25">
      <c r="A26" s="5" t="s">
        <v>1512</v>
      </c>
      <c r="C26" s="5" t="s">
        <v>1519</v>
      </c>
      <c r="D26" s="5" t="str">
        <f t="shared" si="0"/>
        <v>Nicolas Batum</v>
      </c>
      <c r="L26" s="20"/>
      <c r="M26" s="20"/>
      <c r="N26" s="21"/>
      <c r="O26" s="21"/>
      <c r="R26" s="21"/>
    </row>
    <row r="27" spans="1:18" x14ac:dyDescent="0.25">
      <c r="A27" s="20" t="s">
        <v>1513</v>
      </c>
      <c r="C27" s="5" t="s">
        <v>1520</v>
      </c>
      <c r="D27" s="5" t="str">
        <f t="shared" si="0"/>
        <v>Bojan Bogdanovic</v>
      </c>
      <c r="I27" s="20"/>
      <c r="J27" s="20"/>
      <c r="K27" s="20" t="s">
        <v>746</v>
      </c>
      <c r="L27" s="20" t="s">
        <v>1523</v>
      </c>
      <c r="M27" s="20"/>
      <c r="N27" s="20" t="s">
        <v>1487</v>
      </c>
      <c r="O27" s="20" t="s">
        <v>1488</v>
      </c>
      <c r="P27" s="20">
        <v>7500</v>
      </c>
      <c r="Q27" s="21">
        <v>37.299999999999997</v>
      </c>
      <c r="R27" s="21">
        <v>5</v>
      </c>
    </row>
    <row r="28" spans="1:18" x14ac:dyDescent="0.25">
      <c r="A28" s="20" t="s">
        <v>1514</v>
      </c>
      <c r="C28" s="5" t="s">
        <v>1521</v>
      </c>
      <c r="D28" s="5" t="str">
        <f t="shared" si="0"/>
        <v>Pau Gasol</v>
      </c>
      <c r="K28" s="5" t="s">
        <v>746</v>
      </c>
      <c r="L28" s="5" t="s">
        <v>1524</v>
      </c>
      <c r="M28" s="20"/>
      <c r="N28" s="20" t="s">
        <v>129</v>
      </c>
      <c r="O28" s="20" t="s">
        <v>780</v>
      </c>
      <c r="P28" s="20">
        <v>6100</v>
      </c>
      <c r="Q28" s="21">
        <v>39.299999999999997</v>
      </c>
      <c r="R28" s="21">
        <v>6.4</v>
      </c>
    </row>
    <row r="29" spans="1:18" x14ac:dyDescent="0.25">
      <c r="A29" s="20" t="s">
        <v>1515</v>
      </c>
      <c r="C29" s="5" t="s">
        <v>1390</v>
      </c>
      <c r="D29" s="5" t="str">
        <f t="shared" si="0"/>
        <v>Zach Randolph</v>
      </c>
      <c r="K29" s="5" t="s">
        <v>747</v>
      </c>
      <c r="L29" s="5" t="s">
        <v>1525</v>
      </c>
      <c r="M29" s="20"/>
      <c r="N29" s="20" t="s">
        <v>129</v>
      </c>
      <c r="O29" s="20" t="s">
        <v>780</v>
      </c>
      <c r="P29" s="20">
        <v>8700</v>
      </c>
      <c r="Q29" s="21">
        <v>43</v>
      </c>
      <c r="R29" s="21">
        <v>4.9000000000000004</v>
      </c>
    </row>
    <row r="30" spans="1:18" x14ac:dyDescent="0.25">
      <c r="A30" s="20" t="s">
        <v>1514</v>
      </c>
      <c r="C30" s="5" t="s">
        <v>1522</v>
      </c>
      <c r="D30" s="5" t="str">
        <f t="shared" si="0"/>
        <v>Marc Gasol</v>
      </c>
      <c r="K30" s="5" t="s">
        <v>747</v>
      </c>
      <c r="L30" s="5" t="s">
        <v>1526</v>
      </c>
      <c r="M30" s="20"/>
      <c r="N30" s="20" t="s">
        <v>1489</v>
      </c>
      <c r="O30" s="20" t="s">
        <v>775</v>
      </c>
      <c r="P30" s="20">
        <v>6400</v>
      </c>
      <c r="Q30" s="21">
        <v>31.1</v>
      </c>
      <c r="R30" s="21">
        <v>4.9000000000000004</v>
      </c>
    </row>
    <row r="31" spans="1:18" x14ac:dyDescent="0.25">
      <c r="K31" s="5" t="s">
        <v>748</v>
      </c>
      <c r="L31" s="5" t="s">
        <v>1527</v>
      </c>
      <c r="M31" s="20"/>
      <c r="N31" s="20" t="s">
        <v>780</v>
      </c>
      <c r="O31" s="20" t="s">
        <v>1528</v>
      </c>
      <c r="P31" s="20">
        <v>6600</v>
      </c>
      <c r="Q31" s="21">
        <v>34.700000000000003</v>
      </c>
      <c r="R31" s="21">
        <v>5.3</v>
      </c>
    </row>
    <row r="32" spans="1:18" x14ac:dyDescent="0.25">
      <c r="A32" s="7" t="s">
        <v>1446</v>
      </c>
      <c r="I32" s="20"/>
      <c r="J32" s="20"/>
      <c r="K32" s="20" t="s">
        <v>748</v>
      </c>
      <c r="L32" s="20" t="s">
        <v>1529</v>
      </c>
      <c r="M32" s="20"/>
      <c r="N32" s="20" t="s">
        <v>1489</v>
      </c>
      <c r="O32" s="20" t="s">
        <v>775</v>
      </c>
      <c r="P32" s="20">
        <v>4300</v>
      </c>
      <c r="Q32" s="21">
        <v>19.8</v>
      </c>
      <c r="R32" s="21">
        <v>4.5999999999999996</v>
      </c>
    </row>
    <row r="33" spans="1:18" x14ac:dyDescent="0.25">
      <c r="A33" s="20" t="s">
        <v>1504</v>
      </c>
      <c r="C33" s="5" t="s">
        <v>1507</v>
      </c>
      <c r="D33" s="5" t="str">
        <f>CONCATENATE(C33," ",A33)</f>
        <v>Corey Kluber</v>
      </c>
      <c r="I33" s="20"/>
      <c r="J33" s="20"/>
      <c r="K33" s="20" t="s">
        <v>749</v>
      </c>
      <c r="L33" s="20" t="s">
        <v>1530</v>
      </c>
      <c r="M33" s="20"/>
      <c r="N33" s="20" t="s">
        <v>1487</v>
      </c>
      <c r="O33" s="20" t="s">
        <v>1488</v>
      </c>
      <c r="P33" s="20">
        <v>9400</v>
      </c>
      <c r="Q33" s="21">
        <v>48.6</v>
      </c>
      <c r="R33" s="21">
        <v>5.2</v>
      </c>
    </row>
    <row r="34" spans="1:18" x14ac:dyDescent="0.25">
      <c r="A34" s="5" t="s">
        <v>1505</v>
      </c>
      <c r="C34" s="5" t="s">
        <v>1196</v>
      </c>
      <c r="D34" s="5" t="str">
        <f t="shared" ref="D34:D41" si="1">CONCATENATE(C34," ",A34)</f>
        <v>Jason Castro</v>
      </c>
      <c r="I34" s="20"/>
      <c r="J34" s="20"/>
      <c r="K34" s="20" t="s">
        <v>749</v>
      </c>
      <c r="L34" s="20" t="s">
        <v>1531</v>
      </c>
      <c r="M34" s="20"/>
      <c r="N34" s="20" t="s">
        <v>780</v>
      </c>
      <c r="O34" s="20" t="s">
        <v>1528</v>
      </c>
      <c r="P34" s="20">
        <v>4800</v>
      </c>
      <c r="Q34" s="21">
        <v>28.4</v>
      </c>
      <c r="R34" s="21">
        <v>5.9</v>
      </c>
    </row>
    <row r="35" spans="1:18" x14ac:dyDescent="0.25">
      <c r="A35" s="5" t="s">
        <v>1143</v>
      </c>
      <c r="C35" s="5" t="s">
        <v>1142</v>
      </c>
      <c r="D35" s="5" t="str">
        <f t="shared" si="1"/>
        <v>Edwin Encarnacion</v>
      </c>
      <c r="I35" s="20"/>
      <c r="J35" s="20"/>
      <c r="K35" s="20" t="s">
        <v>155</v>
      </c>
      <c r="L35" s="20" t="s">
        <v>1532</v>
      </c>
      <c r="M35" s="20"/>
      <c r="N35" s="20" t="s">
        <v>129</v>
      </c>
      <c r="O35" s="20" t="s">
        <v>780</v>
      </c>
      <c r="P35" s="20">
        <v>6200</v>
      </c>
      <c r="Q35" s="21">
        <v>30.6</v>
      </c>
      <c r="R35" s="21">
        <v>4.9000000000000004</v>
      </c>
    </row>
    <row r="36" spans="1:18" x14ac:dyDescent="0.25">
      <c r="A36" s="5" t="s">
        <v>1454</v>
      </c>
      <c r="C36" s="5" t="s">
        <v>1455</v>
      </c>
      <c r="D36" s="5" t="str">
        <f t="shared" si="1"/>
        <v>Brian Dozier</v>
      </c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A37" s="5" t="s">
        <v>1506</v>
      </c>
      <c r="C37" s="5" t="s">
        <v>734</v>
      </c>
      <c r="D37" s="5" t="str">
        <f t="shared" si="1"/>
        <v>Luis Valbuena</v>
      </c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 t="s">
        <v>1447</v>
      </c>
      <c r="C38" s="5" t="s">
        <v>1448</v>
      </c>
      <c r="D38" s="5" t="str">
        <f t="shared" si="1"/>
        <v>Troy Tulowitzki</v>
      </c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 t="s">
        <v>1453</v>
      </c>
      <c r="C39" s="5" t="s">
        <v>1019</v>
      </c>
      <c r="D39" s="5" t="str">
        <f t="shared" si="1"/>
        <v>Andrew McCutchen</v>
      </c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 t="s">
        <v>755</v>
      </c>
      <c r="C40" s="5" t="s">
        <v>756</v>
      </c>
      <c r="D40" s="5" t="str">
        <f t="shared" si="1"/>
        <v>Carlos Gonzalez</v>
      </c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 t="s">
        <v>1062</v>
      </c>
      <c r="C41" s="5" t="s">
        <v>1508</v>
      </c>
      <c r="D41" s="5" t="str">
        <f t="shared" si="1"/>
        <v>Seth Smith</v>
      </c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 t="s">
        <v>730</v>
      </c>
      <c r="I46" s="20"/>
      <c r="L46" s="21"/>
    </row>
    <row r="47" spans="1:18" x14ac:dyDescent="0.25">
      <c r="A47" s="20" t="s">
        <v>1490</v>
      </c>
      <c r="C47" s="5" t="s">
        <v>759</v>
      </c>
      <c r="D47" s="5" t="str">
        <f>CONCATENATE(C47," ",A47)</f>
        <v>Steven Stamkos</v>
      </c>
      <c r="I47" s="20"/>
      <c r="L47" s="21"/>
    </row>
    <row r="48" spans="1:18" x14ac:dyDescent="0.25">
      <c r="A48" s="5" t="s">
        <v>1491</v>
      </c>
      <c r="C48" s="5" t="s">
        <v>1499</v>
      </c>
      <c r="D48" s="5" t="str">
        <f t="shared" ref="D48:D55" si="2">CONCATENATE(C48," ",A48)</f>
        <v>Nicklas Backstrom</v>
      </c>
      <c r="I48" s="20"/>
      <c r="L48" s="21"/>
      <c r="N48" s="20"/>
      <c r="Q48" s="21"/>
    </row>
    <row r="49" spans="1:17" x14ac:dyDescent="0.25">
      <c r="A49" s="5" t="s">
        <v>1492</v>
      </c>
      <c r="C49" s="5" t="s">
        <v>735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1493</v>
      </c>
      <c r="C50" s="5" t="s">
        <v>1500</v>
      </c>
      <c r="D50" s="5" t="str">
        <f t="shared" si="2"/>
        <v>Ondrej Palat</v>
      </c>
      <c r="I50" s="20"/>
      <c r="L50" s="21"/>
      <c r="N50" s="20"/>
      <c r="Q50" s="21"/>
    </row>
    <row r="51" spans="1:17" x14ac:dyDescent="0.25">
      <c r="A51" s="5" t="s">
        <v>1494</v>
      </c>
      <c r="C51" s="5" t="s">
        <v>1054</v>
      </c>
      <c r="D51" s="5" t="str">
        <f t="shared" si="2"/>
        <v>Ryan Callahan</v>
      </c>
      <c r="N51" s="20"/>
      <c r="Q51" s="21"/>
    </row>
    <row r="52" spans="1:17" x14ac:dyDescent="0.25">
      <c r="A52" s="20" t="s">
        <v>1495</v>
      </c>
      <c r="C52" s="5" t="s">
        <v>1501</v>
      </c>
      <c r="D52" s="5" t="str">
        <f t="shared" si="2"/>
        <v>Colin McDonald</v>
      </c>
      <c r="N52" s="20"/>
      <c r="Q52" s="21"/>
    </row>
    <row r="53" spans="1:17" x14ac:dyDescent="0.25">
      <c r="A53" s="20" t="s">
        <v>1496</v>
      </c>
      <c r="C53" s="5" t="s">
        <v>1196</v>
      </c>
      <c r="D53" s="5" t="str">
        <f t="shared" si="2"/>
        <v>Jason Garrison</v>
      </c>
      <c r="N53" s="20"/>
      <c r="Q53" s="21"/>
    </row>
    <row r="54" spans="1:17" x14ac:dyDescent="0.25">
      <c r="A54" s="20" t="s">
        <v>1497</v>
      </c>
      <c r="C54" s="5" t="s">
        <v>1502</v>
      </c>
      <c r="D54" s="5" t="str">
        <f t="shared" si="2"/>
        <v>Scott Mayfield</v>
      </c>
      <c r="N54" s="20"/>
      <c r="Q54" s="21"/>
    </row>
    <row r="55" spans="1:17" x14ac:dyDescent="0.25">
      <c r="A55" s="20" t="s">
        <v>1498</v>
      </c>
      <c r="C55" s="5" t="s">
        <v>1503</v>
      </c>
      <c r="D55" s="5" t="str">
        <f t="shared" si="2"/>
        <v>Braden Holtby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728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730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topLeftCell="G1" workbookViewId="0">
      <selection activeCell="P18" sqref="P18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21" s="5" customFormat="1" ht="45" x14ac:dyDescent="0.25">
      <c r="N1" s="23" t="s">
        <v>1443</v>
      </c>
      <c r="O1" s="23" t="s">
        <v>1444</v>
      </c>
      <c r="P1" s="23"/>
      <c r="Q1" s="28" t="s">
        <v>1442</v>
      </c>
    </row>
    <row r="2" spans="1:21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1155</v>
      </c>
      <c r="O2" s="5" t="s">
        <v>1156</v>
      </c>
      <c r="Q2" s="7" t="s">
        <v>905</v>
      </c>
    </row>
    <row r="3" spans="1:21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1032</v>
      </c>
      <c r="O3" s="5" t="s">
        <v>1033</v>
      </c>
      <c r="Q3" s="7" t="s">
        <v>929</v>
      </c>
    </row>
    <row r="4" spans="1:21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1008</v>
      </c>
      <c r="O4" s="5" t="s">
        <v>1009</v>
      </c>
      <c r="Q4" s="7" t="s">
        <v>932</v>
      </c>
    </row>
    <row r="5" spans="1:21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1030</v>
      </c>
      <c r="O5" s="5" t="s">
        <v>1031</v>
      </c>
      <c r="Q5" s="7" t="s">
        <v>925</v>
      </c>
      <c r="R5" t="s">
        <v>288</v>
      </c>
      <c r="S5" t="s">
        <v>288</v>
      </c>
      <c r="T5" t="s">
        <v>289</v>
      </c>
      <c r="U5" t="s">
        <v>289</v>
      </c>
    </row>
    <row r="6" spans="1:21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1222</v>
      </c>
      <c r="O6" s="5" t="s">
        <v>1223</v>
      </c>
      <c r="Q6" s="7" t="s">
        <v>916</v>
      </c>
    </row>
    <row r="7" spans="1:21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1169</v>
      </c>
      <c r="O7" s="5" t="s">
        <v>1170</v>
      </c>
      <c r="Q7" s="7" t="s">
        <v>931</v>
      </c>
    </row>
    <row r="8" spans="1:21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1222</v>
      </c>
      <c r="O8" s="5" t="s">
        <v>1170</v>
      </c>
      <c r="Q8" s="7" t="s">
        <v>913</v>
      </c>
    </row>
    <row r="9" spans="1:21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1312</v>
      </c>
      <c r="O9" s="5" t="s">
        <v>1170</v>
      </c>
      <c r="Q9" s="7" t="s">
        <v>904</v>
      </c>
    </row>
    <row r="10" spans="1:21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1119</v>
      </c>
      <c r="O10" s="5" t="s">
        <v>1120</v>
      </c>
      <c r="Q10" s="7" t="s">
        <v>903</v>
      </c>
    </row>
    <row r="11" spans="1:21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1306</v>
      </c>
      <c r="O11" s="5" t="s">
        <v>1307</v>
      </c>
      <c r="Q11" s="7" t="s">
        <v>927</v>
      </c>
    </row>
    <row r="12" spans="1:21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1057</v>
      </c>
      <c r="O12" s="5" t="s">
        <v>1058</v>
      </c>
      <c r="Q12" s="7" t="s">
        <v>960</v>
      </c>
    </row>
    <row r="13" spans="1:21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734</v>
      </c>
      <c r="O13" s="5" t="s">
        <v>1267</v>
      </c>
      <c r="Q13" s="7" t="s">
        <v>911</v>
      </c>
    </row>
    <row r="14" spans="1:21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1312</v>
      </c>
      <c r="O14" s="5" t="s">
        <v>1313</v>
      </c>
      <c r="Q14" s="7" t="s">
        <v>912</v>
      </c>
    </row>
    <row r="15" spans="1:21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1112</v>
      </c>
      <c r="O15" s="5" t="s">
        <v>1113</v>
      </c>
      <c r="Q15" s="7" t="s">
        <v>901</v>
      </c>
    </row>
    <row r="16" spans="1:21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1046</v>
      </c>
      <c r="O16" s="5" t="s">
        <v>1047</v>
      </c>
      <c r="Q16" s="7" t="s">
        <v>906</v>
      </c>
    </row>
    <row r="17" spans="1:17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1106</v>
      </c>
      <c r="Q17" s="7" t="s">
        <v>917</v>
      </c>
    </row>
    <row r="18" spans="1:17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756</v>
      </c>
      <c r="O18" s="5" t="s">
        <v>1063</v>
      </c>
    </row>
    <row r="19" spans="1:17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1004</v>
      </c>
      <c r="O19" s="5" t="s">
        <v>1005</v>
      </c>
    </row>
    <row r="20" spans="1:17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1210</v>
      </c>
      <c r="O20" s="5" t="s">
        <v>1211</v>
      </c>
    </row>
    <row r="21" spans="1:17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1080</v>
      </c>
      <c r="O21" s="5" t="s">
        <v>1081</v>
      </c>
    </row>
    <row r="22" spans="1:17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1375</v>
      </c>
      <c r="O22" s="5" t="s">
        <v>1376</v>
      </c>
    </row>
    <row r="23" spans="1:17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1265</v>
      </c>
      <c r="O23" s="5" t="s">
        <v>1266</v>
      </c>
    </row>
    <row r="24" spans="1:17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1196</v>
      </c>
      <c r="O24" s="5" t="s">
        <v>1197</v>
      </c>
    </row>
    <row r="25" spans="1:17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1044</v>
      </c>
      <c r="O25" s="5" t="s">
        <v>1045</v>
      </c>
    </row>
    <row r="26" spans="1:17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1323</v>
      </c>
      <c r="O26" s="5" t="s">
        <v>1324</v>
      </c>
    </row>
    <row r="27" spans="1:17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1127</v>
      </c>
      <c r="O27" s="5" t="s">
        <v>1128</v>
      </c>
    </row>
    <row r="28" spans="1:17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1038</v>
      </c>
      <c r="O28" s="5" t="s">
        <v>1039</v>
      </c>
    </row>
    <row r="29" spans="1:17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1364</v>
      </c>
      <c r="O29" s="5" t="s">
        <v>1365</v>
      </c>
    </row>
    <row r="30" spans="1:17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758</v>
      </c>
      <c r="O30" s="5" t="s">
        <v>1278</v>
      </c>
    </row>
    <row r="31" spans="1:17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1326</v>
      </c>
      <c r="O31" s="5" t="s">
        <v>1327</v>
      </c>
    </row>
    <row r="32" spans="1:17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1070</v>
      </c>
      <c r="O32" s="5" t="s">
        <v>1071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1089</v>
      </c>
      <c r="O33" s="5" t="s">
        <v>1090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756</v>
      </c>
      <c r="O34" s="5" t="s">
        <v>1064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1379</v>
      </c>
      <c r="O35" s="5" t="s">
        <v>1380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1386</v>
      </c>
      <c r="O36" s="5" t="s">
        <v>1387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1370</v>
      </c>
      <c r="O37" s="5" t="s">
        <v>1371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1359</v>
      </c>
      <c r="O38" s="5" t="s">
        <v>1360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1343</v>
      </c>
      <c r="O39" s="5" t="s">
        <v>1344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735</v>
      </c>
      <c r="O40" s="5" t="s">
        <v>1010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1352</v>
      </c>
      <c r="O41" s="5" t="s">
        <v>1353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735</v>
      </c>
      <c r="O42" s="5" t="s">
        <v>1011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1036</v>
      </c>
      <c r="O43" s="5" t="s">
        <v>1037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1093</v>
      </c>
      <c r="O44" s="5" t="s">
        <v>1037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1310</v>
      </c>
      <c r="O45" s="5" t="s">
        <v>1311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1107</v>
      </c>
      <c r="O46" s="5" t="s">
        <v>1108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1149</v>
      </c>
      <c r="O47" s="5" t="s">
        <v>1150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756</v>
      </c>
      <c r="O48" s="5" t="s">
        <v>1065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1099</v>
      </c>
      <c r="O49" s="5" t="s">
        <v>1100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736</v>
      </c>
      <c r="O50" s="5" t="s">
        <v>1257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1002</v>
      </c>
      <c r="O51" s="5" t="s">
        <v>1003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1359</v>
      </c>
      <c r="O52" s="5" t="s">
        <v>1213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1084</v>
      </c>
      <c r="O53" s="5" t="s">
        <v>1085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1046</v>
      </c>
      <c r="O54" s="5" t="s">
        <v>1048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1361</v>
      </c>
      <c r="O55" s="5" t="s">
        <v>1362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1388</v>
      </c>
      <c r="O56" s="5" t="s">
        <v>1389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736</v>
      </c>
      <c r="O57" s="5" t="s">
        <v>1258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1149</v>
      </c>
      <c r="O58" s="5" t="s">
        <v>1151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1212</v>
      </c>
      <c r="O59" s="5" t="s">
        <v>1396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1330</v>
      </c>
      <c r="O60" s="5" t="s">
        <v>1398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1188</v>
      </c>
      <c r="O61" s="5" t="s">
        <v>1189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1114</v>
      </c>
      <c r="O62" s="5" t="s">
        <v>1115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758</v>
      </c>
      <c r="O63" s="5" t="s">
        <v>1397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1121</v>
      </c>
      <c r="O64" s="5" t="s">
        <v>1395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1222</v>
      </c>
      <c r="O65" s="5" t="s">
        <v>1224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1222</v>
      </c>
      <c r="O66" s="5" t="s">
        <v>1225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1335</v>
      </c>
      <c r="O67" s="5" t="s">
        <v>1336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1287</v>
      </c>
      <c r="O68" s="5" t="s">
        <v>1288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1134</v>
      </c>
      <c r="O69" s="5" t="s">
        <v>1135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1230</v>
      </c>
      <c r="O70" s="5" t="s">
        <v>1231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1218</v>
      </c>
      <c r="O71" s="5" t="s">
        <v>1219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1142</v>
      </c>
      <c r="O72" s="5" t="s">
        <v>1143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1142</v>
      </c>
      <c r="O73" s="5" t="s">
        <v>1144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1352</v>
      </c>
      <c r="O74" s="5" t="s">
        <v>1354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1222</v>
      </c>
      <c r="O75" s="5" t="s">
        <v>1226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1230</v>
      </c>
      <c r="O76" s="5" t="s">
        <v>1232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1287</v>
      </c>
      <c r="O77" s="5" t="s">
        <v>1289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1159</v>
      </c>
      <c r="O78" s="5" t="s">
        <v>1160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1302</v>
      </c>
      <c r="O79" s="5" t="s">
        <v>1303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1296</v>
      </c>
      <c r="O80" s="5" t="s">
        <v>1297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756</v>
      </c>
      <c r="O81" s="5" t="s">
        <v>1066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1319</v>
      </c>
      <c r="O82" s="5" t="s">
        <v>1320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1261</v>
      </c>
      <c r="O83" s="5" t="s">
        <v>1262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1136</v>
      </c>
      <c r="O84" s="5" t="s">
        <v>1137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1157</v>
      </c>
      <c r="O85" s="5" t="s">
        <v>1158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1190</v>
      </c>
      <c r="O86" s="5" t="s">
        <v>1035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734</v>
      </c>
      <c r="O87" s="5" t="s">
        <v>1035</v>
      </c>
    </row>
    <row r="88" spans="1:15" x14ac:dyDescent="0.25">
      <c r="A88" t="s">
        <v>526</v>
      </c>
      <c r="B88" t="s">
        <v>251</v>
      </c>
      <c r="N88" s="5" t="s">
        <v>1385</v>
      </c>
      <c r="O88" s="5" t="s">
        <v>1035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1034</v>
      </c>
      <c r="O89" s="5" t="s">
        <v>1035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755</v>
      </c>
      <c r="O90" s="5" t="s">
        <v>1163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1246</v>
      </c>
      <c r="O91" s="5" t="s">
        <v>1247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1149</v>
      </c>
      <c r="O92" s="5" t="s">
        <v>1152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1381</v>
      </c>
      <c r="O93" s="5" t="s">
        <v>1382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756</v>
      </c>
      <c r="O94" s="5" t="s">
        <v>1067</v>
      </c>
    </row>
    <row r="95" spans="1:15" x14ac:dyDescent="0.25">
      <c r="A95" t="s">
        <v>437</v>
      </c>
      <c r="N95" s="5" t="s">
        <v>1167</v>
      </c>
      <c r="O95" s="5" t="s">
        <v>1067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1202</v>
      </c>
      <c r="O96" s="5" t="s">
        <v>1067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1004</v>
      </c>
      <c r="O97" s="5" t="s">
        <v>755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756</v>
      </c>
      <c r="O98" s="5" t="s">
        <v>755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1277</v>
      </c>
      <c r="O99" s="5" t="s">
        <v>755</v>
      </c>
    </row>
    <row r="100" spans="1:15" x14ac:dyDescent="0.25">
      <c r="A100" t="s">
        <v>607</v>
      </c>
      <c r="B100" t="s">
        <v>394</v>
      </c>
      <c r="N100" s="5" t="s">
        <v>1292</v>
      </c>
      <c r="O100" s="5" t="s">
        <v>755</v>
      </c>
    </row>
    <row r="101" spans="1:15" x14ac:dyDescent="0.25">
      <c r="A101" t="s">
        <v>218</v>
      </c>
      <c r="B101" t="s">
        <v>219</v>
      </c>
      <c r="N101" s="5" t="s">
        <v>1350</v>
      </c>
      <c r="O101" s="5" t="s">
        <v>1351</v>
      </c>
    </row>
    <row r="102" spans="1:15" x14ac:dyDescent="0.25">
      <c r="A102" t="s">
        <v>455</v>
      </c>
      <c r="B102" t="s">
        <v>472</v>
      </c>
      <c r="N102" s="5" t="s">
        <v>1368</v>
      </c>
      <c r="O102" s="5" t="s">
        <v>1369</v>
      </c>
    </row>
    <row r="103" spans="1:15" x14ac:dyDescent="0.25">
      <c r="A103" t="s">
        <v>291</v>
      </c>
      <c r="N103" s="5" t="s">
        <v>1314</v>
      </c>
      <c r="O103" s="5" t="s">
        <v>1315</v>
      </c>
    </row>
    <row r="104" spans="1:15" x14ac:dyDescent="0.25">
      <c r="A104" t="s">
        <v>391</v>
      </c>
      <c r="N104" s="5" t="s">
        <v>1000</v>
      </c>
      <c r="O104" s="5" t="s">
        <v>1001</v>
      </c>
    </row>
    <row r="105" spans="1:15" x14ac:dyDescent="0.25">
      <c r="A105" t="s">
        <v>250</v>
      </c>
      <c r="B105" t="s">
        <v>111</v>
      </c>
      <c r="N105" s="5" t="s">
        <v>1242</v>
      </c>
      <c r="O105" s="5" t="s">
        <v>1243</v>
      </c>
    </row>
    <row r="106" spans="1:15" x14ac:dyDescent="0.25">
      <c r="A106" t="s">
        <v>523</v>
      </c>
      <c r="N106" s="5" t="s">
        <v>1200</v>
      </c>
      <c r="O106" s="5" t="s">
        <v>1201</v>
      </c>
    </row>
    <row r="107" spans="1:15" x14ac:dyDescent="0.25">
      <c r="A107" t="s">
        <v>239</v>
      </c>
      <c r="N107" s="5" t="s">
        <v>1014</v>
      </c>
      <c r="O107" s="5" t="s">
        <v>1015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1114</v>
      </c>
      <c r="O108" s="5" t="s">
        <v>1116</v>
      </c>
    </row>
    <row r="109" spans="1:15" x14ac:dyDescent="0.25">
      <c r="A109" t="s">
        <v>617</v>
      </c>
      <c r="N109" s="5" t="s">
        <v>1230</v>
      </c>
      <c r="O109" s="5" t="s">
        <v>1233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1181</v>
      </c>
      <c r="O110" s="5" t="s">
        <v>1182</v>
      </c>
    </row>
    <row r="111" spans="1:15" x14ac:dyDescent="0.25">
      <c r="A111" t="s">
        <v>525</v>
      </c>
      <c r="B111" t="s">
        <v>626</v>
      </c>
      <c r="N111" s="5" t="s">
        <v>758</v>
      </c>
      <c r="O111" s="5" t="s">
        <v>1279</v>
      </c>
    </row>
    <row r="112" spans="1:15" x14ac:dyDescent="0.25">
      <c r="A112" t="s">
        <v>524</v>
      </c>
      <c r="B112" t="s">
        <v>612</v>
      </c>
      <c r="N112" s="5" t="s">
        <v>1209</v>
      </c>
      <c r="O112" s="5" t="s">
        <v>1169</v>
      </c>
    </row>
    <row r="113" spans="1:15" x14ac:dyDescent="0.25">
      <c r="A113" t="s">
        <v>445</v>
      </c>
      <c r="N113" s="5" t="s">
        <v>1077</v>
      </c>
      <c r="O113" s="5" t="s">
        <v>1078</v>
      </c>
    </row>
    <row r="114" spans="1:15" x14ac:dyDescent="0.25">
      <c r="A114" t="s">
        <v>276</v>
      </c>
      <c r="N114" s="5" t="s">
        <v>1114</v>
      </c>
      <c r="O114" s="5" t="s">
        <v>1078</v>
      </c>
    </row>
    <row r="115" spans="1:15" x14ac:dyDescent="0.25">
      <c r="A115" t="s">
        <v>401</v>
      </c>
      <c r="B115" t="s">
        <v>620</v>
      </c>
      <c r="N115" s="5" t="s">
        <v>1154</v>
      </c>
      <c r="O115" s="5" t="s">
        <v>1078</v>
      </c>
    </row>
    <row r="116" spans="1:15" x14ac:dyDescent="0.25">
      <c r="A116" t="s">
        <v>548</v>
      </c>
      <c r="N116" s="5" t="s">
        <v>1309</v>
      </c>
      <c r="O116" s="5" t="s">
        <v>1078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1325</v>
      </c>
      <c r="O117" s="5" t="s">
        <v>1078</v>
      </c>
    </row>
    <row r="118" spans="1:15" x14ac:dyDescent="0.25">
      <c r="A118" t="s">
        <v>379</v>
      </c>
      <c r="B118" t="s">
        <v>72</v>
      </c>
      <c r="N118" s="5" t="s">
        <v>1095</v>
      </c>
      <c r="O118" s="5" t="s">
        <v>1096</v>
      </c>
    </row>
    <row r="119" spans="1:15" x14ac:dyDescent="0.25">
      <c r="A119" t="s">
        <v>182</v>
      </c>
      <c r="B119" t="s">
        <v>603</v>
      </c>
      <c r="N119" s="5" t="s">
        <v>1269</v>
      </c>
      <c r="O119" s="5" t="s">
        <v>1270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733</v>
      </c>
      <c r="O120" s="5" t="s">
        <v>1122</v>
      </c>
    </row>
    <row r="121" spans="1:15" x14ac:dyDescent="0.25">
      <c r="A121" t="s">
        <v>579</v>
      </c>
      <c r="N121" s="5" t="s">
        <v>1275</v>
      </c>
      <c r="O121" s="5" t="s">
        <v>1276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1114</v>
      </c>
      <c r="O122" s="5" t="s">
        <v>1117</v>
      </c>
    </row>
    <row r="123" spans="1:15" x14ac:dyDescent="0.25">
      <c r="A123" t="s">
        <v>268</v>
      </c>
      <c r="N123" s="5" t="s">
        <v>1019</v>
      </c>
      <c r="O123" s="5" t="s">
        <v>1020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1317</v>
      </c>
      <c r="O124" s="5" t="s">
        <v>1318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1361</v>
      </c>
      <c r="O125" s="5" t="s">
        <v>1363</v>
      </c>
    </row>
    <row r="126" spans="1:15" x14ac:dyDescent="0.25">
      <c r="A126" t="s">
        <v>498</v>
      </c>
      <c r="N126" s="5" t="s">
        <v>1271</v>
      </c>
      <c r="O126" s="5" t="s">
        <v>1272</v>
      </c>
    </row>
    <row r="127" spans="1:15" x14ac:dyDescent="0.25">
      <c r="A127" t="s">
        <v>609</v>
      </c>
      <c r="B127" t="s">
        <v>610</v>
      </c>
      <c r="N127" s="5" t="s">
        <v>1237</v>
      </c>
      <c r="O127" s="5" t="s">
        <v>1190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1248</v>
      </c>
      <c r="O128" s="5" t="s">
        <v>1249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1072</v>
      </c>
      <c r="O129" s="5" t="s">
        <v>1073</v>
      </c>
    </row>
    <row r="130" spans="1:15" x14ac:dyDescent="0.25">
      <c r="A130" t="s">
        <v>365</v>
      </c>
      <c r="B130" t="s">
        <v>366</v>
      </c>
      <c r="N130" s="5" t="s">
        <v>1215</v>
      </c>
      <c r="O130" s="5" t="s">
        <v>1216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734</v>
      </c>
      <c r="O131" s="5" t="s">
        <v>1268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1374</v>
      </c>
      <c r="O132" s="5" t="s">
        <v>1268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1230</v>
      </c>
      <c r="O133" s="5" t="s">
        <v>1234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1296</v>
      </c>
      <c r="O134" s="5" t="s">
        <v>753</v>
      </c>
    </row>
    <row r="135" spans="1:15" x14ac:dyDescent="0.25">
      <c r="A135" t="s">
        <v>454</v>
      </c>
      <c r="B135" t="s">
        <v>457</v>
      </c>
      <c r="N135" s="5" t="s">
        <v>1091</v>
      </c>
      <c r="O135" s="5" t="s">
        <v>1348</v>
      </c>
    </row>
    <row r="136" spans="1:15" x14ac:dyDescent="0.25">
      <c r="A136" t="s">
        <v>453</v>
      </c>
      <c r="N136" s="5" t="s">
        <v>1240</v>
      </c>
      <c r="O136" s="5" t="s">
        <v>1241</v>
      </c>
    </row>
    <row r="137" spans="1:15" x14ac:dyDescent="0.25">
      <c r="A137" t="s">
        <v>497</v>
      </c>
      <c r="B137" t="s">
        <v>630</v>
      </c>
      <c r="N137" s="5" t="s">
        <v>1299</v>
      </c>
      <c r="O137" s="5" t="s">
        <v>1300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1129</v>
      </c>
      <c r="O138" s="5" t="s">
        <v>1130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1177</v>
      </c>
      <c r="O139" s="5" t="s">
        <v>1178</v>
      </c>
    </row>
    <row r="140" spans="1:15" x14ac:dyDescent="0.25">
      <c r="A140" t="s">
        <v>295</v>
      </c>
      <c r="N140" s="5" t="s">
        <v>1314</v>
      </c>
      <c r="O140" s="5" t="s">
        <v>1316</v>
      </c>
    </row>
    <row r="141" spans="1:15" x14ac:dyDescent="0.25">
      <c r="A141" t="s">
        <v>420</v>
      </c>
      <c r="N141" s="5" t="s">
        <v>751</v>
      </c>
      <c r="O141" s="5" t="s">
        <v>1399</v>
      </c>
    </row>
    <row r="142" spans="1:15" x14ac:dyDescent="0.25">
      <c r="A142" t="s">
        <v>471</v>
      </c>
      <c r="N142" s="5" t="s">
        <v>1370</v>
      </c>
      <c r="O142" s="5" t="s">
        <v>1372</v>
      </c>
    </row>
    <row r="143" spans="1:15" x14ac:dyDescent="0.25">
      <c r="A143" t="s">
        <v>514</v>
      </c>
      <c r="N143" s="5" t="s">
        <v>1161</v>
      </c>
      <c r="O143" s="5" t="s">
        <v>1162</v>
      </c>
    </row>
    <row r="144" spans="1:15" x14ac:dyDescent="0.25">
      <c r="A144" t="s">
        <v>261</v>
      </c>
      <c r="N144" s="5" t="s">
        <v>1183</v>
      </c>
      <c r="O144" s="5" t="s">
        <v>1184</v>
      </c>
    </row>
    <row r="145" spans="1:15" x14ac:dyDescent="0.25">
      <c r="A145" t="s">
        <v>563</v>
      </c>
      <c r="N145" s="5" t="s">
        <v>1355</v>
      </c>
      <c r="O145" s="5" t="s">
        <v>1356</v>
      </c>
    </row>
    <row r="146" spans="1:15" x14ac:dyDescent="0.25">
      <c r="A146" t="s">
        <v>346</v>
      </c>
      <c r="N146" s="5" t="s">
        <v>1046</v>
      </c>
      <c r="O146" s="5" t="s">
        <v>1049</v>
      </c>
    </row>
    <row r="147" spans="1:15" x14ac:dyDescent="0.25">
      <c r="A147" t="s">
        <v>426</v>
      </c>
      <c r="N147" s="5" t="s">
        <v>1097</v>
      </c>
      <c r="O147" s="5" t="s">
        <v>1098</v>
      </c>
    </row>
    <row r="148" spans="1:15" x14ac:dyDescent="0.25">
      <c r="A148" t="s">
        <v>564</v>
      </c>
      <c r="N148" s="5" t="s">
        <v>1125</v>
      </c>
      <c r="O148" s="5" t="s">
        <v>1126</v>
      </c>
    </row>
    <row r="149" spans="1:15" x14ac:dyDescent="0.25">
      <c r="A149" t="s">
        <v>516</v>
      </c>
      <c r="N149" s="5" t="s">
        <v>1333</v>
      </c>
      <c r="O149" s="5" t="s">
        <v>1334</v>
      </c>
    </row>
    <row r="150" spans="1:15" x14ac:dyDescent="0.25">
      <c r="A150" t="s">
        <v>65</v>
      </c>
      <c r="N150" s="5" t="s">
        <v>1222</v>
      </c>
      <c r="O150" s="5" t="s">
        <v>1227</v>
      </c>
    </row>
    <row r="151" spans="1:15" x14ac:dyDescent="0.25">
      <c r="A151" t="s">
        <v>423</v>
      </c>
      <c r="N151" s="5" t="s">
        <v>736</v>
      </c>
      <c r="O151" s="5" t="s">
        <v>1259</v>
      </c>
    </row>
    <row r="152" spans="1:15" x14ac:dyDescent="0.25">
      <c r="A152" t="s">
        <v>506</v>
      </c>
      <c r="N152" s="5" t="s">
        <v>732</v>
      </c>
      <c r="O152" s="5" t="s">
        <v>1193</v>
      </c>
    </row>
    <row r="153" spans="1:15" x14ac:dyDescent="0.25">
      <c r="A153" t="s">
        <v>350</v>
      </c>
      <c r="N153" s="5" t="s">
        <v>1198</v>
      </c>
      <c r="O153" s="5" t="s">
        <v>1199</v>
      </c>
    </row>
    <row r="154" spans="1:15" x14ac:dyDescent="0.25">
      <c r="A154" t="s">
        <v>366</v>
      </c>
      <c r="N154" s="5" t="s">
        <v>1101</v>
      </c>
      <c r="O154" s="5" t="s">
        <v>1102</v>
      </c>
    </row>
    <row r="155" spans="1:15" x14ac:dyDescent="0.25">
      <c r="A155" t="s">
        <v>501</v>
      </c>
      <c r="N155" s="5" t="s">
        <v>1341</v>
      </c>
      <c r="O155" s="5" t="s">
        <v>1342</v>
      </c>
    </row>
    <row r="156" spans="1:15" x14ac:dyDescent="0.25">
      <c r="A156" t="s">
        <v>351</v>
      </c>
      <c r="N156" s="5" t="s">
        <v>1183</v>
      </c>
      <c r="O156" s="5" t="s">
        <v>1185</v>
      </c>
    </row>
    <row r="157" spans="1:15" x14ac:dyDescent="0.25">
      <c r="A157" t="s">
        <v>565</v>
      </c>
      <c r="N157" s="5" t="s">
        <v>1335</v>
      </c>
      <c r="O157" s="5" t="s">
        <v>1337</v>
      </c>
    </row>
    <row r="158" spans="1:15" x14ac:dyDescent="0.25">
      <c r="A158" t="s">
        <v>488</v>
      </c>
      <c r="N158" s="5" t="s">
        <v>1263</v>
      </c>
      <c r="O158" s="5" t="s">
        <v>1264</v>
      </c>
    </row>
    <row r="159" spans="1:15" x14ac:dyDescent="0.25">
      <c r="A159" t="s">
        <v>511</v>
      </c>
      <c r="N159" s="5" t="s">
        <v>756</v>
      </c>
      <c r="O159" s="5" t="s">
        <v>1068</v>
      </c>
    </row>
    <row r="160" spans="1:15" x14ac:dyDescent="0.25">
      <c r="A160" t="s">
        <v>376</v>
      </c>
      <c r="N160" s="5" t="s">
        <v>1301</v>
      </c>
      <c r="O160" s="5" t="s">
        <v>1068</v>
      </c>
    </row>
    <row r="161" spans="1:15" x14ac:dyDescent="0.25">
      <c r="A161" t="s">
        <v>439</v>
      </c>
      <c r="N161" s="5" t="s">
        <v>1375</v>
      </c>
      <c r="O161" s="5" t="s">
        <v>1068</v>
      </c>
    </row>
    <row r="162" spans="1:15" x14ac:dyDescent="0.25">
      <c r="A162" t="s">
        <v>238</v>
      </c>
      <c r="N162" s="5" t="s">
        <v>1203</v>
      </c>
      <c r="O162" s="5" t="s">
        <v>1204</v>
      </c>
    </row>
    <row r="163" spans="1:15" x14ac:dyDescent="0.25">
      <c r="A163" t="s">
        <v>584</v>
      </c>
      <c r="N163" s="5" t="s">
        <v>1191</v>
      </c>
      <c r="O163" s="5" t="s">
        <v>1192</v>
      </c>
    </row>
    <row r="164" spans="1:15" x14ac:dyDescent="0.25">
      <c r="A164" t="s">
        <v>585</v>
      </c>
      <c r="N164" s="5" t="s">
        <v>1296</v>
      </c>
      <c r="O164" s="5" t="s">
        <v>1298</v>
      </c>
    </row>
    <row r="165" spans="1:15" x14ac:dyDescent="0.25">
      <c r="A165" t="s">
        <v>521</v>
      </c>
      <c r="N165" s="5" t="s">
        <v>1254</v>
      </c>
      <c r="O165" s="5" t="s">
        <v>1255</v>
      </c>
    </row>
    <row r="166" spans="1:15" x14ac:dyDescent="0.25">
      <c r="A166" t="s">
        <v>461</v>
      </c>
      <c r="N166" s="5" t="s">
        <v>1205</v>
      </c>
      <c r="O166" s="5" t="s">
        <v>1206</v>
      </c>
    </row>
    <row r="167" spans="1:15" x14ac:dyDescent="0.25">
      <c r="A167" t="s">
        <v>370</v>
      </c>
      <c r="N167" s="5" t="s">
        <v>1328</v>
      </c>
      <c r="O167" s="5" t="s">
        <v>1329</v>
      </c>
    </row>
    <row r="168" spans="1:15" x14ac:dyDescent="0.25">
      <c r="A168" t="s">
        <v>499</v>
      </c>
      <c r="N168" s="5" t="s">
        <v>1123</v>
      </c>
      <c r="O168" s="5" t="s">
        <v>1124</v>
      </c>
    </row>
    <row r="169" spans="1:15" x14ac:dyDescent="0.25">
      <c r="A169" t="s">
        <v>450</v>
      </c>
      <c r="N169" s="5" t="s">
        <v>1355</v>
      </c>
      <c r="O169" s="5" t="s">
        <v>1357</v>
      </c>
    </row>
    <row r="170" spans="1:15" x14ac:dyDescent="0.25">
      <c r="A170" t="s">
        <v>402</v>
      </c>
      <c r="N170" s="5" t="s">
        <v>731</v>
      </c>
      <c r="O170" s="5" t="s">
        <v>1293</v>
      </c>
    </row>
    <row r="171" spans="1:15" x14ac:dyDescent="0.25">
      <c r="A171" t="s">
        <v>429</v>
      </c>
      <c r="N171" s="5" t="s">
        <v>758</v>
      </c>
      <c r="O171" s="5" t="s">
        <v>1280</v>
      </c>
    </row>
    <row r="172" spans="1:15" x14ac:dyDescent="0.25">
      <c r="A172" t="s">
        <v>271</v>
      </c>
      <c r="N172" s="5" t="s">
        <v>1287</v>
      </c>
      <c r="O172" s="5" t="s">
        <v>1290</v>
      </c>
    </row>
    <row r="173" spans="1:15" x14ac:dyDescent="0.25">
      <c r="A173" t="s">
        <v>586</v>
      </c>
      <c r="N173" s="5" t="s">
        <v>731</v>
      </c>
      <c r="O173" s="5" t="s">
        <v>1294</v>
      </c>
    </row>
    <row r="174" spans="1:15" x14ac:dyDescent="0.25">
      <c r="A174" t="s">
        <v>556</v>
      </c>
      <c r="N174" s="5" t="s">
        <v>1084</v>
      </c>
      <c r="O174" s="5" t="s">
        <v>1086</v>
      </c>
    </row>
    <row r="175" spans="1:15" x14ac:dyDescent="0.25">
      <c r="A175" t="s">
        <v>355</v>
      </c>
      <c r="N175" s="5" t="s">
        <v>1215</v>
      </c>
      <c r="O175" s="5" t="s">
        <v>1217</v>
      </c>
    </row>
    <row r="176" spans="1:15" x14ac:dyDescent="0.25">
      <c r="A176" t="s">
        <v>447</v>
      </c>
      <c r="N176" s="5" t="s">
        <v>1254</v>
      </c>
      <c r="O176" s="5" t="s">
        <v>1256</v>
      </c>
    </row>
    <row r="177" spans="1:15" x14ac:dyDescent="0.25">
      <c r="A177" t="s">
        <v>581</v>
      </c>
      <c r="N177" s="5" t="s">
        <v>1167</v>
      </c>
      <c r="O177" s="5" t="s">
        <v>1168</v>
      </c>
    </row>
    <row r="178" spans="1:15" x14ac:dyDescent="0.25">
      <c r="A178" t="s">
        <v>236</v>
      </c>
      <c r="N178" s="5" t="s">
        <v>1321</v>
      </c>
      <c r="O178" s="5" t="s">
        <v>1322</v>
      </c>
    </row>
    <row r="179" spans="1:15" x14ac:dyDescent="0.25">
      <c r="A179" t="s">
        <v>566</v>
      </c>
      <c r="N179" s="5" t="s">
        <v>1335</v>
      </c>
      <c r="O179" s="5" t="s">
        <v>1338</v>
      </c>
    </row>
    <row r="180" spans="1:15" x14ac:dyDescent="0.25">
      <c r="A180" t="s">
        <v>253</v>
      </c>
      <c r="N180" s="5" t="s">
        <v>1179</v>
      </c>
      <c r="O180" s="5" t="s">
        <v>1180</v>
      </c>
    </row>
    <row r="181" spans="1:15" x14ac:dyDescent="0.25">
      <c r="A181" t="s">
        <v>66</v>
      </c>
      <c r="N181" s="5" t="s">
        <v>1140</v>
      </c>
      <c r="O181" s="5" t="s">
        <v>1141</v>
      </c>
    </row>
    <row r="182" spans="1:15" x14ac:dyDescent="0.25">
      <c r="A182" t="s">
        <v>200</v>
      </c>
      <c r="N182" s="5" t="s">
        <v>1055</v>
      </c>
      <c r="O182" s="5" t="s">
        <v>1056</v>
      </c>
    </row>
    <row r="183" spans="1:15" x14ac:dyDescent="0.25">
      <c r="A183" t="s">
        <v>405</v>
      </c>
      <c r="N183" s="5" t="s">
        <v>1138</v>
      </c>
      <c r="O183" s="5" t="s">
        <v>1139</v>
      </c>
    </row>
    <row r="184" spans="1:15" x14ac:dyDescent="0.25">
      <c r="A184" t="s">
        <v>587</v>
      </c>
      <c r="N184" s="5" t="s">
        <v>731</v>
      </c>
      <c r="O184" s="5" t="s">
        <v>1295</v>
      </c>
    </row>
    <row r="185" spans="1:15" x14ac:dyDescent="0.25">
      <c r="A185" t="s">
        <v>588</v>
      </c>
      <c r="N185" s="5" t="s">
        <v>1230</v>
      </c>
      <c r="O185" s="5" t="s">
        <v>1235</v>
      </c>
    </row>
    <row r="186" spans="1:15" x14ac:dyDescent="0.25">
      <c r="A186" t="s">
        <v>555</v>
      </c>
      <c r="N186" s="5" t="s">
        <v>1021</v>
      </c>
      <c r="O186" s="5" t="s">
        <v>1022</v>
      </c>
    </row>
    <row r="187" spans="1:15" x14ac:dyDescent="0.25">
      <c r="A187" t="s">
        <v>407</v>
      </c>
      <c r="N187" s="5" t="s">
        <v>1194</v>
      </c>
      <c r="O187" s="5" t="s">
        <v>1195</v>
      </c>
    </row>
    <row r="188" spans="1:15" x14ac:dyDescent="0.25">
      <c r="A188" t="s">
        <v>408</v>
      </c>
      <c r="N188" s="5" t="s">
        <v>1040</v>
      </c>
      <c r="O188" s="5" t="s">
        <v>1041</v>
      </c>
    </row>
    <row r="189" spans="1:15" x14ac:dyDescent="0.25">
      <c r="A189" t="s">
        <v>567</v>
      </c>
      <c r="N189" s="5" t="s">
        <v>1042</v>
      </c>
      <c r="O189" s="5" t="s">
        <v>1043</v>
      </c>
    </row>
    <row r="190" spans="1:15" x14ac:dyDescent="0.25">
      <c r="A190" t="s">
        <v>427</v>
      </c>
      <c r="N190" s="5" t="s">
        <v>1051</v>
      </c>
      <c r="O190" s="5" t="s">
        <v>1052</v>
      </c>
    </row>
    <row r="191" spans="1:15" x14ac:dyDescent="0.25">
      <c r="A191" t="s">
        <v>413</v>
      </c>
      <c r="N191" s="5" t="s">
        <v>1173</v>
      </c>
      <c r="O191" s="5" t="s">
        <v>1174</v>
      </c>
    </row>
    <row r="192" spans="1:15" x14ac:dyDescent="0.25">
      <c r="A192" t="s">
        <v>419</v>
      </c>
      <c r="N192" s="5" t="s">
        <v>1264</v>
      </c>
      <c r="O192" s="5" t="s">
        <v>1172</v>
      </c>
    </row>
    <row r="193" spans="1:15" x14ac:dyDescent="0.25">
      <c r="A193" t="s">
        <v>464</v>
      </c>
      <c r="N193" s="5" t="s">
        <v>1308</v>
      </c>
      <c r="O193" s="5" t="s">
        <v>1172</v>
      </c>
    </row>
    <row r="194" spans="1:15" x14ac:dyDescent="0.25">
      <c r="A194" t="s">
        <v>589</v>
      </c>
      <c r="N194" s="5" t="s">
        <v>1325</v>
      </c>
      <c r="O194" s="5" t="s">
        <v>1172</v>
      </c>
    </row>
    <row r="195" spans="1:15" x14ac:dyDescent="0.25">
      <c r="A195" t="s">
        <v>519</v>
      </c>
      <c r="N195" s="5" t="s">
        <v>1332</v>
      </c>
      <c r="O195" s="5" t="s">
        <v>1172</v>
      </c>
    </row>
    <row r="196" spans="1:15" x14ac:dyDescent="0.25">
      <c r="A196" t="s">
        <v>509</v>
      </c>
      <c r="N196" s="5" t="s">
        <v>1171</v>
      </c>
      <c r="O196" s="5" t="s">
        <v>1172</v>
      </c>
    </row>
    <row r="197" spans="1:15" x14ac:dyDescent="0.25">
      <c r="A197" t="s">
        <v>264</v>
      </c>
      <c r="N197" s="5" t="s">
        <v>1183</v>
      </c>
      <c r="O197" s="5" t="s">
        <v>1186</v>
      </c>
    </row>
    <row r="198" spans="1:15" x14ac:dyDescent="0.25">
      <c r="A198" t="s">
        <v>492</v>
      </c>
      <c r="N198" s="5" t="s">
        <v>1220</v>
      </c>
      <c r="O198" s="5" t="s">
        <v>1221</v>
      </c>
    </row>
    <row r="199" spans="1:15" x14ac:dyDescent="0.25">
      <c r="A199" t="s">
        <v>481</v>
      </c>
      <c r="N199" s="5" t="s">
        <v>1222</v>
      </c>
      <c r="O199" s="5" t="s">
        <v>1228</v>
      </c>
    </row>
    <row r="200" spans="1:15" x14ac:dyDescent="0.25">
      <c r="A200" t="s">
        <v>529</v>
      </c>
      <c r="N200" s="5" t="s">
        <v>1250</v>
      </c>
      <c r="O200" s="5" t="s">
        <v>1251</v>
      </c>
    </row>
    <row r="201" spans="1:15" x14ac:dyDescent="0.25">
      <c r="A201" t="s">
        <v>508</v>
      </c>
      <c r="N201" s="5" t="s">
        <v>1077</v>
      </c>
      <c r="O201" s="5" t="s">
        <v>1079</v>
      </c>
    </row>
    <row r="202" spans="1:15" x14ac:dyDescent="0.25">
      <c r="A202" t="s">
        <v>568</v>
      </c>
      <c r="N202" s="5" t="s">
        <v>1029</v>
      </c>
      <c r="O202" s="5" t="s">
        <v>1018</v>
      </c>
    </row>
    <row r="203" spans="1:15" x14ac:dyDescent="0.25">
      <c r="A203" t="s">
        <v>476</v>
      </c>
      <c r="N203" s="5" t="s">
        <v>1145</v>
      </c>
      <c r="O203" s="5" t="s">
        <v>1018</v>
      </c>
    </row>
    <row r="204" spans="1:15" x14ac:dyDescent="0.25">
      <c r="A204" t="s">
        <v>409</v>
      </c>
      <c r="N204" s="5" t="s">
        <v>1164</v>
      </c>
      <c r="O204" s="5" t="s">
        <v>1018</v>
      </c>
    </row>
    <row r="205" spans="1:15" x14ac:dyDescent="0.25">
      <c r="A205" t="s">
        <v>374</v>
      </c>
      <c r="N205" s="5" t="s">
        <v>1222</v>
      </c>
      <c r="O205" s="5" t="s">
        <v>1018</v>
      </c>
    </row>
    <row r="206" spans="1:15" x14ac:dyDescent="0.25">
      <c r="A206" t="s">
        <v>428</v>
      </c>
      <c r="N206" s="5" t="s">
        <v>1017</v>
      </c>
      <c r="O206" s="5" t="s">
        <v>1018</v>
      </c>
    </row>
    <row r="207" spans="1:15" x14ac:dyDescent="0.25">
      <c r="A207" t="s">
        <v>451</v>
      </c>
      <c r="N207" s="5" t="s">
        <v>1101</v>
      </c>
      <c r="O207" s="5" t="s">
        <v>1103</v>
      </c>
    </row>
    <row r="208" spans="1:15" x14ac:dyDescent="0.25">
      <c r="A208" t="s">
        <v>590</v>
      </c>
      <c r="N208" s="5" t="s">
        <v>1183</v>
      </c>
      <c r="O208" s="5" t="s">
        <v>1187</v>
      </c>
    </row>
    <row r="209" spans="1:15" x14ac:dyDescent="0.25">
      <c r="A209" t="s">
        <v>489</v>
      </c>
      <c r="N209" s="5" t="s">
        <v>1025</v>
      </c>
      <c r="O209" s="5" t="s">
        <v>1026</v>
      </c>
    </row>
    <row r="210" spans="1:15" x14ac:dyDescent="0.25">
      <c r="A210" t="s">
        <v>272</v>
      </c>
      <c r="N210" s="5" t="s">
        <v>1222</v>
      </c>
      <c r="O210" s="5" t="s">
        <v>1229</v>
      </c>
    </row>
    <row r="211" spans="1:15" x14ac:dyDescent="0.25">
      <c r="A211" t="s">
        <v>522</v>
      </c>
      <c r="N211" s="5" t="s">
        <v>1027</v>
      </c>
      <c r="O211" s="5" t="s">
        <v>1028</v>
      </c>
    </row>
    <row r="212" spans="1:15" x14ac:dyDescent="0.25">
      <c r="A212" t="s">
        <v>569</v>
      </c>
      <c r="N212" s="5" t="s">
        <v>1082</v>
      </c>
      <c r="O212" s="5" t="s">
        <v>1083</v>
      </c>
    </row>
    <row r="213" spans="1:15" x14ac:dyDescent="0.25">
      <c r="A213" t="s">
        <v>422</v>
      </c>
      <c r="N213" s="5" t="s">
        <v>735</v>
      </c>
      <c r="O213" s="5" t="s">
        <v>1012</v>
      </c>
    </row>
    <row r="214" spans="1:15" x14ac:dyDescent="0.25">
      <c r="A214" t="s">
        <v>68</v>
      </c>
      <c r="N214" s="5" t="s">
        <v>1346</v>
      </c>
      <c r="O214" s="5" t="s">
        <v>1347</v>
      </c>
    </row>
    <row r="215" spans="1:15" x14ac:dyDescent="0.25">
      <c r="A215" t="s">
        <v>470</v>
      </c>
      <c r="N215" s="5" t="s">
        <v>1165</v>
      </c>
      <c r="O215" s="5" t="s">
        <v>1166</v>
      </c>
    </row>
    <row r="216" spans="1:15" x14ac:dyDescent="0.25">
      <c r="A216" t="s">
        <v>540</v>
      </c>
      <c r="N216" s="5" t="s">
        <v>756</v>
      </c>
      <c r="O216" s="5" t="s">
        <v>754</v>
      </c>
    </row>
    <row r="217" spans="1:15" x14ac:dyDescent="0.25">
      <c r="A217" t="s">
        <v>430</v>
      </c>
      <c r="N217" s="5" t="s">
        <v>735</v>
      </c>
      <c r="O217" s="5" t="s">
        <v>1013</v>
      </c>
    </row>
    <row r="218" spans="1:15" x14ac:dyDescent="0.25">
      <c r="A218" t="s">
        <v>570</v>
      </c>
      <c r="N218" s="5" t="s">
        <v>759</v>
      </c>
      <c r="O218" s="5" t="s">
        <v>1013</v>
      </c>
    </row>
    <row r="219" spans="1:15" x14ac:dyDescent="0.25">
      <c r="A219" t="s">
        <v>360</v>
      </c>
      <c r="N219" s="5" t="s">
        <v>1059</v>
      </c>
      <c r="O219" s="5" t="s">
        <v>1060</v>
      </c>
    </row>
    <row r="220" spans="1:15" x14ac:dyDescent="0.25">
      <c r="A220" t="s">
        <v>381</v>
      </c>
      <c r="N220" s="5" t="s">
        <v>1167</v>
      </c>
      <c r="O220" s="5" t="s">
        <v>1060</v>
      </c>
    </row>
    <row r="221" spans="1:15" x14ac:dyDescent="0.25">
      <c r="A221" t="s">
        <v>559</v>
      </c>
      <c r="N221" s="5" t="s">
        <v>1390</v>
      </c>
      <c r="O221" s="5" t="s">
        <v>1391</v>
      </c>
    </row>
    <row r="222" spans="1:15" x14ac:dyDescent="0.25">
      <c r="A222" t="s">
        <v>547</v>
      </c>
      <c r="N222" s="5" t="s">
        <v>1054</v>
      </c>
      <c r="O222" s="5" t="s">
        <v>1331</v>
      </c>
    </row>
    <row r="223" spans="1:15" x14ac:dyDescent="0.25">
      <c r="A223" t="s">
        <v>571</v>
      </c>
      <c r="N223" s="5" t="s">
        <v>1131</v>
      </c>
      <c r="O223" s="5" t="s">
        <v>1132</v>
      </c>
    </row>
    <row r="224" spans="1:15" x14ac:dyDescent="0.25">
      <c r="A224" t="s">
        <v>494</v>
      </c>
      <c r="N224" s="5" t="s">
        <v>1053</v>
      </c>
      <c r="O224" s="5" t="s">
        <v>1054</v>
      </c>
    </row>
    <row r="225" spans="1:15" x14ac:dyDescent="0.25">
      <c r="A225" t="s">
        <v>188</v>
      </c>
      <c r="N225" s="5" t="s">
        <v>1175</v>
      </c>
      <c r="O225" s="5" t="s">
        <v>1176</v>
      </c>
    </row>
    <row r="226" spans="1:15" x14ac:dyDescent="0.25">
      <c r="A226" t="s">
        <v>431</v>
      </c>
      <c r="N226" s="5" t="s">
        <v>1075</v>
      </c>
      <c r="O226" s="5" t="s">
        <v>1076</v>
      </c>
    </row>
    <row r="227" spans="1:15" x14ac:dyDescent="0.25">
      <c r="A227" t="s">
        <v>434</v>
      </c>
      <c r="N227" s="5" t="s">
        <v>1072</v>
      </c>
      <c r="O227" s="5" t="s">
        <v>1074</v>
      </c>
    </row>
    <row r="228" spans="1:15" x14ac:dyDescent="0.25">
      <c r="A228" t="s">
        <v>382</v>
      </c>
      <c r="N228" s="5" t="s">
        <v>1167</v>
      </c>
      <c r="O228" s="5" t="s">
        <v>1024</v>
      </c>
    </row>
    <row r="229" spans="1:15" x14ac:dyDescent="0.25">
      <c r="A229" t="s">
        <v>530</v>
      </c>
      <c r="N229" s="5" t="s">
        <v>1359</v>
      </c>
      <c r="O229" s="5" t="s">
        <v>1024</v>
      </c>
    </row>
    <row r="230" spans="1:15" x14ac:dyDescent="0.25">
      <c r="A230" t="s">
        <v>432</v>
      </c>
      <c r="N230" s="5" t="s">
        <v>1023</v>
      </c>
      <c r="O230" s="5" t="s">
        <v>1024</v>
      </c>
    </row>
    <row r="231" spans="1:15" x14ac:dyDescent="0.25">
      <c r="A231" t="s">
        <v>591</v>
      </c>
      <c r="N231" s="5" t="s">
        <v>756</v>
      </c>
      <c r="O231" s="5" t="s">
        <v>1024</v>
      </c>
    </row>
    <row r="232" spans="1:15" x14ac:dyDescent="0.25">
      <c r="A232" t="s">
        <v>449</v>
      </c>
      <c r="N232" s="5" t="s">
        <v>1107</v>
      </c>
      <c r="O232" s="5" t="s">
        <v>1109</v>
      </c>
    </row>
    <row r="233" spans="1:15" x14ac:dyDescent="0.25">
      <c r="A233" t="s">
        <v>546</v>
      </c>
      <c r="N233" s="5" t="s">
        <v>1153</v>
      </c>
      <c r="O233" s="5" t="s">
        <v>1109</v>
      </c>
    </row>
    <row r="234" spans="1:15" x14ac:dyDescent="0.25">
      <c r="A234" t="s">
        <v>475</v>
      </c>
      <c r="N234" s="5" t="s">
        <v>1287</v>
      </c>
      <c r="O234" s="5" t="s">
        <v>1291</v>
      </c>
    </row>
    <row r="235" spans="1:15" x14ac:dyDescent="0.25">
      <c r="A235" t="s">
        <v>592</v>
      </c>
      <c r="N235" s="5" t="s">
        <v>1006</v>
      </c>
      <c r="O235" s="5" t="s">
        <v>1007</v>
      </c>
    </row>
    <row r="236" spans="1:15" x14ac:dyDescent="0.25">
      <c r="A236" t="s">
        <v>410</v>
      </c>
      <c r="N236" s="5" t="s">
        <v>1242</v>
      </c>
      <c r="O236" s="5" t="s">
        <v>1244</v>
      </c>
    </row>
    <row r="237" spans="1:15" x14ac:dyDescent="0.25">
      <c r="A237" t="s">
        <v>386</v>
      </c>
      <c r="N237" s="5" t="s">
        <v>1087</v>
      </c>
      <c r="O237" s="5" t="s">
        <v>1088</v>
      </c>
    </row>
    <row r="238" spans="1:15" x14ac:dyDescent="0.25">
      <c r="A238" t="s">
        <v>553</v>
      </c>
      <c r="N238" s="5" t="s">
        <v>1339</v>
      </c>
      <c r="O238" s="5" t="s">
        <v>1340</v>
      </c>
    </row>
    <row r="239" spans="1:15" x14ac:dyDescent="0.25">
      <c r="A239" t="s">
        <v>480</v>
      </c>
      <c r="N239" s="5" t="s">
        <v>1370</v>
      </c>
      <c r="O239" s="5" t="s">
        <v>1373</v>
      </c>
    </row>
    <row r="240" spans="1:15" x14ac:dyDescent="0.25">
      <c r="A240" t="s">
        <v>526</v>
      </c>
      <c r="N240" s="5" t="s">
        <v>736</v>
      </c>
      <c r="O240" s="5" t="s">
        <v>1260</v>
      </c>
    </row>
    <row r="241" spans="1:15" x14ac:dyDescent="0.25">
      <c r="A241" t="s">
        <v>572</v>
      </c>
      <c r="N241" s="5" t="s">
        <v>1061</v>
      </c>
      <c r="O241" s="5" t="s">
        <v>1062</v>
      </c>
    </row>
    <row r="242" spans="1:15" x14ac:dyDescent="0.25">
      <c r="A242" t="s">
        <v>459</v>
      </c>
      <c r="N242" s="5" t="s">
        <v>1230</v>
      </c>
      <c r="O242" s="5" t="s">
        <v>1062</v>
      </c>
    </row>
    <row r="243" spans="1:15" x14ac:dyDescent="0.25">
      <c r="A243" t="s">
        <v>593</v>
      </c>
      <c r="N243" s="5" t="s">
        <v>1378</v>
      </c>
      <c r="O243" s="5" t="s">
        <v>1062</v>
      </c>
    </row>
    <row r="244" spans="1:15" x14ac:dyDescent="0.25">
      <c r="A244" t="s">
        <v>61</v>
      </c>
      <c r="N244" s="5" t="s">
        <v>1131</v>
      </c>
      <c r="O244" s="5" t="s">
        <v>1133</v>
      </c>
    </row>
    <row r="245" spans="1:15" x14ac:dyDescent="0.25">
      <c r="A245" t="s">
        <v>452</v>
      </c>
      <c r="N245" s="5" t="s">
        <v>1343</v>
      </c>
      <c r="O245" s="5" t="s">
        <v>1345</v>
      </c>
    </row>
    <row r="246" spans="1:15" x14ac:dyDescent="0.25">
      <c r="A246" t="s">
        <v>411</v>
      </c>
      <c r="N246" s="5" t="s">
        <v>1104</v>
      </c>
      <c r="O246" s="5" t="s">
        <v>1105</v>
      </c>
    </row>
    <row r="247" spans="1:15" x14ac:dyDescent="0.25">
      <c r="A247" t="s">
        <v>468</v>
      </c>
      <c r="N247" s="5" t="s">
        <v>1282</v>
      </c>
      <c r="O247" s="5" t="s">
        <v>1283</v>
      </c>
    </row>
    <row r="248" spans="1:15" x14ac:dyDescent="0.25">
      <c r="A248" t="s">
        <v>562</v>
      </c>
      <c r="N248" s="5" t="s">
        <v>1273</v>
      </c>
      <c r="O248" s="5" t="s">
        <v>1274</v>
      </c>
    </row>
    <row r="249" spans="1:15" x14ac:dyDescent="0.25">
      <c r="A249" t="s">
        <v>186</v>
      </c>
      <c r="N249" s="5" t="s">
        <v>1207</v>
      </c>
      <c r="O249" s="5" t="s">
        <v>1208</v>
      </c>
    </row>
    <row r="250" spans="1:15" x14ac:dyDescent="0.25">
      <c r="A250" t="s">
        <v>539</v>
      </c>
      <c r="N250" s="5" t="s">
        <v>1146</v>
      </c>
      <c r="O250" s="5" t="s">
        <v>1147</v>
      </c>
    </row>
    <row r="251" spans="1:15" x14ac:dyDescent="0.25">
      <c r="A251" t="s">
        <v>594</v>
      </c>
      <c r="N251" s="5" t="s">
        <v>1302</v>
      </c>
      <c r="O251" s="5" t="s">
        <v>1304</v>
      </c>
    </row>
    <row r="252" spans="1:15" x14ac:dyDescent="0.25">
      <c r="A252" t="s">
        <v>520</v>
      </c>
      <c r="N252" s="5" t="s">
        <v>1089</v>
      </c>
      <c r="O252" s="5" t="s">
        <v>1091</v>
      </c>
    </row>
    <row r="253" spans="1:15" x14ac:dyDescent="0.25">
      <c r="A253" t="s">
        <v>503</v>
      </c>
      <c r="N253" s="5" t="s">
        <v>1287</v>
      </c>
      <c r="O253" s="5" t="s">
        <v>1091</v>
      </c>
    </row>
    <row r="254" spans="1:15" x14ac:dyDescent="0.25">
      <c r="A254" t="s">
        <v>573</v>
      </c>
      <c r="N254" s="5" t="s">
        <v>1238</v>
      </c>
      <c r="O254" s="5" t="s">
        <v>1239</v>
      </c>
    </row>
    <row r="255" spans="1:15" x14ac:dyDescent="0.25">
      <c r="A255" t="s">
        <v>456</v>
      </c>
      <c r="N255" s="5" t="s">
        <v>757</v>
      </c>
      <c r="O255" s="5" t="s">
        <v>1214</v>
      </c>
    </row>
    <row r="256" spans="1:15" x14ac:dyDescent="0.25">
      <c r="A256" t="s">
        <v>466</v>
      </c>
      <c r="N256" s="5" t="s">
        <v>1091</v>
      </c>
      <c r="O256" s="5" t="s">
        <v>1349</v>
      </c>
    </row>
    <row r="257" spans="1:15" x14ac:dyDescent="0.25">
      <c r="A257" t="s">
        <v>388</v>
      </c>
      <c r="N257" s="5" t="s">
        <v>1383</v>
      </c>
      <c r="O257" s="5" t="s">
        <v>1384</v>
      </c>
    </row>
    <row r="258" spans="1:15" x14ac:dyDescent="0.25">
      <c r="A258" t="s">
        <v>362</v>
      </c>
      <c r="N258" s="5" t="s">
        <v>1230</v>
      </c>
      <c r="O258" s="5" t="s">
        <v>1236</v>
      </c>
    </row>
    <row r="259" spans="1:15" x14ac:dyDescent="0.25">
      <c r="A259" t="s">
        <v>348</v>
      </c>
      <c r="N259" s="5" t="s">
        <v>1014</v>
      </c>
      <c r="O259" s="5" t="s">
        <v>1016</v>
      </c>
    </row>
    <row r="260" spans="1:15" x14ac:dyDescent="0.25">
      <c r="A260" t="s">
        <v>212</v>
      </c>
      <c r="N260" s="5" t="s">
        <v>1282</v>
      </c>
      <c r="O260" s="5" t="s">
        <v>1284</v>
      </c>
    </row>
    <row r="261" spans="1:15" x14ac:dyDescent="0.25">
      <c r="A261" t="s">
        <v>574</v>
      </c>
      <c r="N261" s="5" t="s">
        <v>1183</v>
      </c>
      <c r="O261" s="5" t="s">
        <v>752</v>
      </c>
    </row>
    <row r="262" spans="1:15" x14ac:dyDescent="0.25">
      <c r="A262" t="s">
        <v>460</v>
      </c>
      <c r="N262" s="5" t="s">
        <v>1285</v>
      </c>
      <c r="O262" s="5" t="s">
        <v>1286</v>
      </c>
    </row>
    <row r="263" spans="1:15" x14ac:dyDescent="0.25">
      <c r="A263" t="s">
        <v>472</v>
      </c>
      <c r="N263" s="5" t="s">
        <v>1093</v>
      </c>
      <c r="O263" s="5" t="s">
        <v>1094</v>
      </c>
    </row>
    <row r="264" spans="1:15" x14ac:dyDescent="0.25">
      <c r="A264" t="s">
        <v>396</v>
      </c>
      <c r="N264" s="5" t="s">
        <v>1242</v>
      </c>
      <c r="O264" s="5" t="s">
        <v>1245</v>
      </c>
    </row>
    <row r="265" spans="1:15" x14ac:dyDescent="0.25">
      <c r="A265" t="s">
        <v>491</v>
      </c>
      <c r="N265" s="5" t="s">
        <v>756</v>
      </c>
      <c r="O265" s="5" t="s">
        <v>1069</v>
      </c>
    </row>
    <row r="266" spans="1:15" x14ac:dyDescent="0.25">
      <c r="A266" t="s">
        <v>412</v>
      </c>
      <c r="N266" s="5" t="s">
        <v>1302</v>
      </c>
      <c r="O266" s="5" t="s">
        <v>1305</v>
      </c>
    </row>
    <row r="267" spans="1:15" x14ac:dyDescent="0.25">
      <c r="A267" t="s">
        <v>437</v>
      </c>
      <c r="N267" s="5" t="s">
        <v>1366</v>
      </c>
      <c r="O267" s="5" t="s">
        <v>1367</v>
      </c>
    </row>
    <row r="268" spans="1:15" x14ac:dyDescent="0.25">
      <c r="A268" t="s">
        <v>406</v>
      </c>
      <c r="N268" s="5" t="s">
        <v>1390</v>
      </c>
      <c r="O268" s="5" t="s">
        <v>1392</v>
      </c>
    </row>
    <row r="269" spans="1:15" x14ac:dyDescent="0.25">
      <c r="A269" t="s">
        <v>554</v>
      </c>
      <c r="N269" s="5" t="s">
        <v>1393</v>
      </c>
      <c r="O269" s="5" t="s">
        <v>1394</v>
      </c>
    </row>
    <row r="270" spans="1:15" x14ac:dyDescent="0.25">
      <c r="A270" t="s">
        <v>433</v>
      </c>
      <c r="N270" s="5" t="s">
        <v>758</v>
      </c>
      <c r="O270" s="5" t="s">
        <v>1281</v>
      </c>
    </row>
    <row r="271" spans="1:15" x14ac:dyDescent="0.25">
      <c r="A271" t="s">
        <v>242</v>
      </c>
      <c r="N271" s="5" t="s">
        <v>1355</v>
      </c>
      <c r="O271" s="5" t="s">
        <v>1358</v>
      </c>
    </row>
    <row r="272" spans="1:15" x14ac:dyDescent="0.25">
      <c r="A272" t="s">
        <v>256</v>
      </c>
      <c r="N272" s="5" t="s">
        <v>1110</v>
      </c>
      <c r="O272" s="5" t="s">
        <v>1111</v>
      </c>
    </row>
    <row r="273" spans="1:15" x14ac:dyDescent="0.25">
      <c r="A273" t="s">
        <v>512</v>
      </c>
      <c r="N273" s="5" t="s">
        <v>1089</v>
      </c>
      <c r="O273" s="5" t="s">
        <v>1092</v>
      </c>
    </row>
    <row r="274" spans="1:15" x14ac:dyDescent="0.25">
      <c r="A274" t="s">
        <v>510</v>
      </c>
      <c r="N274" s="5" t="s">
        <v>1046</v>
      </c>
      <c r="O274" s="5" t="s">
        <v>1050</v>
      </c>
    </row>
    <row r="275" spans="1:15" x14ac:dyDescent="0.25">
      <c r="A275" t="s">
        <v>518</v>
      </c>
      <c r="N275" s="5" t="s">
        <v>1114</v>
      </c>
      <c r="O275" s="5" t="s">
        <v>1118</v>
      </c>
    </row>
    <row r="276" spans="1:15" x14ac:dyDescent="0.25">
      <c r="A276" t="s">
        <v>389</v>
      </c>
      <c r="N276" s="5" t="s">
        <v>759</v>
      </c>
      <c r="O276" s="5" t="s">
        <v>1118</v>
      </c>
    </row>
    <row r="277" spans="1:15" x14ac:dyDescent="0.25">
      <c r="A277" t="s">
        <v>340</v>
      </c>
      <c r="N277" s="5" t="s">
        <v>1377</v>
      </c>
      <c r="O277" s="5" t="s">
        <v>1118</v>
      </c>
    </row>
    <row r="278" spans="1:15" x14ac:dyDescent="0.25">
      <c r="A278" t="s">
        <v>500</v>
      </c>
      <c r="N278" s="5" t="s">
        <v>1252</v>
      </c>
      <c r="O278" s="5" t="s">
        <v>1253</v>
      </c>
    </row>
    <row r="279" spans="1:15" x14ac:dyDescent="0.25">
      <c r="A279" t="s">
        <v>218</v>
      </c>
      <c r="N279" s="5" t="s">
        <v>1146</v>
      </c>
      <c r="O279" s="5" t="s">
        <v>1148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6"/>
  <sheetViews>
    <sheetView topLeftCell="A70" workbookViewId="0">
      <selection activeCell="E89" sqref="E89:F89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1440</v>
      </c>
      <c r="B1" s="7" t="s">
        <v>1441</v>
      </c>
      <c r="C1" s="7" t="s">
        <v>244</v>
      </c>
      <c r="E1" s="23" t="s">
        <v>889</v>
      </c>
      <c r="F1" s="28" t="s">
        <v>1439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876</v>
      </c>
      <c r="F2" s="27" t="s">
        <v>890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879</v>
      </c>
      <c r="F3" s="27" t="s">
        <v>944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833</v>
      </c>
      <c r="F4" s="27" t="s">
        <v>971</v>
      </c>
    </row>
    <row r="5" spans="1:6" x14ac:dyDescent="0.25">
      <c r="A5" t="s">
        <v>68</v>
      </c>
      <c r="B5" t="s">
        <v>385</v>
      </c>
      <c r="C5" s="5" t="s">
        <v>385</v>
      </c>
      <c r="E5" s="5" t="s">
        <v>834</v>
      </c>
      <c r="F5" s="27" t="s">
        <v>997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858</v>
      </c>
      <c r="F6" s="27" t="s">
        <v>999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856</v>
      </c>
      <c r="F7" s="27" t="s">
        <v>926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845</v>
      </c>
      <c r="F8" s="27" t="s">
        <v>979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859</v>
      </c>
      <c r="F9" s="27" t="s">
        <v>984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805</v>
      </c>
      <c r="F10" s="27" t="s">
        <v>948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794</v>
      </c>
      <c r="F11" s="27" t="s">
        <v>938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885</v>
      </c>
      <c r="F12" s="27" t="s">
        <v>970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803</v>
      </c>
      <c r="F13" s="27" t="s">
        <v>893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863</v>
      </c>
      <c r="F14" s="27" t="s">
        <v>987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887</v>
      </c>
      <c r="F15" s="27" t="s">
        <v>995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802</v>
      </c>
      <c r="F16" s="27" t="s">
        <v>946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812</v>
      </c>
      <c r="F17" s="27" t="s">
        <v>954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806</v>
      </c>
      <c r="F18" s="27" t="s">
        <v>949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870</v>
      </c>
      <c r="F19" s="27" t="s">
        <v>935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865</v>
      </c>
      <c r="F20" s="27" t="s">
        <v>930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815</v>
      </c>
      <c r="F21" s="27" t="s">
        <v>955</v>
      </c>
    </row>
    <row r="22" spans="1:6" x14ac:dyDescent="0.25">
      <c r="A22" s="5" t="s">
        <v>250</v>
      </c>
      <c r="B22" t="s">
        <v>184</v>
      </c>
      <c r="C22" s="5" t="s">
        <v>250</v>
      </c>
      <c r="E22" s="5" t="s">
        <v>816</v>
      </c>
      <c r="F22" s="27" t="s">
        <v>899</v>
      </c>
    </row>
    <row r="23" spans="1:6" x14ac:dyDescent="0.25">
      <c r="A23" t="s">
        <v>283</v>
      </c>
      <c r="B23" s="15" t="s">
        <v>234</v>
      </c>
      <c r="C23" s="5" t="s">
        <v>283</v>
      </c>
      <c r="E23" s="5" t="s">
        <v>835</v>
      </c>
      <c r="F23" s="27" t="s">
        <v>977</v>
      </c>
    </row>
    <row r="24" spans="1:6" x14ac:dyDescent="0.25">
      <c r="A24" s="15" t="s">
        <v>258</v>
      </c>
      <c r="B24" s="15" t="s">
        <v>259</v>
      </c>
      <c r="C24" s="15" t="s">
        <v>258</v>
      </c>
      <c r="E24" s="5" t="s">
        <v>836</v>
      </c>
      <c r="F24" s="27" t="s">
        <v>972</v>
      </c>
    </row>
    <row r="25" spans="1:6" x14ac:dyDescent="0.25">
      <c r="A25" s="15" t="s">
        <v>284</v>
      </c>
      <c r="B25" s="15" t="s">
        <v>284</v>
      </c>
      <c r="C25" t="s">
        <v>285</v>
      </c>
      <c r="E25" s="5" t="s">
        <v>849</v>
      </c>
      <c r="F25" s="27" t="s">
        <v>921</v>
      </c>
    </row>
    <row r="26" spans="1:6" x14ac:dyDescent="0.25">
      <c r="A26" s="15" t="s">
        <v>181</v>
      </c>
      <c r="B26" s="15" t="s">
        <v>181</v>
      </c>
      <c r="C26" s="5" t="s">
        <v>287</v>
      </c>
      <c r="E26" s="5" t="s">
        <v>819</v>
      </c>
      <c r="F26" s="27" t="s">
        <v>957</v>
      </c>
    </row>
    <row r="27" spans="1:6" x14ac:dyDescent="0.25">
      <c r="A27" s="15" t="s">
        <v>286</v>
      </c>
      <c r="B27" s="15" t="s">
        <v>286</v>
      </c>
      <c r="C27" s="5" t="s">
        <v>286</v>
      </c>
      <c r="E27" s="5" t="s">
        <v>850</v>
      </c>
      <c r="F27" s="27" t="s">
        <v>922</v>
      </c>
    </row>
    <row r="28" spans="1:6" ht="15.75" customHeight="1" x14ac:dyDescent="0.25">
      <c r="A28" s="15" t="s">
        <v>291</v>
      </c>
      <c r="B28" s="15" t="s">
        <v>291</v>
      </c>
      <c r="C28" s="5" t="s">
        <v>288</v>
      </c>
      <c r="E28" s="5" t="s">
        <v>882</v>
      </c>
      <c r="F28" s="27" t="s">
        <v>961</v>
      </c>
    </row>
    <row r="29" spans="1:6" x14ac:dyDescent="0.25">
      <c r="A29" t="s">
        <v>289</v>
      </c>
      <c r="B29" s="15" t="s">
        <v>292</v>
      </c>
      <c r="C29" s="5" t="s">
        <v>289</v>
      </c>
      <c r="E29" s="5" t="s">
        <v>880</v>
      </c>
      <c r="F29" s="27" t="s">
        <v>945</v>
      </c>
    </row>
    <row r="30" spans="1:6" x14ac:dyDescent="0.25">
      <c r="A30" s="15" t="s">
        <v>293</v>
      </c>
      <c r="B30" s="15" t="s">
        <v>293</v>
      </c>
      <c r="C30" s="5" t="s">
        <v>293</v>
      </c>
      <c r="E30" s="5" t="s">
        <v>846</v>
      </c>
      <c r="F30" s="27" t="s">
        <v>980</v>
      </c>
    </row>
    <row r="31" spans="1:6" x14ac:dyDescent="0.25">
      <c r="A31" s="15" t="s">
        <v>294</v>
      </c>
      <c r="B31" s="15" t="s">
        <v>294</v>
      </c>
      <c r="C31" s="5" t="s">
        <v>294</v>
      </c>
      <c r="E31" s="5" t="s">
        <v>875</v>
      </c>
      <c r="F31" s="27" t="s">
        <v>994</v>
      </c>
    </row>
    <row r="32" spans="1:6" x14ac:dyDescent="0.25">
      <c r="A32" s="15"/>
      <c r="E32" s="27" t="s">
        <v>842</v>
      </c>
      <c r="F32" s="27" t="s">
        <v>915</v>
      </c>
    </row>
    <row r="33" spans="5:6" x14ac:dyDescent="0.25">
      <c r="E33" s="5" t="s">
        <v>807</v>
      </c>
      <c r="F33" s="27" t="s">
        <v>950</v>
      </c>
    </row>
    <row r="34" spans="5:6" x14ac:dyDescent="0.25">
      <c r="E34" s="5" t="s">
        <v>824</v>
      </c>
      <c r="F34" s="27" t="s">
        <v>963</v>
      </c>
    </row>
    <row r="35" spans="5:6" x14ac:dyDescent="0.25">
      <c r="E35" s="5" t="s">
        <v>830</v>
      </c>
      <c r="F35" s="27" t="s">
        <v>968</v>
      </c>
    </row>
    <row r="36" spans="5:6" x14ac:dyDescent="0.25">
      <c r="E36" s="5" t="s">
        <v>795</v>
      </c>
      <c r="F36" s="27" t="s">
        <v>939</v>
      </c>
    </row>
    <row r="37" spans="5:6" x14ac:dyDescent="0.25">
      <c r="E37" s="5" t="s">
        <v>808</v>
      </c>
      <c r="F37" s="27" t="s">
        <v>951</v>
      </c>
    </row>
    <row r="38" spans="5:6" x14ac:dyDescent="0.25">
      <c r="E38" s="5" t="s">
        <v>848</v>
      </c>
      <c r="F38" s="27" t="s">
        <v>982</v>
      </c>
    </row>
    <row r="39" spans="5:6" x14ac:dyDescent="0.25">
      <c r="E39" s="5" t="s">
        <v>853</v>
      </c>
      <c r="F39" s="27" t="s">
        <v>983</v>
      </c>
    </row>
    <row r="40" spans="5:6" x14ac:dyDescent="0.25">
      <c r="E40" s="5" t="s">
        <v>871</v>
      </c>
      <c r="F40" s="27" t="s">
        <v>871</v>
      </c>
    </row>
    <row r="41" spans="5:6" x14ac:dyDescent="0.25">
      <c r="E41" s="5" t="s">
        <v>860</v>
      </c>
      <c r="F41" s="27" t="s">
        <v>928</v>
      </c>
    </row>
    <row r="42" spans="5:6" x14ac:dyDescent="0.25">
      <c r="E42" s="5" t="s">
        <v>797</v>
      </c>
      <c r="F42" s="27" t="s">
        <v>891</v>
      </c>
    </row>
    <row r="43" spans="5:6" x14ac:dyDescent="0.25">
      <c r="E43" s="5" t="s">
        <v>811</v>
      </c>
      <c r="F43" s="27" t="s">
        <v>953</v>
      </c>
    </row>
    <row r="44" spans="5:6" x14ac:dyDescent="0.25">
      <c r="E44" s="5" t="s">
        <v>822</v>
      </c>
      <c r="F44" s="27" t="s">
        <v>959</v>
      </c>
    </row>
    <row r="45" spans="5:6" x14ac:dyDescent="0.25">
      <c r="E45" s="5" t="s">
        <v>861</v>
      </c>
      <c r="F45" s="27" t="s">
        <v>985</v>
      </c>
    </row>
    <row r="46" spans="5:6" x14ac:dyDescent="0.25">
      <c r="E46" s="5" t="s">
        <v>813</v>
      </c>
      <c r="F46" s="27" t="s">
        <v>896</v>
      </c>
    </row>
    <row r="47" spans="5:6" x14ac:dyDescent="0.25">
      <c r="E47" s="5" t="s">
        <v>799</v>
      </c>
      <c r="F47" s="27" t="s">
        <v>900</v>
      </c>
    </row>
    <row r="48" spans="5:6" x14ac:dyDescent="0.25">
      <c r="E48" s="5" t="s">
        <v>847</v>
      </c>
      <c r="F48" s="27" t="s">
        <v>981</v>
      </c>
    </row>
    <row r="49" spans="5:6" x14ac:dyDescent="0.25">
      <c r="E49" s="5" t="s">
        <v>872</v>
      </c>
      <c r="F49" s="27" t="s">
        <v>991</v>
      </c>
    </row>
    <row r="50" spans="5:6" x14ac:dyDescent="0.25">
      <c r="E50" s="5" t="s">
        <v>841</v>
      </c>
      <c r="F50" s="27" t="s">
        <v>914</v>
      </c>
    </row>
    <row r="51" spans="5:6" x14ac:dyDescent="0.25">
      <c r="E51" s="5" t="s">
        <v>855</v>
      </c>
      <c r="F51" s="27" t="s">
        <v>924</v>
      </c>
    </row>
    <row r="52" spans="5:6" x14ac:dyDescent="0.25">
      <c r="E52" s="5" t="s">
        <v>826</v>
      </c>
      <c r="F52" s="27" t="s">
        <v>909</v>
      </c>
    </row>
    <row r="53" spans="5:6" x14ac:dyDescent="0.25">
      <c r="E53" s="5" t="s">
        <v>817</v>
      </c>
      <c r="F53" s="27" t="s">
        <v>897</v>
      </c>
    </row>
    <row r="54" spans="5:6" x14ac:dyDescent="0.25">
      <c r="E54" s="5" t="s">
        <v>867</v>
      </c>
      <c r="F54" s="27" t="s">
        <v>990</v>
      </c>
    </row>
    <row r="55" spans="5:6" x14ac:dyDescent="0.25">
      <c r="E55" s="5" t="s">
        <v>837</v>
      </c>
      <c r="F55" s="27" t="s">
        <v>973</v>
      </c>
    </row>
    <row r="56" spans="5:6" x14ac:dyDescent="0.25">
      <c r="E56" s="5" t="s">
        <v>829</v>
      </c>
      <c r="F56" s="27" t="s">
        <v>967</v>
      </c>
    </row>
    <row r="57" spans="5:6" x14ac:dyDescent="0.25">
      <c r="E57" s="5" t="s">
        <v>827</v>
      </c>
      <c r="F57" s="27" t="s">
        <v>910</v>
      </c>
    </row>
    <row r="58" spans="5:6" x14ac:dyDescent="0.25">
      <c r="E58" s="5" t="s">
        <v>844</v>
      </c>
      <c r="F58" s="27" t="s">
        <v>978</v>
      </c>
    </row>
    <row r="59" spans="5:6" x14ac:dyDescent="0.25">
      <c r="E59" s="5" t="s">
        <v>809</v>
      </c>
      <c r="F59" s="27" t="s">
        <v>952</v>
      </c>
    </row>
    <row r="60" spans="5:6" x14ac:dyDescent="0.25">
      <c r="E60" s="5" t="s">
        <v>886</v>
      </c>
      <c r="F60" s="27" t="s">
        <v>992</v>
      </c>
    </row>
    <row r="61" spans="5:6" x14ac:dyDescent="0.25">
      <c r="E61" s="5" t="s">
        <v>864</v>
      </c>
      <c r="F61" s="27" t="s">
        <v>988</v>
      </c>
    </row>
    <row r="62" spans="5:6" x14ac:dyDescent="0.25">
      <c r="E62" s="5" t="s">
        <v>869</v>
      </c>
      <c r="F62" s="27" t="s">
        <v>934</v>
      </c>
    </row>
    <row r="63" spans="5:6" x14ac:dyDescent="0.25">
      <c r="E63" s="5" t="s">
        <v>851</v>
      </c>
      <c r="F63" s="27" t="s">
        <v>923</v>
      </c>
    </row>
    <row r="64" spans="5:6" x14ac:dyDescent="0.25">
      <c r="E64" s="5" t="s">
        <v>854</v>
      </c>
      <c r="F64" s="27" t="s">
        <v>920</v>
      </c>
    </row>
    <row r="65" spans="5:6" x14ac:dyDescent="0.25">
      <c r="E65" s="5" t="s">
        <v>832</v>
      </c>
      <c r="F65" s="27" t="s">
        <v>907</v>
      </c>
    </row>
    <row r="66" spans="5:6" x14ac:dyDescent="0.25">
      <c r="E66" s="5" t="s">
        <v>843</v>
      </c>
      <c r="F66" s="27" t="s">
        <v>918</v>
      </c>
    </row>
    <row r="67" spans="5:6" x14ac:dyDescent="0.25">
      <c r="E67" s="5" t="s">
        <v>818</v>
      </c>
      <c r="F67" s="27" t="s">
        <v>956</v>
      </c>
    </row>
    <row r="68" spans="5:6" x14ac:dyDescent="0.25">
      <c r="E68" s="5" t="s">
        <v>800</v>
      </c>
      <c r="F68" s="27" t="s">
        <v>996</v>
      </c>
    </row>
    <row r="69" spans="5:6" x14ac:dyDescent="0.25">
      <c r="E69" s="5" t="s">
        <v>804</v>
      </c>
      <c r="F69" s="27" t="s">
        <v>947</v>
      </c>
    </row>
    <row r="70" spans="5:6" x14ac:dyDescent="0.25">
      <c r="E70" s="5" t="s">
        <v>884</v>
      </c>
      <c r="F70" s="27" t="s">
        <v>966</v>
      </c>
    </row>
    <row r="71" spans="5:6" x14ac:dyDescent="0.25">
      <c r="E71" s="5" t="s">
        <v>857</v>
      </c>
      <c r="F71" s="27" t="s">
        <v>998</v>
      </c>
    </row>
    <row r="72" spans="5:6" x14ac:dyDescent="0.25">
      <c r="E72" s="5" t="s">
        <v>862</v>
      </c>
      <c r="F72" s="27" t="s">
        <v>986</v>
      </c>
    </row>
    <row r="73" spans="5:6" x14ac:dyDescent="0.25">
      <c r="E73" s="5" t="s">
        <v>866</v>
      </c>
      <c r="F73" s="27" t="s">
        <v>989</v>
      </c>
    </row>
    <row r="74" spans="5:6" x14ac:dyDescent="0.25">
      <c r="E74" s="5" t="s">
        <v>877</v>
      </c>
      <c r="F74" s="27" t="s">
        <v>941</v>
      </c>
    </row>
    <row r="75" spans="5:6" x14ac:dyDescent="0.25">
      <c r="E75" s="5" t="s">
        <v>801</v>
      </c>
      <c r="F75" s="27" t="s">
        <v>943</v>
      </c>
    </row>
    <row r="76" spans="5:6" x14ac:dyDescent="0.25">
      <c r="E76" s="5" t="s">
        <v>820</v>
      </c>
      <c r="F76" s="27" t="s">
        <v>958</v>
      </c>
    </row>
    <row r="77" spans="5:6" x14ac:dyDescent="0.25">
      <c r="E77" s="5" t="s">
        <v>823</v>
      </c>
      <c r="F77" s="27" t="s">
        <v>962</v>
      </c>
    </row>
    <row r="78" spans="5:6" x14ac:dyDescent="0.25">
      <c r="E78" s="5" t="s">
        <v>838</v>
      </c>
      <c r="F78" s="27" t="s">
        <v>974</v>
      </c>
    </row>
    <row r="79" spans="5:6" x14ac:dyDescent="0.25">
      <c r="E79" s="5" t="s">
        <v>828</v>
      </c>
      <c r="F79" s="27" t="s">
        <v>908</v>
      </c>
    </row>
    <row r="80" spans="5:6" x14ac:dyDescent="0.25">
      <c r="E80" s="5" t="s">
        <v>839</v>
      </c>
      <c r="F80" s="27" t="s">
        <v>975</v>
      </c>
    </row>
    <row r="81" spans="5:6" x14ac:dyDescent="0.25">
      <c r="E81" s="5" t="s">
        <v>881</v>
      </c>
      <c r="F81" s="27" t="s">
        <v>895</v>
      </c>
    </row>
    <row r="82" spans="5:6" x14ac:dyDescent="0.25">
      <c r="E82" s="5" t="s">
        <v>796</v>
      </c>
      <c r="F82" s="27" t="s">
        <v>940</v>
      </c>
    </row>
    <row r="83" spans="5:6" x14ac:dyDescent="0.25">
      <c r="E83" s="5" t="s">
        <v>883</v>
      </c>
      <c r="F83" s="27" t="s">
        <v>964</v>
      </c>
    </row>
    <row r="84" spans="5:6" x14ac:dyDescent="0.25">
      <c r="E84" s="5" t="s">
        <v>888</v>
      </c>
      <c r="F84" s="27" t="s">
        <v>937</v>
      </c>
    </row>
    <row r="85" spans="5:6" x14ac:dyDescent="0.25">
      <c r="E85" s="5" t="s">
        <v>810</v>
      </c>
      <c r="F85" s="27" t="s">
        <v>894</v>
      </c>
    </row>
    <row r="86" spans="5:6" x14ac:dyDescent="0.25">
      <c r="E86" s="5" t="s">
        <v>878</v>
      </c>
      <c r="F86" s="27" t="s">
        <v>942</v>
      </c>
    </row>
    <row r="87" spans="5:6" x14ac:dyDescent="0.25">
      <c r="E87" s="27" t="s">
        <v>825</v>
      </c>
      <c r="F87" s="27" t="s">
        <v>965</v>
      </c>
    </row>
    <row r="88" spans="5:6" x14ac:dyDescent="0.25">
      <c r="E88" s="5" t="s">
        <v>814</v>
      </c>
      <c r="F88" s="27" t="s">
        <v>898</v>
      </c>
    </row>
    <row r="89" spans="5:6" x14ac:dyDescent="0.25">
      <c r="E89" s="27" t="s">
        <v>831</v>
      </c>
      <c r="F89" s="27" t="s">
        <v>969</v>
      </c>
    </row>
    <row r="90" spans="5:6" x14ac:dyDescent="0.25">
      <c r="E90" s="5" t="s">
        <v>873</v>
      </c>
      <c r="F90" s="27" t="s">
        <v>936</v>
      </c>
    </row>
    <row r="91" spans="5:6" x14ac:dyDescent="0.25">
      <c r="E91" s="5" t="s">
        <v>868</v>
      </c>
      <c r="F91" s="27" t="s">
        <v>933</v>
      </c>
    </row>
    <row r="92" spans="5:6" x14ac:dyDescent="0.25">
      <c r="E92" s="5" t="s">
        <v>852</v>
      </c>
      <c r="F92" s="27" t="s">
        <v>919</v>
      </c>
    </row>
    <row r="93" spans="5:6" x14ac:dyDescent="0.25">
      <c r="E93" s="5" t="s">
        <v>840</v>
      </c>
      <c r="F93" s="27" t="s">
        <v>976</v>
      </c>
    </row>
    <row r="94" spans="5:6" x14ac:dyDescent="0.25">
      <c r="E94" s="5" t="s">
        <v>874</v>
      </c>
      <c r="F94" s="27" t="s">
        <v>993</v>
      </c>
    </row>
    <row r="95" spans="5:6" x14ac:dyDescent="0.25">
      <c r="E95" s="5" t="s">
        <v>798</v>
      </c>
      <c r="F95" s="27" t="s">
        <v>892</v>
      </c>
    </row>
    <row r="96" spans="5:6" x14ac:dyDescent="0.25">
      <c r="E96" s="5" t="s">
        <v>821</v>
      </c>
      <c r="F96" s="27" t="s">
        <v>902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tabSelected="1" workbookViewId="0">
      <selection activeCell="F10" sqref="F2:F10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1536</v>
      </c>
      <c r="E1" s="5" t="s">
        <v>1537</v>
      </c>
      <c r="F1" s="5" t="s">
        <v>168</v>
      </c>
    </row>
    <row r="2" spans="1:6" x14ac:dyDescent="0.25">
      <c r="A2" t="s">
        <v>1538</v>
      </c>
      <c r="B2">
        <v>608</v>
      </c>
      <c r="C2" t="s">
        <v>742</v>
      </c>
      <c r="D2" s="9">
        <v>4.18755170829</v>
      </c>
      <c r="E2" s="9">
        <v>-0.108860445041</v>
      </c>
      <c r="F2">
        <v>2500</v>
      </c>
    </row>
    <row r="3" spans="1:6" x14ac:dyDescent="0.25">
      <c r="A3" t="s">
        <v>1539</v>
      </c>
      <c r="B3">
        <v>594</v>
      </c>
      <c r="C3" t="s">
        <v>740</v>
      </c>
      <c r="D3" s="9">
        <v>3.7741329941099999</v>
      </c>
      <c r="E3" s="9">
        <v>-2.8373460784399999E-2</v>
      </c>
      <c r="F3">
        <v>3300</v>
      </c>
    </row>
    <row r="4" spans="1:6" x14ac:dyDescent="0.25">
      <c r="A4" t="s">
        <v>1540</v>
      </c>
      <c r="B4">
        <v>613</v>
      </c>
      <c r="C4" t="s">
        <v>742</v>
      </c>
      <c r="D4" s="9">
        <v>5.5602416005600004</v>
      </c>
      <c r="E4" s="9">
        <v>-0.31778279466499998</v>
      </c>
      <c r="F4">
        <v>3100</v>
      </c>
    </row>
    <row r="5" spans="1:6" x14ac:dyDescent="0.25">
      <c r="A5" t="s">
        <v>1541</v>
      </c>
      <c r="B5">
        <v>596</v>
      </c>
      <c r="C5" t="s">
        <v>737</v>
      </c>
      <c r="D5" s="9">
        <v>12.443570917900001</v>
      </c>
      <c r="E5" s="9">
        <v>0</v>
      </c>
      <c r="F5">
        <v>9000</v>
      </c>
    </row>
    <row r="6" spans="1:6" x14ac:dyDescent="0.25">
      <c r="A6" t="s">
        <v>1542</v>
      </c>
      <c r="B6">
        <v>594</v>
      </c>
      <c r="C6" t="s">
        <v>741</v>
      </c>
      <c r="D6" s="9">
        <v>2.7131784786900002</v>
      </c>
      <c r="E6" s="9">
        <v>0.10452911420700001</v>
      </c>
      <c r="F6">
        <v>2200</v>
      </c>
    </row>
    <row r="7" spans="1:6" x14ac:dyDescent="0.25">
      <c r="A7" t="s">
        <v>1543</v>
      </c>
      <c r="B7">
        <v>608</v>
      </c>
      <c r="C7" t="s">
        <v>155</v>
      </c>
      <c r="D7" s="9">
        <v>3.6081439952799998</v>
      </c>
      <c r="E7" s="9">
        <v>8.21158208125E-3</v>
      </c>
      <c r="F7">
        <v>2200</v>
      </c>
    </row>
    <row r="8" spans="1:6" x14ac:dyDescent="0.25">
      <c r="A8" t="s">
        <v>1544</v>
      </c>
      <c r="B8">
        <v>609</v>
      </c>
      <c r="C8" t="s">
        <v>739</v>
      </c>
      <c r="D8" s="9">
        <v>4.2248965367000002</v>
      </c>
      <c r="E8" s="9">
        <v>0.10367796229700001</v>
      </c>
      <c r="F8">
        <v>2200</v>
      </c>
    </row>
    <row r="9" spans="1:6" x14ac:dyDescent="0.25">
      <c r="A9" t="s">
        <v>1545</v>
      </c>
      <c r="B9">
        <v>611</v>
      </c>
      <c r="C9" t="s">
        <v>738</v>
      </c>
      <c r="D9" s="9">
        <v>4.6541504352</v>
      </c>
      <c r="E9" s="9">
        <v>-0.16642108723099999</v>
      </c>
      <c r="F9">
        <v>4100</v>
      </c>
    </row>
    <row r="10" spans="1:6" x14ac:dyDescent="0.25">
      <c r="A10" t="s">
        <v>1546</v>
      </c>
      <c r="B10">
        <v>593</v>
      </c>
      <c r="C10" t="s">
        <v>742</v>
      </c>
      <c r="D10" s="9">
        <v>19.649999999999999</v>
      </c>
      <c r="E10" s="9">
        <v>0</v>
      </c>
      <c r="F10">
        <v>3200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zoomScale="85" zoomScaleNormal="85" workbookViewId="0">
      <selection activeCell="H1" sqref="H1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1437</v>
      </c>
      <c r="F1" s="5" t="s">
        <v>123</v>
      </c>
      <c r="G1" s="5" t="s">
        <v>1436</v>
      </c>
      <c r="H1" s="5" t="s">
        <v>1485</v>
      </c>
      <c r="J1" t="s">
        <v>773</v>
      </c>
      <c r="L1" s="5" t="s">
        <v>123</v>
      </c>
      <c r="M1" s="5" t="s">
        <v>1438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1474</v>
      </c>
      <c r="I2" s="2"/>
      <c r="J2" s="30"/>
      <c r="M2" s="5" t="s">
        <v>1402</v>
      </c>
    </row>
    <row r="3" spans="1:13" x14ac:dyDescent="0.25">
      <c r="A3" t="s">
        <v>152</v>
      </c>
      <c r="B3">
        <v>14</v>
      </c>
      <c r="C3" t="s">
        <v>679</v>
      </c>
      <c r="F3" s="5" t="s">
        <v>774</v>
      </c>
      <c r="G3" s="5" t="s">
        <v>1417</v>
      </c>
      <c r="H3" s="2" t="s">
        <v>1477</v>
      </c>
      <c r="I3" s="2"/>
      <c r="J3" s="30"/>
      <c r="M3" s="5" t="s">
        <v>1409</v>
      </c>
    </row>
    <row r="4" spans="1:13" x14ac:dyDescent="0.25">
      <c r="A4" t="s">
        <v>126</v>
      </c>
      <c r="B4">
        <v>15</v>
      </c>
      <c r="C4" t="s">
        <v>665</v>
      </c>
      <c r="F4" s="5" t="s">
        <v>775</v>
      </c>
      <c r="G4" s="5" t="s">
        <v>1402</v>
      </c>
      <c r="H4" s="2" t="s">
        <v>1468</v>
      </c>
      <c r="I4" s="2"/>
      <c r="J4" s="30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1483</v>
      </c>
      <c r="I5" s="2"/>
      <c r="J5" s="30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776</v>
      </c>
      <c r="G6" s="5" t="s">
        <v>1400</v>
      </c>
      <c r="H6" s="2" t="s">
        <v>1469</v>
      </c>
      <c r="I6" s="2"/>
      <c r="J6" s="30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777</v>
      </c>
      <c r="G7" s="5" t="s">
        <v>682</v>
      </c>
      <c r="H7" s="2" t="s">
        <v>1467</v>
      </c>
      <c r="I7" s="2"/>
      <c r="J7" s="30"/>
      <c r="M7" s="5" t="s">
        <v>1405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1463</v>
      </c>
      <c r="I8" s="2"/>
      <c r="J8" s="30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1456</v>
      </c>
      <c r="I9" s="2"/>
      <c r="J9" s="30"/>
      <c r="M9" s="5" t="s">
        <v>1421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1458</v>
      </c>
      <c r="I10" s="2"/>
      <c r="J10" s="30"/>
      <c r="M10" s="5" t="s">
        <v>1426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778</v>
      </c>
      <c r="G11" s="5" t="s">
        <v>1410</v>
      </c>
      <c r="H11" s="2" t="s">
        <v>1470</v>
      </c>
      <c r="I11" s="2"/>
      <c r="J11" s="30"/>
      <c r="M11" s="5" t="s">
        <v>1400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779</v>
      </c>
      <c r="G12" s="5" t="s">
        <v>1412</v>
      </c>
      <c r="H12" s="2" t="s">
        <v>1464</v>
      </c>
      <c r="I12" s="2"/>
      <c r="J12" s="30"/>
      <c r="M12" s="5" t="s">
        <v>1427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780</v>
      </c>
      <c r="G13" s="5" t="s">
        <v>1405</v>
      </c>
      <c r="H13" s="2" t="s">
        <v>1461</v>
      </c>
      <c r="I13" s="2"/>
      <c r="J13" s="30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1460</v>
      </c>
      <c r="I14" s="2"/>
      <c r="J14" s="30"/>
      <c r="M14" s="5" t="s">
        <v>1428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781</v>
      </c>
      <c r="G15" s="5" t="s">
        <v>1406</v>
      </c>
      <c r="H15" s="2" t="s">
        <v>1480</v>
      </c>
      <c r="I15" s="2"/>
      <c r="J15" s="30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1484</v>
      </c>
      <c r="I16" s="2"/>
      <c r="J16" s="30"/>
      <c r="M16" s="5" t="s">
        <v>1429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782</v>
      </c>
      <c r="G17" s="5" t="s">
        <v>1401</v>
      </c>
      <c r="H17" s="5" t="s">
        <v>1457</v>
      </c>
      <c r="J17" s="30"/>
      <c r="M17" s="5" t="s">
        <v>1424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783</v>
      </c>
      <c r="G18" s="5" t="s">
        <v>1416</v>
      </c>
      <c r="H18" s="2" t="s">
        <v>1472</v>
      </c>
      <c r="J18" s="30"/>
      <c r="M18" s="5" t="s">
        <v>1407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1459</v>
      </c>
      <c r="J19" s="30"/>
      <c r="M19" s="5" t="s">
        <v>1423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784</v>
      </c>
      <c r="G20" s="5" t="s">
        <v>1413</v>
      </c>
      <c r="H20" s="2" t="s">
        <v>1471</v>
      </c>
      <c r="J20" s="30"/>
      <c r="M20" s="5" t="s">
        <v>1419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785</v>
      </c>
      <c r="G21" s="5" t="s">
        <v>1403</v>
      </c>
      <c r="H21" s="5" t="s">
        <v>1466</v>
      </c>
      <c r="J21" s="30"/>
      <c r="M21" s="5" t="s">
        <v>1420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786</v>
      </c>
      <c r="G22" s="5" t="s">
        <v>1414</v>
      </c>
      <c r="H22" s="2" t="s">
        <v>1476</v>
      </c>
      <c r="J22" s="30"/>
      <c r="M22" s="5" t="s">
        <v>1422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1462</v>
      </c>
      <c r="J23" s="30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787</v>
      </c>
      <c r="G24" s="5" t="s">
        <v>684</v>
      </c>
      <c r="H24" s="2" t="s">
        <v>1465</v>
      </c>
      <c r="J24" s="30"/>
      <c r="M24" s="5" t="s">
        <v>1425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748</v>
      </c>
      <c r="G25" s="5" t="s">
        <v>1418</v>
      </c>
      <c r="H25" s="2" t="s">
        <v>1482</v>
      </c>
      <c r="J25" s="30"/>
      <c r="M25" s="5" t="s">
        <v>1430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788</v>
      </c>
      <c r="G26" s="5" t="s">
        <v>1404</v>
      </c>
      <c r="H26" s="2" t="s">
        <v>1475</v>
      </c>
      <c r="J26" s="30"/>
      <c r="M26" s="5" t="s">
        <v>1431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789</v>
      </c>
      <c r="G27" s="5" t="s">
        <v>1411</v>
      </c>
      <c r="H27" s="2" t="s">
        <v>1486</v>
      </c>
      <c r="J27" s="30"/>
      <c r="M27" s="5" t="s">
        <v>1432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790</v>
      </c>
      <c r="G28" s="5" t="s">
        <v>1409</v>
      </c>
      <c r="H28" s="2" t="s">
        <v>1478</v>
      </c>
      <c r="J28" s="30"/>
      <c r="M28" s="5" t="s">
        <v>1433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791</v>
      </c>
      <c r="G29" s="5" t="s">
        <v>1407</v>
      </c>
      <c r="H29" s="2" t="s">
        <v>1479</v>
      </c>
      <c r="J29" s="30"/>
      <c r="M29" s="5" t="s">
        <v>1434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792</v>
      </c>
      <c r="G30" s="5" t="s">
        <v>1408</v>
      </c>
      <c r="H30" s="2" t="s">
        <v>1473</v>
      </c>
      <c r="J30" s="30"/>
      <c r="M30" s="5" t="s">
        <v>1435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793</v>
      </c>
      <c r="G31" s="5" t="s">
        <v>1415</v>
      </c>
      <c r="H31" s="2" t="s">
        <v>1481</v>
      </c>
      <c r="J31" s="30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zoomScale="85" zoomScaleNormal="85" workbookViewId="0"/>
  </sheetViews>
  <sheetFormatPr defaultRowHeight="15" x14ac:dyDescent="0.25"/>
  <cols>
    <col min="1" max="1" width="131.140625" style="5" customWidth="1"/>
    <col min="2" max="2" width="20.85546875" style="5" bestFit="1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ht="409.5" x14ac:dyDescent="0.25">
      <c r="A1" s="2" t="s">
        <v>1533</v>
      </c>
      <c r="B1" s="29"/>
      <c r="C1" s="2"/>
      <c r="D1" s="23"/>
      <c r="E1" s="23"/>
      <c r="F1" s="23"/>
      <c r="G1" s="23"/>
      <c r="H1" s="23"/>
      <c r="L1" s="22"/>
      <c r="M1" s="5"/>
    </row>
    <row r="2" spans="1:13" x14ac:dyDescent="0.25">
      <c r="A2" s="2"/>
      <c r="B2" s="2"/>
      <c r="C2" s="2"/>
      <c r="E2" s="24"/>
      <c r="H2" s="5"/>
      <c r="L2" s="2"/>
      <c r="M2" s="5"/>
    </row>
    <row r="3" spans="1:13" x14ac:dyDescent="0.25">
      <c r="A3" s="2"/>
      <c r="B3" s="2"/>
      <c r="C3" s="2"/>
      <c r="E3" s="25"/>
      <c r="H3" s="5"/>
      <c r="L3" s="5"/>
      <c r="M3" s="5"/>
    </row>
    <row r="4" spans="1:13" x14ac:dyDescent="0.25">
      <c r="A4" s="2"/>
      <c r="B4" s="2"/>
      <c r="C4" s="2"/>
      <c r="E4" s="5"/>
      <c r="H4" s="5"/>
      <c r="L4" s="5"/>
      <c r="M4" s="5"/>
    </row>
    <row r="5" spans="1:13" x14ac:dyDescent="0.25">
      <c r="A5" s="2"/>
      <c r="B5" s="2"/>
      <c r="C5" s="2"/>
      <c r="E5" s="5"/>
      <c r="H5" s="5"/>
      <c r="L5" s="5"/>
      <c r="M5" s="5"/>
    </row>
    <row r="6" spans="1:13" x14ac:dyDescent="0.25">
      <c r="A6" s="2"/>
      <c r="B6" s="2"/>
      <c r="C6" s="2"/>
      <c r="E6" s="5"/>
      <c r="H6" s="5"/>
      <c r="L6" s="5"/>
      <c r="M6" s="5"/>
    </row>
    <row r="7" spans="1:13" x14ac:dyDescent="0.25">
      <c r="A7" s="2"/>
      <c r="B7" s="2"/>
      <c r="C7" s="2"/>
      <c r="E7" s="5"/>
      <c r="H7" s="5"/>
      <c r="L7" s="5"/>
      <c r="M7" s="5"/>
    </row>
    <row r="8" spans="1:13" x14ac:dyDescent="0.25">
      <c r="A8" s="2"/>
      <c r="B8" s="2"/>
      <c r="C8" s="2"/>
      <c r="E8" s="5"/>
      <c r="H8" s="5"/>
      <c r="L8" s="5"/>
      <c r="M8" s="5"/>
    </row>
    <row r="9" spans="1:13" x14ac:dyDescent="0.25">
      <c r="A9" s="2"/>
      <c r="B9" s="2"/>
      <c r="C9" s="2"/>
      <c r="E9" s="5"/>
      <c r="H9" s="5"/>
      <c r="L9" s="5"/>
      <c r="M9" s="5"/>
    </row>
    <row r="10" spans="1:13" x14ac:dyDescent="0.25">
      <c r="A10" s="2"/>
      <c r="B10" s="2"/>
      <c r="C10" s="2"/>
      <c r="E10" s="5"/>
      <c r="H10" s="5"/>
      <c r="L10" s="5"/>
      <c r="M10" s="5"/>
    </row>
    <row r="11" spans="1:13" x14ac:dyDescent="0.25">
      <c r="A11" s="2"/>
      <c r="B11" s="2"/>
      <c r="C11" s="2"/>
      <c r="E11" s="5"/>
      <c r="H11" s="5"/>
      <c r="L11" s="5"/>
      <c r="M11" s="5"/>
    </row>
    <row r="12" spans="1:13" x14ac:dyDescent="0.25">
      <c r="A12" s="2"/>
      <c r="B12" s="2"/>
      <c r="C12" s="2"/>
      <c r="E12" s="5"/>
      <c r="H12" s="5"/>
    </row>
    <row r="13" spans="1:13" x14ac:dyDescent="0.25">
      <c r="A13" s="2"/>
      <c r="B13" s="2"/>
      <c r="C13" s="2"/>
      <c r="E13" s="5"/>
      <c r="H13" s="5"/>
    </row>
    <row r="14" spans="1:13" ht="89.25" customHeight="1" x14ac:dyDescent="0.25">
      <c r="A14" s="2"/>
      <c r="B14" s="2"/>
      <c r="C14" s="2"/>
      <c r="E14" s="5"/>
      <c r="H14" s="5"/>
    </row>
    <row r="15" spans="1:13" x14ac:dyDescent="0.25">
      <c r="A15" s="2"/>
      <c r="B15" s="2"/>
      <c r="C15" s="2"/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2015-04-28T21:00:17Z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