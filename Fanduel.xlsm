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6285" tabRatio="720" firstSheet="1" activeTab="7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Backtest_Output" sheetId="21" r:id="rId5"/>
    <sheet name="Parameters" sheetId="6" r:id="rId6"/>
    <sheet name="Player Mapping" sheetId="9" r:id="rId7"/>
    <sheet name="Player Map" sheetId="11" r:id="rId8"/>
    <sheet name="Roster" sheetId="10" r:id="rId9"/>
    <sheet name="Best Contests" sheetId="12" r:id="rId10"/>
    <sheet name="Performance Monitoring" sheetId="13" r:id="rId11"/>
    <sheet name="Team Map" sheetId="14" r:id="rId12"/>
    <sheet name="Output" sheetId="17" r:id="rId13"/>
    <sheet name="stadium data" sheetId="22" r:id="rId14"/>
    <sheet name="Sheet1" sheetId="23" r:id="rId15"/>
  </sheets>
  <definedNames>
    <definedName name="_xlnm._FilterDatabase" localSheetId="4" hidden="1">Backtest_Output!$A$1936:$H$2074</definedName>
    <definedName name="_xlnm._FilterDatabase" localSheetId="12" hidden="1">Output!$A$1:$C$36</definedName>
    <definedName name="_xlnm._FilterDatabase" localSheetId="7" hidden="1">'Player Map'!$E$1:$J$118</definedName>
    <definedName name="_xlnm._FilterDatabase" localSheetId="6" hidden="1">'Player Mapping'!#REF!</definedName>
    <definedName name="_xlnm._FilterDatabase" localSheetId="14" hidden="1">Sheet1!$A$1:$H$169</definedName>
    <definedName name="_xlnm._FilterDatabase" localSheetId="1" hidden="1">'To Do'!$A$1:$H$22</definedName>
    <definedName name="cl1st">#REF!</definedName>
    <definedName name="cl2nd">#REF!</definedName>
    <definedName name="cl3rd">#REF!</definedName>
    <definedName name="cLastDataDate" localSheetId="3">Backtest_Parameters!#REF!</definedName>
    <definedName name="cLastDataDate">Parameters!#REF!</definedName>
    <definedName name="clAwayScore">#REF!</definedName>
    <definedName name="clBatter">#REF!</definedName>
    <definedName name="clBCLastRow" localSheetId="3">Backtest_Parameters!#REF!</definedName>
    <definedName name="clBCLastRow">Parameters!$B$7</definedName>
    <definedName name="clDFNMLB">Backtest_Parameters!$B$5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#REF!</definedName>
    <definedName name="clEventDes" localSheetId="3">#REF!</definedName>
    <definedName name="clEventDes">#REF!</definedName>
    <definedName name="clEventDesc">#REF!</definedName>
    <definedName name="clHomeScore">#REF!</definedName>
    <definedName name="cLineUpURL" localSheetId="3">Backtest_Parameters!#REF!</definedName>
    <definedName name="cLineUpURL">Parameters!$B$2</definedName>
    <definedName name="clInning">#REF!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#REF!</definedName>
    <definedName name="clPitch">#REF!</definedName>
    <definedName name="clPitcher">#REF!</definedName>
    <definedName name="clPMLastRow" localSheetId="3">Backtest_Parameters!#REF!</definedName>
    <definedName name="clPMLastRow">Parameters!$B$8</definedName>
    <definedName name="clRNMLB">Backtest_Parameters!$B$11</definedName>
    <definedName name="clRNNBA">Backtest_Parameters!$B$9</definedName>
    <definedName name="clRNNHL">Backtest_Parameters!$B$10</definedName>
    <definedName name="clRWMLB" localSheetId="3">Backtest_Parameters!$B$7</definedName>
    <definedName name="clRWMLB">Parameters!#REF!</definedName>
    <definedName name="clRWNBA" localSheetId="3">Backtest_Parameters!$B$6</definedName>
    <definedName name="clRWNBA">Parameters!#REF!</definedName>
    <definedName name="clRWNHL">Backtest_Parameters!$B$8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6"/>
  </pivotCaches>
</workbook>
</file>

<file path=xl/calcChain.xml><?xml version="1.0" encoding="utf-8"?>
<calcChain xmlns="http://schemas.openxmlformats.org/spreadsheetml/2006/main">
  <c r="H3" i="23" l="1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" i="23"/>
  <c r="J2445" i="21"/>
  <c r="L2445" i="21"/>
  <c r="K2445" i="21"/>
  <c r="L2288" i="21" l="1"/>
  <c r="K2288" i="21"/>
  <c r="J2288" i="21"/>
  <c r="L2146" i="21"/>
  <c r="K2146" i="21"/>
  <c r="J2146" i="21"/>
  <c r="L2079" i="21" l="1"/>
  <c r="K2079" i="21"/>
  <c r="J2079" i="21"/>
  <c r="L1937" i="21"/>
  <c r="K1937" i="21"/>
  <c r="J1937" i="21"/>
  <c r="I83" i="21"/>
  <c r="K83" i="21"/>
  <c r="J83" i="21"/>
  <c r="J1653" i="21"/>
  <c r="J1797" i="21"/>
  <c r="L1797" i="21" l="1"/>
  <c r="K1797" i="21"/>
  <c r="L1653" i="21" l="1"/>
  <c r="K1653" i="21"/>
  <c r="L1510" i="21" l="1"/>
  <c r="K1510" i="21"/>
  <c r="J1510" i="21"/>
  <c r="L1368" i="21" l="1"/>
  <c r="K1368" i="21"/>
  <c r="J1368" i="21"/>
  <c r="L1226" i="21"/>
  <c r="K1226" i="21"/>
  <c r="J1226" i="21"/>
  <c r="K12" i="21" l="1"/>
  <c r="K302" i="21"/>
  <c r="J302" i="21"/>
  <c r="I302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418" i="21"/>
  <c r="H419" i="21"/>
  <c r="H420" i="21"/>
  <c r="H421" i="21"/>
  <c r="H422" i="21"/>
  <c r="H423" i="21"/>
  <c r="H424" i="21"/>
  <c r="H425" i="21"/>
  <c r="H426" i="21"/>
  <c r="H427" i="21"/>
  <c r="H428" i="21"/>
  <c r="H429" i="21"/>
  <c r="H430" i="21"/>
  <c r="H431" i="21"/>
  <c r="H432" i="21"/>
  <c r="H433" i="21"/>
  <c r="H434" i="21"/>
  <c r="H435" i="21"/>
  <c r="H436" i="21"/>
  <c r="H437" i="21"/>
  <c r="H438" i="21"/>
  <c r="H439" i="21"/>
  <c r="H443" i="21"/>
  <c r="I443" i="21"/>
  <c r="J443" i="21"/>
  <c r="K443" i="21"/>
  <c r="H444" i="21"/>
  <c r="H445" i="21"/>
  <c r="H446" i="21"/>
  <c r="H447" i="21"/>
  <c r="H448" i="21"/>
  <c r="H449" i="21"/>
  <c r="H450" i="21"/>
  <c r="H451" i="21"/>
  <c r="H452" i="21"/>
  <c r="H453" i="21"/>
  <c r="H454" i="21"/>
  <c r="H455" i="21"/>
  <c r="H456" i="21"/>
  <c r="H457" i="21"/>
  <c r="H458" i="21"/>
  <c r="H459" i="21"/>
  <c r="H460" i="21"/>
  <c r="H461" i="21"/>
  <c r="H462" i="21"/>
  <c r="H463" i="21"/>
  <c r="H464" i="21"/>
  <c r="H465" i="21"/>
  <c r="H466" i="21"/>
  <c r="H467" i="21"/>
  <c r="H468" i="21"/>
  <c r="H469" i="21"/>
  <c r="H470" i="21"/>
  <c r="H471" i="21"/>
  <c r="H472" i="21"/>
  <c r="H473" i="21"/>
  <c r="H474" i="21"/>
  <c r="H475" i="21"/>
  <c r="H476" i="21"/>
  <c r="H477" i="21"/>
  <c r="H478" i="21"/>
  <c r="H479" i="21"/>
  <c r="H480" i="21"/>
  <c r="H481" i="21"/>
  <c r="H482" i="21"/>
  <c r="H483" i="21"/>
  <c r="H484" i="21"/>
  <c r="H485" i="21"/>
  <c r="H486" i="21"/>
  <c r="H487" i="21"/>
  <c r="H488" i="21"/>
  <c r="H489" i="21"/>
  <c r="H490" i="21"/>
  <c r="H491" i="21"/>
  <c r="H492" i="21"/>
  <c r="H493" i="21"/>
  <c r="H494" i="21"/>
  <c r="H495" i="21"/>
  <c r="H496" i="21"/>
  <c r="H497" i="21"/>
  <c r="H498" i="21"/>
  <c r="H499" i="21"/>
  <c r="H500" i="21"/>
  <c r="H501" i="21"/>
  <c r="H502" i="21"/>
  <c r="H503" i="21"/>
  <c r="K224" i="21" l="1"/>
  <c r="I224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L1084" i="21"/>
  <c r="K1084" i="21"/>
  <c r="J1084" i="21"/>
  <c r="L989" i="21"/>
  <c r="K989" i="21"/>
  <c r="J989" i="21"/>
  <c r="L863" i="21" l="1"/>
  <c r="K863" i="21"/>
  <c r="J863" i="21"/>
  <c r="L752" i="21"/>
  <c r="K752" i="21"/>
  <c r="J752" i="21"/>
  <c r="K598" i="21"/>
  <c r="I598" i="21"/>
  <c r="H742" i="21"/>
  <c r="H743" i="21"/>
  <c r="H744" i="21"/>
  <c r="H745" i="21"/>
  <c r="H746" i="21"/>
  <c r="H747" i="21"/>
  <c r="H748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H701" i="21"/>
  <c r="H702" i="21"/>
  <c r="H703" i="21"/>
  <c r="H704" i="21"/>
  <c r="H705" i="21"/>
  <c r="H706" i="21"/>
  <c r="H707" i="21"/>
  <c r="H708" i="21"/>
  <c r="H709" i="21"/>
  <c r="H710" i="21"/>
  <c r="H711" i="21"/>
  <c r="H712" i="21"/>
  <c r="H713" i="21"/>
  <c r="H714" i="21"/>
  <c r="H715" i="21"/>
  <c r="H716" i="21"/>
  <c r="H717" i="21"/>
  <c r="H718" i="21"/>
  <c r="H719" i="21"/>
  <c r="H720" i="21"/>
  <c r="H721" i="21"/>
  <c r="H722" i="21"/>
  <c r="H723" i="21"/>
  <c r="H724" i="21"/>
  <c r="H725" i="21"/>
  <c r="H726" i="21"/>
  <c r="H727" i="21"/>
  <c r="H728" i="21"/>
  <c r="H729" i="21"/>
  <c r="H730" i="21"/>
  <c r="H731" i="21"/>
  <c r="H732" i="21"/>
  <c r="H733" i="21"/>
  <c r="H734" i="21"/>
  <c r="H735" i="21"/>
  <c r="H736" i="21"/>
  <c r="H737" i="21"/>
  <c r="H738" i="21"/>
  <c r="H739" i="21"/>
  <c r="H740" i="21"/>
  <c r="H741" i="21"/>
  <c r="H675" i="21"/>
  <c r="H676" i="21"/>
  <c r="H677" i="21"/>
  <c r="H678" i="21"/>
  <c r="H679" i="21"/>
  <c r="H680" i="21"/>
  <c r="H681" i="21"/>
  <c r="H682" i="21"/>
  <c r="H683" i="21"/>
  <c r="H684" i="21"/>
  <c r="H685" i="21"/>
  <c r="I675" i="21"/>
  <c r="K675" i="21"/>
  <c r="J675" i="21"/>
  <c r="H686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598" i="21"/>
  <c r="H521" i="21"/>
  <c r="H522" i="21"/>
  <c r="H523" i="21"/>
  <c r="H524" i="21"/>
  <c r="H525" i="21"/>
  <c r="H526" i="21"/>
  <c r="H527" i="21"/>
  <c r="H528" i="21"/>
  <c r="H529" i="21"/>
  <c r="H530" i="21"/>
  <c r="H531" i="21"/>
  <c r="H532" i="21"/>
  <c r="H533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20" i="21"/>
  <c r="H504" i="21"/>
  <c r="H505" i="21"/>
  <c r="H506" i="21"/>
  <c r="H507" i="21"/>
  <c r="H508" i="21"/>
  <c r="H509" i="21"/>
  <c r="H510" i="21"/>
  <c r="H511" i="21"/>
  <c r="H512" i="21"/>
  <c r="H513" i="21"/>
  <c r="H514" i="21"/>
  <c r="H515" i="21"/>
  <c r="H516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02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24" i="21"/>
  <c r="H156" i="21"/>
  <c r="H151" i="21"/>
  <c r="H152" i="21"/>
  <c r="H153" i="21"/>
  <c r="H154" i="21"/>
  <c r="H148" i="21"/>
  <c r="H149" i="21"/>
  <c r="H150" i="21"/>
  <c r="H146" i="21"/>
  <c r="H147" i="21"/>
  <c r="H142" i="21"/>
  <c r="H143" i="21"/>
  <c r="H144" i="21"/>
  <c r="H145" i="21"/>
  <c r="H141" i="21"/>
  <c r="H136" i="21"/>
  <c r="H137" i="21"/>
  <c r="H138" i="21"/>
  <c r="H139" i="21"/>
  <c r="H140" i="21"/>
  <c r="H133" i="21"/>
  <c r="H134" i="21"/>
  <c r="H135" i="21"/>
  <c r="H130" i="21"/>
  <c r="H131" i="21"/>
  <c r="H132" i="21"/>
  <c r="H128" i="21"/>
  <c r="H129" i="21"/>
  <c r="H127" i="21"/>
  <c r="H126" i="21"/>
  <c r="H125" i="21"/>
  <c r="H124" i="21"/>
  <c r="H121" i="21"/>
  <c r="H122" i="21"/>
  <c r="H123" i="21"/>
  <c r="H120" i="21"/>
  <c r="H116" i="21"/>
  <c r="H117" i="21"/>
  <c r="H118" i="21"/>
  <c r="H119" i="21"/>
  <c r="H114" i="21"/>
  <c r="H115" i="21"/>
  <c r="H112" i="21"/>
  <c r="H113" i="21"/>
  <c r="H110" i="21"/>
  <c r="H111" i="21"/>
  <c r="H107" i="21"/>
  <c r="H108" i="21"/>
  <c r="H109" i="21"/>
  <c r="H105" i="21"/>
  <c r="H106" i="21"/>
  <c r="H103" i="21"/>
  <c r="H104" i="21"/>
  <c r="H100" i="21"/>
  <c r="H101" i="21"/>
  <c r="H102" i="21"/>
  <c r="H98" i="21"/>
  <c r="H99" i="21"/>
  <c r="H94" i="21"/>
  <c r="H95" i="21"/>
  <c r="H96" i="21"/>
  <c r="H97" i="21"/>
  <c r="H92" i="21"/>
  <c r="H93" i="21"/>
  <c r="H90" i="21"/>
  <c r="H91" i="21"/>
  <c r="H87" i="21"/>
  <c r="H88" i="21"/>
  <c r="H89" i="21"/>
  <c r="H86" i="21"/>
  <c r="H83" i="21"/>
  <c r="H84" i="21"/>
  <c r="H85" i="21"/>
  <c r="H155" i="21"/>
  <c r="H2" i="21"/>
  <c r="I520" i="21"/>
  <c r="K520" i="21"/>
  <c r="J520" i="21"/>
  <c r="J598" i="21"/>
  <c r="J224" i="21" l="1"/>
  <c r="K2" i="21"/>
  <c r="J2" i="21"/>
  <c r="I2" i="21"/>
  <c r="H3" i="21" l="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B8" i="6" l="1"/>
  <c r="B7" i="6" l="1"/>
</calcChain>
</file>

<file path=xl/sharedStrings.xml><?xml version="1.0" encoding="utf-8"?>
<sst xmlns="http://schemas.openxmlformats.org/spreadsheetml/2006/main" count="5878" uniqueCount="3888">
  <si>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</si>
  <si>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</si>
  <si>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</si>
  <si>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</si>
  <si>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</si>
  <si>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</si>
  <si>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</si>
  <si>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</si>
  <si>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</si>
  <si>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</si>
  <si>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</si>
  <si>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</si>
  <si>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</si>
  <si>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</si>
  <si>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</si>
  <si>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</si>
  <si>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</si>
  <si>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</si>
  <si>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</si>
  <si>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</si>
  <si>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</si>
  <si>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</si>
  <si>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</si>
  <si>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</si>
  <si>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</si>
  <si>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</si>
  <si>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</si>
  <si>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</si>
  <si>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</si>
  <si>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</si>
  <si>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</si>
  <si>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</si>
  <si>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</si>
  <si>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</si>
  <si>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</si>
  <si>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</si>
  <si>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</si>
  <si>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</si>
  <si>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</si>
  <si>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</si>
  <si>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</si>
  <si>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</si>
  <si>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</si>
  <si>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</si>
  <si>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</si>
  <si>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</si>
  <si>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</si>
  <si>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</si>
  <si>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</si>
  <si>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</si>
  <si>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</si>
  <si>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</si>
  <si>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</si>
  <si>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</si>
  <si>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</si>
  <si>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</si>
  <si>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</si>
  <si>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</si>
  <si>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</si>
  <si>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</si>
  <si>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</si>
  <si>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</si>
  <si>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</si>
  <si>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</si>
  <si>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</si>
  <si>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</si>
  <si>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</si>
  <si>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</si>
  <si>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</si>
  <si>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</si>
  <si>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</si>
  <si>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</si>
  <si>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</si>
  <si>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</si>
  <si>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</si>
  <si>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</si>
  <si>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</si>
  <si>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</si>
  <si>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</si>
  <si>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</si>
  <si>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</si>
  <si>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</si>
  <si>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</si>
  <si>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</si>
  <si>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</si>
  <si>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</si>
  <si>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</si>
  <si>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</si>
  <si>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</si>
  <si>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</si>
  <si>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</si>
  <si>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</si>
  <si>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</si>
  <si>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</si>
  <si>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</si>
  <si>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</si>
  <si>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</si>
  <si>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</si>
  <si>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</si>
  <si>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</si>
  <si>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</si>
  <si>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</si>
  <si>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</si>
  <si>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</si>
  <si>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</si>
  <si>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</si>
  <si>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</si>
  <si>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</si>
  <si>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</si>
  <si>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</si>
  <si>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</si>
  <si>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</si>
  <si>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</si>
  <si>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</si>
  <si>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</si>
  <si>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</si>
  <si>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</si>
  <si>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</si>
  <si>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</si>
  <si>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</si>
  <si>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</si>
  <si>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</si>
  <si>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</si>
  <si>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</si>
  <si>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</si>
  <si>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</si>
  <si>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</si>
  <si>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</si>
  <si>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</si>
  <si>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</si>
  <si>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</si>
  <si>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</si>
  <si>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</si>
  <si>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</si>
  <si>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</si>
  <si>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</si>
  <si>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</si>
  <si>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</si>
  <si>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</si>
  <si>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</si>
  <si>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</si>
  <si>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</si>
  <si>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</si>
  <si>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</si>
  <si>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</si>
  <si>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</si>
  <si>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</si>
  <si>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</si>
  <si>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</si>
  <si>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</si>
  <si>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</si>
  <si>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</si>
  <si>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</si>
  <si>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</si>
  <si>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</si>
  <si>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</si>
  <si>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</si>
  <si>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</si>
  <si>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</si>
  <si>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</si>
  <si>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</si>
  <si>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</si>
  <si>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</si>
  <si>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</si>
  <si>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</si>
  <si>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</si>
  <si>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</si>
  <si>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</si>
  <si>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</si>
  <si>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</si>
  <si>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</si>
  <si>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</si>
  <si>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</si>
  <si>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</si>
  <si>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</si>
  <si>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</si>
  <si>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</si>
  <si>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</si>
  <si>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</si>
  <si>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</si>
  <si>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</si>
  <si>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</si>
  <si>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</si>
  <si>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</si>
  <si>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</si>
  <si>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</si>
  <si>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</si>
  <si>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</si>
  <si>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</si>
  <si>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</si>
  <si>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</si>
  <si>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</si>
  <si>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</si>
  <si>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</si>
  <si>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</si>
  <si>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</si>
  <si>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</si>
  <si>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</si>
  <si>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</si>
  <si>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</si>
  <si>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</si>
  <si>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</si>
  <si>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</si>
  <si>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</si>
  <si>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</si>
  <si>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</si>
  <si>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</si>
  <si>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</si>
  <si>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</si>
  <si>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</si>
  <si>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</si>
  <si>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</si>
  <si>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</si>
  <si>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</si>
  <si>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</si>
  <si>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</si>
  <si>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</si>
  <si>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</si>
  <si>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</si>
  <si>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</si>
  <si>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</si>
  <si>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</si>
  <si>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</si>
  <si>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</si>
  <si>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</si>
  <si>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</si>
  <si>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</si>
  <si>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</si>
  <si>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</si>
  <si>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</si>
  <si>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</si>
  <si>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</si>
  <si>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</si>
  <si>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</si>
  <si>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</si>
  <si>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</si>
  <si>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</si>
  <si>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</si>
  <si>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</si>
  <si>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</si>
  <si>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</si>
  <si>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</si>
  <si>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</si>
  <si>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</si>
  <si>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</si>
  <si>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</si>
  <si>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</si>
  <si>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</si>
  <si>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</si>
  <si>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</si>
  <si>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</si>
  <si>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</si>
  <si>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</si>
  <si>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</si>
  <si>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</si>
  <si>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</si>
  <si>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</si>
  <si>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</si>
  <si>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</si>
  <si>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</si>
  <si>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</si>
  <si>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</si>
  <si>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</si>
  <si>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</si>
  <si>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</si>
  <si>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</si>
  <si>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</si>
  <si>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</si>
  <si>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</si>
  <si>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</si>
  <si>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</si>
  <si>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</si>
  <si>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</si>
  <si>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</si>
  <si>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</si>
  <si>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</si>
  <si>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</si>
  <si>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</si>
  <si>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</si>
  <si>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</si>
  <si>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</si>
  <si>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</si>
  <si>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</si>
  <si>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</si>
  <si>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</si>
  <si>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</si>
  <si>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</si>
  <si>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</si>
  <si>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</si>
  <si>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</si>
  <si>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</si>
  <si>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</si>
  <si>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</si>
  <si>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</si>
  <si>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</si>
  <si>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</si>
  <si>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</si>
  <si>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</si>
  <si>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</si>
  <si>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</si>
  <si>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</si>
  <si>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</si>
  <si>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</si>
  <si>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</si>
  <si>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</si>
  <si>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</si>
  <si>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</si>
  <si>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</si>
  <si>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</si>
  <si>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</si>
  <si>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</si>
  <si>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</si>
  <si>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</si>
  <si>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</si>
  <si>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</si>
  <si>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</si>
  <si>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</si>
  <si>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</si>
  <si>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</si>
  <si>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</si>
  <si>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</si>
  <si>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</si>
  <si>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</si>
  <si>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</si>
  <si>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</si>
  <si>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</si>
  <si>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</si>
  <si>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</si>
  <si>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</si>
  <si>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</si>
  <si>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</si>
  <si>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</si>
  <si>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</si>
  <si>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</si>
  <si>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</si>
  <si>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</si>
  <si>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</si>
  <si>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</si>
  <si>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</si>
  <si>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</si>
  <si>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</si>
  <si>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</si>
  <si>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</si>
  <si>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</si>
  <si>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</si>
  <si>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</si>
  <si>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</si>
  <si>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</si>
  <si>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</si>
  <si>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</si>
  <si>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</si>
  <si>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</si>
  <si>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</si>
  <si>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</si>
  <si>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</si>
  <si>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</si>
  <si>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</si>
  <si>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</si>
  <si>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</si>
  <si>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</si>
  <si>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</si>
  <si>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</si>
  <si>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</si>
  <si>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</si>
  <si>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</si>
  <si>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</si>
  <si>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</si>
  <si>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</si>
  <si>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</si>
  <si>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</si>
  <si>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</si>
  <si>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</si>
  <si>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</si>
  <si>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</si>
  <si>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</si>
  <si>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</si>
  <si>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</si>
  <si>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</si>
  <si>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</si>
  <si>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</si>
  <si>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</si>
  <si>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</si>
  <si>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</si>
  <si>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</si>
  <si>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</si>
  <si>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</si>
  <si>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</si>
  <si>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</si>
  <si>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</si>
  <si>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</si>
  <si>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</si>
  <si>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</si>
  <si>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</si>
  <si>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</si>
  <si>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</si>
  <si>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</si>
  <si>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</si>
  <si>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</si>
  <si>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</si>
  <si>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</si>
  <si>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</si>
  <si>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</si>
  <si>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</si>
  <si>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</si>
  <si>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</si>
  <si>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</si>
  <si>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</si>
  <si>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</si>
  <si>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</si>
  <si>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</si>
  <si>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</si>
  <si>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</si>
  <si>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</si>
  <si>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</si>
  <si>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</si>
  <si>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</si>
  <si>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</si>
  <si>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</si>
  <si>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</si>
  <si>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</si>
  <si>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</si>
  <si>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</si>
  <si>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</si>
  <si>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</si>
  <si>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</si>
  <si>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</si>
  <si>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</si>
  <si>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</si>
  <si>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</si>
  <si>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</si>
  <si>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</si>
  <si>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</si>
  <si>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</si>
  <si>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</si>
  <si>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</si>
  <si>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</si>
  <si>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</si>
  <si>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</si>
  <si>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</si>
  <si>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</si>
  <si>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</si>
  <si>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</si>
  <si>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</si>
  <si>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</si>
  <si>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</si>
  <si>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</si>
  <si>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</si>
  <si>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</si>
  <si>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</si>
  <si>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</si>
  <si>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</si>
  <si>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</si>
  <si>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</si>
  <si>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</si>
  <si>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</si>
  <si>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</si>
  <si>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</si>
  <si>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</si>
  <si>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</si>
  <si>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</si>
  <si>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</si>
  <si>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</si>
  <si>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</si>
  <si>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</si>
  <si>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</si>
  <si>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</si>
  <si>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</si>
  <si>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</si>
  <si>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</si>
  <si>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</si>
  <si>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</si>
  <si>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</si>
  <si>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</si>
  <si>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</si>
  <si>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</si>
  <si>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</si>
  <si>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</si>
  <si>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</si>
  <si>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</si>
  <si>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</si>
  <si>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</si>
  <si>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</si>
  <si>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</si>
  <si>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</si>
  <si>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</si>
  <si>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</si>
  <si>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</si>
  <si>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</si>
  <si>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</si>
  <si>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</si>
  <si>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</si>
  <si>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</si>
  <si>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</si>
  <si>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</si>
  <si>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</si>
  <si>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</si>
  <si>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</si>
  <si>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</si>
  <si>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</si>
  <si>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</si>
  <si>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</si>
  <si>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</si>
  <si>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</si>
  <si>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</si>
  <si>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</si>
  <si>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</si>
  <si>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</si>
  <si>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</si>
  <si>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</si>
  <si>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</si>
  <si>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</si>
  <si>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</si>
  <si>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</si>
  <si>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</si>
  <si>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</si>
  <si>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</si>
  <si>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</si>
  <si>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</si>
  <si>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</si>
  <si>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</si>
  <si>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</si>
  <si>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</si>
  <si>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</si>
  <si>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</si>
  <si>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</si>
  <si>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</si>
  <si>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</si>
  <si>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</si>
  <si>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</si>
  <si>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</si>
  <si>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</si>
  <si>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</si>
  <si>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</si>
  <si>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</si>
  <si>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</si>
  <si>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</si>
  <si>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</si>
  <si>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</si>
  <si>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</si>
  <si>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</si>
  <si>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</si>
  <si>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</si>
  <si>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</si>
  <si>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</si>
  <si>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</si>
  <si>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</si>
  <si>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</si>
  <si>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</si>
  <si>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</si>
  <si>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</si>
  <si>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</si>
  <si>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</si>
  <si>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</si>
  <si>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</si>
  <si>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</si>
  <si>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</si>
  <si>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</si>
  <si>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</si>
  <si>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</si>
  <si>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</si>
  <si>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</si>
  <si>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</si>
  <si>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</si>
  <si>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</si>
  <si>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</si>
  <si>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</si>
  <si>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</si>
  <si>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</si>
  <si>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</si>
  <si>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</si>
  <si>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</si>
  <si>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</si>
  <si>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</si>
  <si>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</si>
  <si>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</si>
  <si>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</si>
  <si>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</si>
  <si>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</si>
  <si>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</si>
  <si>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</si>
  <si>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</si>
  <si>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</si>
  <si>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</si>
  <si>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</si>
  <si>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</si>
  <si>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</si>
  <si>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</si>
  <si>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</si>
  <si>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</si>
  <si>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</si>
  <si>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</si>
  <si>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</si>
  <si>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</si>
  <si>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</si>
  <si>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</si>
  <si>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</si>
  <si>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</si>
  <si>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</si>
  <si>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</si>
  <si>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</si>
  <si>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</si>
  <si>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</si>
  <si>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</si>
  <si>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</si>
  <si>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</si>
  <si>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</si>
  <si>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</si>
  <si>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</si>
  <si>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</si>
  <si>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</si>
  <si>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</si>
  <si>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</si>
  <si>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</si>
  <si>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</si>
  <si>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</si>
  <si>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</si>
  <si>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</si>
  <si>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</si>
  <si>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</si>
  <si>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</si>
  <si>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</si>
  <si>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</si>
  <si>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</si>
  <si>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</si>
  <si>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</si>
  <si>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</si>
  <si>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</si>
  <si>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</si>
  <si>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</si>
  <si>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</si>
  <si>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</si>
  <si>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</si>
  <si>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</si>
  <si>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</si>
  <si>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</si>
  <si>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</si>
  <si>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</si>
  <si>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</si>
  <si>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</si>
  <si>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</si>
  <si>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</si>
  <si>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</si>
  <si>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</si>
  <si>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</si>
  <si>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</si>
  <si>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</si>
  <si>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</si>
  <si>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</si>
  <si>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</si>
  <si>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</si>
  <si>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</si>
  <si>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</si>
  <si>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</si>
  <si>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</si>
  <si>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</si>
  <si>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</si>
  <si>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</si>
  <si>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</si>
  <si>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</si>
  <si>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</si>
  <si>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</si>
  <si>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</si>
  <si>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</si>
  <si>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</si>
  <si>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</si>
  <si>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</si>
  <si>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</si>
  <si>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</si>
  <si>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</si>
  <si>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</si>
  <si>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</si>
  <si>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</si>
  <si>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</si>
  <si>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</si>
  <si>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</si>
  <si>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</si>
  <si>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</si>
  <si>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</si>
  <si>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</si>
  <si>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</si>
  <si>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</si>
  <si>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</si>
  <si>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</si>
  <si>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</si>
  <si>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</si>
  <si>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</si>
  <si>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</si>
  <si>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</si>
  <si>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</si>
  <si>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</si>
  <si>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</si>
  <si>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</si>
  <si>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</si>
  <si>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</si>
  <si>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</si>
  <si>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</si>
  <si>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</si>
  <si>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</si>
  <si>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</si>
  <si>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</si>
  <si>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</si>
  <si>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</si>
  <si>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</si>
  <si>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</si>
  <si>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</si>
  <si>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</si>
  <si>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</si>
  <si>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</si>
  <si>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</si>
  <si>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</si>
  <si>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</si>
  <si>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script_name_8</t>
  </si>
  <si>
    <t>script_path_8</t>
  </si>
  <si>
    <t>script_name_9</t>
  </si>
  <si>
    <t>script_path_9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</si>
  <si>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</si>
  <si>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</si>
  <si>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</si>
  <si>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</si>
  <si>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</si>
  <si>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</si>
  <si>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</si>
  <si>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</si>
  <si>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</si>
  <si>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</si>
  <si>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</si>
  <si>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</si>
  <si>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</si>
  <si>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</si>
  <si>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</si>
  <si>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</si>
  <si>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</si>
  <si>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</si>
  <si>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</si>
  <si>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</si>
  <si>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</si>
  <si>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</si>
  <si>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</si>
  <si>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</si>
  <si>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</si>
  <si>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</si>
  <si>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</si>
  <si>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</si>
  <si>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</si>
  <si>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</si>
  <si>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</si>
  <si>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</si>
  <si>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</si>
  <si>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</si>
  <si>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</si>
  <si>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</si>
  <si>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</si>
  <si>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</si>
  <si>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</si>
  <si>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</si>
  <si>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</si>
  <si>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</si>
  <si>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</si>
  <si>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</si>
  <si>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</si>
  <si>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</si>
  <si>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</si>
  <si>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</si>
  <si>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</si>
  <si>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</si>
  <si>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</si>
  <si>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</si>
  <si>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</si>
  <si>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</si>
  <si>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</si>
  <si>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</si>
  <si>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</si>
  <si>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</si>
  <si>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</si>
  <si>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</si>
  <si>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</si>
  <si>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</si>
  <si>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</si>
  <si>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</si>
  <si>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</si>
  <si>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</si>
  <si>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</si>
  <si>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</si>
  <si>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</si>
  <si>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</si>
  <si>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</si>
  <si>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</si>
  <si>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</si>
  <si>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</si>
  <si>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</si>
  <si>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</si>
  <si>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</si>
  <si>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</si>
  <si>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</si>
  <si>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</si>
  <si>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</si>
  <si>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</si>
  <si>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</si>
  <si>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</si>
  <si>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</si>
  <si>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</si>
  <si>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</si>
  <si>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</si>
  <si>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</si>
  <si>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</si>
  <si>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</si>
  <si>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</si>
  <si>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</si>
  <si>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</si>
  <si>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</si>
  <si>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</si>
  <si>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</si>
  <si>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</si>
  <si>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</si>
  <si>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</si>
  <si>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</si>
  <si>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</si>
  <si>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</si>
  <si>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</si>
  <si>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</si>
  <si>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</si>
  <si>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</si>
  <si>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</si>
  <si>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</si>
  <si>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</si>
  <si>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</si>
  <si>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</si>
  <si>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</si>
  <si>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</si>
  <si>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</si>
  <si>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</si>
  <si>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</si>
  <si>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</si>
  <si>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</si>
  <si>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</si>
  <si>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</si>
  <si>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</si>
  <si>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</si>
  <si>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</si>
  <si>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</si>
  <si>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</si>
  <si>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</si>
  <si>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</si>
  <si>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</si>
  <si>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</si>
  <si>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</si>
  <si>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</si>
  <si>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</si>
  <si>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</si>
  <si>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</si>
  <si>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</si>
  <si>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</si>
  <si>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</si>
  <si>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</si>
  <si>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</si>
  <si>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</si>
  <si>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</si>
  <si>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</si>
  <si>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</si>
  <si>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</si>
  <si>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</si>
  <si>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</si>
  <si>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</si>
  <si>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</si>
  <si>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</si>
  <si>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</si>
  <si>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</si>
  <si>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</si>
  <si>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</si>
  <si>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</si>
  <si>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</si>
  <si>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</si>
  <si>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</si>
  <si>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</si>
  <si>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</si>
  <si>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</si>
  <si>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</si>
  <si>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</si>
  <si>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</si>
  <si>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</si>
  <si>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</si>
  <si>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</si>
  <si>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</si>
  <si>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</si>
  <si>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</si>
  <si>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</si>
  <si>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</si>
  <si>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</si>
  <si>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</si>
  <si>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</si>
  <si>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</si>
  <si>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</si>
  <si>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</si>
  <si>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</si>
  <si>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</si>
  <si>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</si>
  <si>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</si>
  <si>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</si>
  <si>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</si>
  <si>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</si>
  <si>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</si>
  <si>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</si>
  <si>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</si>
  <si>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</si>
  <si>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</si>
  <si>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</si>
  <si>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</si>
  <si>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</si>
  <si>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</si>
  <si>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</si>
  <si>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</si>
  <si>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</si>
  <si>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</si>
  <si>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</si>
  <si>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</si>
  <si>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</si>
  <si>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</si>
  <si>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</si>
  <si>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</si>
  <si>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</si>
  <si>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</si>
  <si>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</si>
  <si>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</si>
  <si>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</si>
  <si>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</si>
  <si>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</si>
  <si>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</si>
  <si>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</si>
  <si>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</si>
  <si>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</si>
  <si>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</si>
  <si>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</si>
  <si>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</si>
  <si>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</si>
  <si>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</si>
  <si>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</si>
  <si>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</si>
  <si>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</si>
  <si>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</si>
  <si>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</si>
  <si>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</si>
  <si>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</si>
  <si>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</si>
  <si>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</si>
  <si>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</si>
  <si>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</si>
  <si>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</si>
  <si>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</si>
  <si>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</si>
  <si>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</si>
  <si>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</si>
  <si>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</si>
  <si>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</si>
  <si>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</si>
  <si>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</si>
  <si>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</si>
  <si>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</si>
  <si>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</si>
  <si>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</si>
  <si>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</si>
  <si>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</si>
  <si>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</si>
  <si>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</si>
  <si>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</si>
  <si>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</si>
  <si>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</si>
  <si>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</si>
  <si>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</si>
  <si>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</si>
  <si>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</si>
  <si>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</si>
  <si>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</si>
  <si>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</si>
  <si>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</si>
  <si>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</si>
  <si>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</si>
  <si>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</si>
  <si>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</si>
  <si>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</si>
  <si>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</si>
  <si>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</si>
  <si>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</si>
  <si>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</si>
  <si>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</si>
  <si>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</si>
  <si>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</si>
  <si>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</si>
  <si>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</si>
  <si>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</si>
  <si>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</si>
  <si>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</si>
  <si>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</si>
  <si>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</si>
  <si>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</si>
  <si>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</si>
  <si>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</si>
  <si>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</si>
  <si>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</si>
  <si>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</si>
  <si>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</si>
  <si>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</si>
  <si>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</si>
  <si>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</si>
  <si>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</si>
  <si>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</si>
  <si>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</si>
  <si>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</si>
  <si>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</si>
  <si>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</si>
  <si>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</si>
  <si>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</si>
  <si>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</si>
  <si>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</si>
  <si>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</si>
  <si>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</si>
  <si>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</si>
  <si>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</si>
  <si>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</si>
  <si>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</si>
  <si>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</si>
  <si>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</si>
  <si>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</si>
  <si>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</si>
  <si>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</si>
  <si>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</si>
  <si>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</si>
  <si>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</si>
  <si>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</si>
  <si>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</si>
  <si>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</si>
  <si>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</si>
  <si>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</si>
  <si>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</si>
  <si>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</si>
  <si>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</si>
  <si>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</si>
  <si>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</si>
  <si>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</si>
  <si>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</si>
  <si>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</si>
  <si>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</si>
  <si>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</si>
  <si>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</si>
  <si>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</si>
  <si>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</si>
  <si>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</si>
  <si>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</si>
  <si>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</si>
  <si>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</si>
  <si>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</si>
  <si>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</si>
  <si>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</si>
  <si>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</si>
  <si>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</si>
  <si>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</si>
  <si>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</si>
  <si>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</si>
  <si>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</si>
  <si>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</si>
  <si>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</si>
  <si>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</si>
  <si>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</si>
  <si>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</si>
  <si>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</si>
  <si>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</si>
  <si>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</si>
  <si>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</si>
  <si>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</si>
  <si>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</si>
  <si>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</si>
  <si>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</si>
  <si>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</si>
  <si>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</si>
  <si>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</si>
  <si>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</si>
  <si>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</si>
  <si>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</si>
  <si>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</si>
  <si>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</si>
  <si>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</si>
  <si>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</si>
  <si>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</si>
  <si>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</si>
  <si>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</si>
  <si>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</si>
  <si>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</si>
  <si>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</si>
  <si>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</si>
  <si>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</si>
  <si>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</si>
  <si>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</si>
  <si>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</si>
  <si>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</si>
  <si>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</si>
  <si>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</si>
  <si>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</si>
  <si>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</si>
  <si>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</si>
  <si>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</si>
  <si>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</si>
  <si>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</si>
  <si>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</si>
  <si>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</si>
  <si>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</si>
  <si>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</si>
  <si>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</si>
  <si>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</si>
  <si>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</si>
  <si>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</si>
  <si>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</si>
  <si>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</si>
  <si>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</si>
  <si>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</si>
  <si>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</si>
  <si>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</si>
  <si>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</si>
  <si>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</si>
  <si>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</si>
  <si>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</si>
  <si>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</si>
  <si>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</si>
  <si>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</si>
  <si>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</si>
  <si>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</si>
  <si>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</si>
  <si>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</si>
  <si>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</si>
  <si>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</si>
  <si>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</si>
  <si>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</si>
  <si>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</si>
  <si>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</si>
  <si>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</si>
  <si>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</si>
  <si>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</si>
  <si>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</si>
  <si>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</si>
  <si>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</si>
  <si>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</si>
  <si>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</si>
  <si>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</si>
  <si>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</si>
  <si>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</si>
  <si>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</si>
  <si>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</si>
  <si>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</si>
  <si>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</si>
  <si>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</si>
  <si>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</si>
  <si>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</si>
  <si>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</si>
  <si>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</si>
  <si>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</si>
  <si>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</si>
  <si>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</si>
  <si>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</si>
  <si>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</si>
  <si>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</si>
  <si>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</si>
  <si>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</si>
  <si>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</si>
  <si>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</si>
  <si>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</si>
  <si>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</si>
  <si>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</si>
  <si>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</si>
  <si>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</si>
  <si>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</si>
  <si>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</si>
  <si>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</si>
  <si>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</si>
  <si>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</si>
  <si>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</si>
  <si>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</si>
  <si>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</si>
  <si>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</si>
  <si>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</si>
  <si>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</si>
  <si>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</si>
  <si>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</si>
  <si>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</si>
  <si>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</si>
  <si>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</si>
  <si>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</si>
  <si>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</si>
  <si>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</si>
  <si>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</si>
  <si>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</si>
  <si>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</si>
  <si>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</si>
  <si>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</si>
  <si>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</si>
  <si>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</si>
  <si>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</si>
  <si>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</si>
  <si>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</si>
  <si>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</si>
  <si>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</si>
  <si>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</si>
  <si>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</si>
  <si>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</si>
  <si>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</si>
  <si>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</si>
  <si>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</si>
  <si>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</si>
  <si>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</si>
  <si>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</si>
  <si>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</si>
  <si>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</si>
  <si>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</si>
  <si>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</si>
  <si>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</si>
  <si>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</si>
  <si>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</si>
  <si>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</si>
  <si>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</si>
  <si>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</si>
  <si>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</si>
  <si>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</si>
  <si>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</si>
  <si>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</si>
  <si>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</si>
  <si>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</si>
  <si>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</si>
  <si>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</si>
  <si>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</si>
  <si>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</si>
  <si>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</si>
  <si>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</si>
  <si>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</si>
  <si>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</si>
  <si>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</si>
  <si>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</si>
  <si>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</si>
  <si>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</si>
  <si>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</si>
  <si>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</si>
  <si>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</si>
  <si>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</si>
  <si>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</si>
  <si>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</si>
  <si>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</si>
  <si>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</si>
  <si>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</si>
  <si>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</si>
  <si>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</si>
  <si>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</si>
  <si>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</si>
  <si>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</si>
  <si>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</si>
  <si>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</si>
  <si>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</si>
  <si>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</si>
  <si>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</si>
  <si>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</si>
  <si>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</si>
  <si>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</si>
  <si>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</si>
  <si>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</si>
  <si>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</si>
  <si>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</si>
  <si>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</si>
  <si>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</si>
  <si>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</si>
  <si>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</si>
  <si>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</si>
  <si>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</si>
  <si>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</si>
  <si>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</si>
  <si>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</si>
  <si>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</si>
  <si>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</si>
  <si>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</si>
  <si>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</si>
  <si>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</si>
  <si>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</si>
  <si>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</si>
  <si>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</si>
  <si>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</si>
  <si>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</si>
  <si>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</si>
  <si>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</si>
  <si>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</si>
  <si>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</si>
  <si>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</si>
  <si>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</si>
  <si>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</si>
  <si>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</si>
  <si>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</si>
  <si>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</si>
  <si>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</si>
  <si>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</si>
  <si>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</si>
  <si>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</si>
  <si>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</si>
  <si>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</si>
  <si>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</si>
  <si>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</si>
  <si>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</si>
  <si>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</si>
  <si>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</si>
  <si>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</si>
  <si>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</si>
  <si>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</si>
  <si>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</si>
  <si>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</si>
  <si>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</si>
  <si>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</si>
  <si>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</si>
  <si>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</si>
  <si>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</si>
  <si>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</si>
  <si>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</si>
  <si>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</si>
  <si>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</si>
  <si>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</si>
  <si>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</si>
  <si>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</si>
  <si>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</si>
  <si>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</si>
  <si>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</si>
  <si>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</si>
  <si>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</si>
  <si>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</si>
  <si>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</si>
  <si>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</si>
  <si>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</si>
  <si>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</si>
  <si>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</si>
  <si>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</si>
  <si>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</si>
  <si>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</si>
  <si>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</si>
  <si>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</si>
  <si>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</si>
  <si>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</si>
  <si>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</si>
  <si>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</si>
  <si>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</si>
  <si>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</si>
  <si>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</si>
  <si>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</si>
  <si>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</si>
  <si>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</si>
  <si>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</si>
  <si>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</si>
  <si>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</si>
  <si>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</si>
  <si>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</si>
  <si>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</si>
  <si>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</si>
  <si>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</si>
  <si>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</si>
  <si>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</si>
  <si>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</si>
  <si>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</si>
  <si>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</si>
  <si>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</si>
  <si>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</si>
  <si>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</si>
  <si>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</si>
  <si>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</si>
  <si>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</si>
  <si>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</si>
  <si>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</si>
  <si>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</si>
  <si>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</si>
  <si>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</si>
  <si>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</si>
  <si>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</si>
  <si>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</si>
  <si>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</si>
  <si>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</si>
  <si>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</si>
  <si>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</si>
  <si>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</si>
  <si>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</si>
  <si>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</si>
  <si>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</si>
  <si>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</si>
  <si>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</si>
  <si>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</si>
  <si>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</si>
  <si>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</si>
  <si>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</si>
  <si>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</si>
  <si>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</si>
  <si>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</si>
  <si>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</si>
  <si>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</si>
  <si>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</si>
  <si>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</si>
  <si>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</si>
  <si>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</si>
  <si>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</si>
  <si>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</si>
  <si>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</si>
  <si>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</si>
  <si>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</si>
  <si>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</si>
  <si>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</si>
  <si>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</si>
  <si>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</si>
  <si>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</si>
  <si>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</si>
  <si>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</si>
  <si>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</si>
  <si>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</si>
  <si>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</si>
  <si>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</si>
  <si>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</si>
  <si>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</si>
  <si>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</si>
  <si>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</si>
  <si>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</si>
  <si>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</si>
  <si>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</si>
  <si>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</si>
  <si>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</si>
  <si>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</si>
  <si>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</si>
  <si>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</si>
  <si>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</si>
  <si>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</si>
  <si>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</si>
  <si>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</si>
  <si>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</si>
  <si>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</si>
  <si>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</si>
  <si>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</si>
  <si>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</si>
  <si>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</si>
  <si>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</si>
  <si>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</si>
  <si>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</si>
  <si>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</si>
  <si>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</si>
  <si>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</si>
  <si>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</si>
  <si>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</si>
  <si>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</si>
  <si>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</si>
  <si>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</si>
  <si>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</si>
  <si>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</si>
  <si>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</si>
  <si>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</si>
  <si>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</si>
  <si>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</si>
  <si>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</si>
  <si>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</si>
  <si>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</si>
  <si>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</si>
  <si>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</si>
  <si>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</si>
  <si>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</si>
  <si>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</si>
  <si>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</si>
  <si>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</si>
  <si>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</si>
  <si>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Project FD Points</t>
  </si>
  <si>
    <t>Confidence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</si>
  <si>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</si>
  <si>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</si>
  <si>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</si>
  <si>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</si>
  <si>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</si>
  <si>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</si>
  <si>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</si>
  <si>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</si>
  <si>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</si>
  <si>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</si>
  <si>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</si>
  <si>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</si>
  <si>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</si>
  <si>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</si>
  <si>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</si>
  <si>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</si>
  <si>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</si>
  <si>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</si>
  <si>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</si>
  <si>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</si>
  <si>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</si>
  <si>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</si>
  <si>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</si>
  <si>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</si>
  <si>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</si>
  <si>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</si>
  <si>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</si>
  <si>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</si>
  <si>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</si>
  <si>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</si>
  <si>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</si>
  <si>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</si>
  <si>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</si>
  <si>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</si>
  <si>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</si>
  <si>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César Jimenez</t>
  </si>
  <si>
    <t>Chris Dominguez</t>
  </si>
  <si>
    <t>Cody Stanley</t>
  </si>
  <si>
    <t>Enrique Hernández</t>
  </si>
  <si>
    <t>Joe Nathan</t>
  </si>
  <si>
    <t>John Axford</t>
  </si>
  <si>
    <t>Max Muncy</t>
  </si>
  <si>
    <t>Radhames Liz</t>
  </si>
  <si>
    <t>C:\Users\Ian Whitestone\Documents\Python Projects\Fanduel-master\fanduel\modules\data_scrapping.py</t>
  </si>
  <si>
    <t>C:\Users\Ian Whitestone\Documents\Python Projects\Fanduel-master\fanduel\modules\Sport.py</t>
  </si>
  <si>
    <t>script_name_13</t>
  </si>
  <si>
    <t>script_path_13</t>
  </si>
  <si>
    <t>Travis dArnaud</t>
  </si>
  <si>
    <t>Jackie Bradley Jr.</t>
  </si>
  <si>
    <t>John Ryan Murphy</t>
  </si>
  <si>
    <t>John Mayberry Jr.</t>
  </si>
  <si>
    <t>TJ House</t>
  </si>
  <si>
    <t>Sean OSullivan</t>
  </si>
  <si>
    <t>Jonathan Diaz</t>
  </si>
  <si>
    <t>John Mayberry</t>
  </si>
  <si>
    <t>Sean O'Sullivan</t>
  </si>
  <si>
    <t>T.J. House</t>
  </si>
  <si>
    <t>Jon Diaz</t>
  </si>
  <si>
    <t>Jackie Bradley</t>
  </si>
  <si>
    <t>MLB Lineups Name</t>
  </si>
  <si>
    <t>Fanduel Name</t>
  </si>
  <si>
    <t>Khristopher Davis</t>
  </si>
  <si>
    <t>J. Saltalamacchia</t>
  </si>
  <si>
    <t>Jarrod Saltalamacchia</t>
  </si>
  <si>
    <t>Khris Davis</t>
  </si>
  <si>
    <t>Points</t>
  </si>
  <si>
    <t>MLB XML Stats Name</t>
  </si>
  <si>
    <t>TAM</t>
  </si>
  <si>
    <t>SDP</t>
  </si>
  <si>
    <t>SFG</t>
  </si>
  <si>
    <t>LOS</t>
  </si>
  <si>
    <t>Alex Rodriguez_batter</t>
  </si>
  <si>
    <t>Anthony Rizzo_batter</t>
  </si>
  <si>
    <t>Wandy Rodriguez_pitcher</t>
  </si>
  <si>
    <t>Miguel Montero_batter</t>
  </si>
  <si>
    <t>Devon Travis_batter</t>
  </si>
  <si>
    <t>Andrew McCutchen_batter</t>
  </si>
  <si>
    <t>Dexter Fowler_batter</t>
  </si>
  <si>
    <t>Ian Desmond_batter</t>
  </si>
  <si>
    <t>Michael Brantley_batter</t>
  </si>
  <si>
    <t>Roster Nerds NBA</t>
  </si>
  <si>
    <t>Roster Nerds NHL</t>
  </si>
  <si>
    <t>Roster Nerds MLB</t>
  </si>
  <si>
    <t>Player_Universe Size</t>
  </si>
  <si>
    <t>Proj Pts</t>
  </si>
  <si>
    <t>Tot. Conf</t>
  </si>
  <si>
    <t>Batter Orientation</t>
  </si>
  <si>
    <r>
      <rPr>
        <u/>
        <sz val="11"/>
        <color theme="1"/>
        <rFont val="Calibri"/>
        <family val="2"/>
        <scheme val="minor"/>
      </rPr>
      <t>Pitcher:</t>
    </r>
    <r>
      <rPr>
        <sz val="11"/>
        <color theme="1"/>
        <rFont val="Calibri"/>
        <family val="2"/>
        <scheme val="minor"/>
      </rPr>
      <t xml:space="preserve"> matchup odds, batter handedness, opposing batting lineup stats, pitcher home vs. away stats, bullpen stats</t>
    </r>
  </si>
  <si>
    <r>
      <rPr>
        <u/>
        <sz val="11"/>
        <color theme="1"/>
        <rFont val="Calibri"/>
        <family val="2"/>
        <scheme val="minor"/>
      </rPr>
      <t>Batter</t>
    </r>
    <r>
      <rPr>
        <sz val="11"/>
        <color theme="1"/>
        <rFont val="Calibri"/>
        <family val="2"/>
        <scheme val="minor"/>
      </rPr>
      <t>: pitcher stats, pitcher handedness, batter vs. pitcher stats, stadium, wOBA,MwOBA</t>
    </r>
  </si>
  <si>
    <t>Philadelphia Phillies</t>
  </si>
  <si>
    <t>ENE *</t>
  </si>
  <si>
    <t>Pittsburgh Pirates</t>
  </si>
  <si>
    <t>Shibe Park *</t>
  </si>
  <si>
    <t>Phil. Athletics &amp; Phillies</t>
  </si>
  <si>
    <t>ENE</t>
  </si>
  <si>
    <t>Sportsman's Park *</t>
  </si>
  <si>
    <t>St. L. Browns &amp; Cardinals</t>
  </si>
  <si>
    <t>League Park *</t>
  </si>
  <si>
    <t>Cleveland Indians</t>
  </si>
  <si>
    <t>SE *</t>
  </si>
  <si>
    <t>Comiskey Park *</t>
  </si>
  <si>
    <t>Chicago White Sox</t>
  </si>
  <si>
    <t>NE</t>
  </si>
  <si>
    <t>Polo Grounds</t>
  </si>
  <si>
    <t>N.Y. Giants, (Yanks &amp; Mets)</t>
  </si>
  <si>
    <t>ESE</t>
  </si>
  <si>
    <t>Griffith Stadium *</t>
  </si>
  <si>
    <t>Washington Senators</t>
  </si>
  <si>
    <t>ESE *</t>
  </si>
  <si>
    <t>Crosley Field *</t>
  </si>
  <si>
    <t>Cincinnati Reds</t>
  </si>
  <si>
    <t>Tiger Stadium * *</t>
  </si>
  <si>
    <t>Detroit Tigers</t>
  </si>
  <si>
    <t>NNE</t>
  </si>
  <si>
    <t>Fenway Park</t>
  </si>
  <si>
    <t>Boston Red Sox (&amp; Braves)</t>
  </si>
  <si>
    <t>Ebbets Field</t>
  </si>
  <si>
    <t>Brooklyn Dodgers</t>
  </si>
  <si>
    <t>Wrigley Field *</t>
  </si>
  <si>
    <t>Chicago Cubs (&amp; Whales)</t>
  </si>
  <si>
    <t>NE *</t>
  </si>
  <si>
    <t>Braves Field *</t>
  </si>
  <si>
    <t>Boston Braves *</t>
  </si>
  <si>
    <t>Yankee Stadium</t>
  </si>
  <si>
    <t>New York Yankees %</t>
  </si>
  <si>
    <t>E</t>
  </si>
  <si>
    <t>Cleveland Stadium *</t>
  </si>
  <si>
    <t>Milw. County Stadium</t>
  </si>
  <si>
    <t>Milw. Braves &amp; Brewers *</t>
  </si>
  <si>
    <t>SE</t>
  </si>
  <si>
    <t>Memorial Stadium</t>
  </si>
  <si>
    <t>Baltimore Orioles ' ;</t>
  </si>
  <si>
    <t>N</t>
  </si>
  <si>
    <t>Municipal Stadium *</t>
  </si>
  <si>
    <t>K.C. Athletics &amp; Royals</t>
  </si>
  <si>
    <t>Memorial Coliseum</t>
  </si>
  <si>
    <t>Los Angeles Dodgers</t>
  </si>
  <si>
    <t>Seals Stadium</t>
  </si>
  <si>
    <t>San Franciso Giants</t>
  </si>
  <si>
    <t>SSE</t>
  </si>
  <si>
    <t>Candlestick Park *</t>
  </si>
  <si>
    <t>Wrigley Field (L.A.)</t>
  </si>
  <si>
    <t>Los Angeles Angels</t>
  </si>
  <si>
    <t>Metropolitan Stadium</t>
  </si>
  <si>
    <t>Minnesota Twins</t>
  </si>
  <si>
    <t>Dodger Stadium</t>
  </si>
  <si>
    <t>L.A. Dodgers (&amp; Angels)</t>
  </si>
  <si>
    <t>Colt Stadium</t>
  </si>
  <si>
    <t>Houston Colt 45s</t>
  </si>
  <si>
    <t>RFK Stadium *</t>
  </si>
  <si>
    <t>Wash. Senators &amp; Nationals</t>
  </si>
  <si>
    <t>Shea Stadium</t>
  </si>
  <si>
    <t>N.Y. Mets (&amp; Yankees)</t>
  </si>
  <si>
    <t>Astrodome</t>
  </si>
  <si>
    <t>Houston Astros</t>
  </si>
  <si>
    <t>Angel Stadium *</t>
  </si>
  <si>
    <t>L.A./Cal./Anaheim Angels</t>
  </si>
  <si>
    <t>Atlanta-Fulton Co. Stad. *</t>
  </si>
  <si>
    <t>Atlanta Braves</t>
  </si>
  <si>
    <t>Busch Stadium II</t>
  </si>
  <si>
    <t>St. Louis Cardinals</t>
  </si>
  <si>
    <t>Oakland Coliseum * *</t>
  </si>
  <si>
    <t>Oakland Athletics</t>
  </si>
  <si>
    <t>Jarry Park</t>
  </si>
  <si>
    <t>Montreal Expos</t>
  </si>
  <si>
    <t>NNW</t>
  </si>
  <si>
    <t>Sick's Stadium</t>
  </si>
  <si>
    <t>Seattle Pilots</t>
  </si>
  <si>
    <t>Jack Murphy Stadium * *</t>
  </si>
  <si>
    <t>San Diego Padres</t>
  </si>
  <si>
    <t>Riverfront Stadium *</t>
  </si>
  <si>
    <t>Arlington Stadium</t>
  </si>
  <si>
    <t>Texas Rangers</t>
  </si>
  <si>
    <t>Kauffman Stadium *</t>
  </si>
  <si>
    <t>Kansas City Royals</t>
  </si>
  <si>
    <t>Olympic Stadium</t>
  </si>
  <si>
    <t>Kingdome</t>
  </si>
  <si>
    <t>Seattle Mariners</t>
  </si>
  <si>
    <t>Exhibition Stadium</t>
  </si>
  <si>
    <t>Toronto Blue Jays</t>
  </si>
  <si>
    <t>H.H.H. Metrodome</t>
  </si>
  <si>
    <t>Rogers Centre *</t>
  </si>
  <si>
    <t>U.S. Cellular Field *</t>
  </si>
  <si>
    <t>Chicago White Sox *</t>
  </si>
  <si>
    <t>Camden Yards</t>
  </si>
  <si>
    <t>Baltimore Orioles</t>
  </si>
  <si>
    <t>NNE *</t>
  </si>
  <si>
    <t>Sun Life Stadium * *</t>
  </si>
  <si>
    <t>Florida Marlins</t>
  </si>
  <si>
    <t>Mile High Stadium *</t>
  </si>
  <si>
    <t>Colorado Rockies</t>
  </si>
  <si>
    <t>Progressive Field *</t>
  </si>
  <si>
    <t>Globe Life Park * *</t>
  </si>
  <si>
    <t>Coors Field</t>
  </si>
  <si>
    <t>Turner Field *</t>
  </si>
  <si>
    <t>Tropicana Field *</t>
  </si>
  <si>
    <t>Tampa Bay Rays</t>
  </si>
  <si>
    <t>Chase Field *</t>
  </si>
  <si>
    <t>Arizona Diamondbacks</t>
  </si>
  <si>
    <t>Safeco Field</t>
  </si>
  <si>
    <t>AT&amp;T Park * *</t>
  </si>
  <si>
    <t>Minute Maid Park *</t>
  </si>
  <si>
    <t>Comerica Park</t>
  </si>
  <si>
    <t>Miller Park</t>
  </si>
  <si>
    <t>Milwaukee Brewers</t>
  </si>
  <si>
    <t>PNC Park</t>
  </si>
  <si>
    <t>Great American Ballpark</t>
  </si>
  <si>
    <t>Citizens Bank Park</t>
  </si>
  <si>
    <t>PETCO Park</t>
  </si>
  <si>
    <t>Busch Stadium III</t>
  </si>
  <si>
    <t>Nationals Park</t>
  </si>
  <si>
    <t>Washington Nationals</t>
  </si>
  <si>
    <t>Yankee Stadium II</t>
  </si>
  <si>
    <t>New York Yankees</t>
  </si>
  <si>
    <t>Citi Field</t>
  </si>
  <si>
    <t>New York Mets</t>
  </si>
  <si>
    <t>Target Field</t>
  </si>
  <si>
    <t>Marlins Park</t>
  </si>
  <si>
    <t>Miami Marlins</t>
  </si>
  <si>
    <t>Orientation</t>
  </si>
  <si>
    <t>Canada/Toronto</t>
  </si>
  <si>
    <t>02215</t>
  </si>
  <si>
    <t>script_name_14</t>
  </si>
  <si>
    <t>script_path_14</t>
  </si>
  <si>
    <t>{'Albert Pujols_batter': {'Salary': 2900.0, 'projected_FD_points': 2.5683139534883721, 'confidence': -0.0019928788778900142, 'FD_Position': '1B'}, 'Matt Kemp_batter': {'Salary': 3100.0, 'projected_FD_points': 2.4429674397255354, 'confidence': -0.0055470592296611443, 'FD_Position': 'OF'}, 'Seth Smith_batter': {'Salary': 2400.0, 'projected_FD_points': 2.0399305555555554, 'confidence': -0.0028336011909966263, 'FD_Position': 'OF'}, 'James Shields_pitcher': {'Salary': 8700.0, 'projected_FD_points': 11.411547622318182, 'confidence': -1.2195873042143535, 'FD_Position': 'P'}, 'Kyle Seager_batter': {'Salary': 3000.0, 'projected_FD_points': 2.8797453939869859, 'confidence': -0.056718737468200553, 'FD_Position': '3B'}, 'Derek Norris_batter': {'Salary': 2900.0, 'projected_FD_points': 1.8576388888888888, 'confidence': -0.13276558233860203, 'FD_Position': 'C'}, 'Johnny Giavotella_batter': {'Salary': 2200.0, 'projected_FD_points': 1.8525641025641026, 'confidence': -3.4508625277856053, 'FD_Position': '2B'}, 'Mike Trout_batter': {'Salary': 5400.0, 'projected_FD_points': 3.3520899544888261, 'confidence': -0.028025399361944814, 'FD_Position': 'OF'}, 'Troy Tulowitzki_batter': {'Salary': 4400.0, 'projected_FD_points': 3.0775827466278707, 'confidence': 0.064204051100198556, 'FD_Position': 'SS'}}</t>
  </si>
  <si>
    <t>{'Michael Brantley_batter': {'Salary': 4400.0, 'projected_FD_points': 3.9208981623058099, 'confidence': 0.028389920544475755, 'FD_Position': 'OF'}, 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'David Ortiz_batter': {'Salary': 2700.0, 'projected_FD_points': 2.5408716324388787, 'confidence': 0.0047772097729488205, 'FD_Position': '1B'}, 'Brock Holt_batter': {'Salary': 2200.0, 'projected_FD_points': 2.14139229951429, 'confidence': -0.14798285189260119, 'FD_Position': '3B'}, 'Buster Posey_batter': {'Salary': 3400.0, 'projected_FD_points': 2.5625, 'confidence': -0.49463294672825775, 'FD_Position': 'C'}, 'Michael Cuddyer_batter': {'Salary': 2500.0, 'projected_FD_points': 2.8078452269479079, 'confidence': -1.9672905211528033, 'FD_Position': 'OF'}}</t>
  </si>
  <si>
    <t>{'Michael Brantley_batter': {'Salary': 4400.0, 'projected_FD_points': 3.9208981623058099, 'confidence': 0.028389920544475755, 'FD_Position': 'OF'}, 'Adrian Beltre_batter': {'Salary': 3100.0, 'projected_FD_points': 2.5694444444444446, 'confidence': -0.065437323272102832, 'FD_Position': '3B'}, 'Anthony Rizzo_batter': {'Salary': 4500.0, 'projected_FD_points': 3.2436363162169615, 'confidence': -0.015309091155284449, 'FD_Position': '1B'}, 'Carlos Corporan_batter': {'Salary': 2200.0, 'projected_FD_points': 1.8862013388310443, 'confidence': -7.2545568480312941, 'FD_Position': 'C'}, 'Delino Deshields Jr._batter': {'Salary': 3100.0, 'projected_FD_points': 3.0276035260352603, 'confidence': -0.89221800118110806, 'FD_Position': 'OF'},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'Aaron Harang_pitcher': {'Salary': 7600.0, 'projected_FD_points': 10.390062074335663, 'confidence': -0.65365349208991996, 'FD_Position': 'P'}, 'Brian Dozier_batter': {'Salary': 3500.0, 'projected_FD_points': 2.7770902503535275, 'confidence': -0.0067773543657871915, 'FD_Position': '2B'}}</t>
  </si>
  <si>
    <t>{'Johnny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'Buster Posey_batter': {'Salary': 3400.0, 'projected_FD_points': 2.5625, 'confidence': -0.49463294672825775, 'FD_Position': 'C'}, 'Mookie Betts_batter': {'Salary': 3400.0, 'projected_FD_points': 2.6843105512822758, 'confidence': -0.48340437648127565, 'FD_Position': 'OF'}, 'Chris Colabello_batter': {'Salary': 2400.0, 'projected_FD_points': 2.1670662384909609, 'confidence': -0.058684192385572764, 'FD_Position': 'OF'}, 'Brock Holt_batter': {'Salary': 2200.0, 'projected_FD_points': 2.14139229951429, 'confidence': -0.14798285189260119, 'FD_Position': '3B'}, 'Troy Tulowitzki_batter': {'Salary': 4300.0, 'projected_FD_points': 3.1721129719395247, 'confidence': -0.054722054385297314, 'FD_Position': 'SS'}, 'Mike Napoli_batter': {'Salary': 2500.0, 'projected_FD_points': 2.408386365950514, 'confidence': -0.52830374333341945, 'FD_Position': '1B'}, 'Jayson Werth_batter': {'Salary': 2900.0, 'projected_FD_points': 2.6067640125274467, 'confidence': -0.0081058801333262487, 'FD_Position': 'OF'}}</t>
  </si>
  <si>
    <t>{'Adrian Beltre_batter': {'Salary': 3100.0, 'projected_FD_points': 2.5694444444444446, 'confidence': -0.065437323272102832, 'FD_Position': '3B'}, 'Starlin Castro_batter': {'Salary': 3100.0, 'projected_FD_points': 2.2469878343216299, 'confidence': -0.061697707749798214, 'FD_Position': 'SS'}, 'Anthony Rizzo_batter': {'Salary': 4500.0, 'projected_FD_points': 3.2436363162169615, 'confidence': -0.015309091155284449, 'FD_Position': '1B'}, 'Dexter Fowler_batter': {'Salary': 3200.0, 'projected_FD_points': 3.4647448350596961, 'confidence': -0.013527414582391373, 'FD_Position': 'OF'}, 'Delino Deshields Jr._batter': {'Salary': 3100.0, 'projected_FD_points': 3.0276035260352603, 'confidence': -0.89221800118110806, 'FD_Position': 'OF'}, 'Jon Niese_pitcher': {'Salary': 8400.0, 'projected_FD_points': 9.5992309469889534, 'confidence': 0.096432063142901536, 'FD_Position': 'P'}, 'Welington Castillo_batter': {'Salary': 2200.0, 'projected_FD_points': 1.6760869565217391, 'confidence': -3.0553581325404373, 'FD_Position': 'C'}, 'Michael Cuddyer_batter': {'Salary': 2500.0, 'projected_FD_points': 2.8078452269479079, 'confidence': -1.9672905211528033, 'FD_Position': 'OF'}, 'Omar Infante_batter': {'Salary': 2300.0, 'projected_FD_points': 1.5941291005932192, 'confidence': -0.0038468382530048029, 'FD_Position': '2B'}}</t>
  </si>
  <si>
    <t>{'Michael Brantley_batter': {'Salary': 4200.0, 'projected_FD_points': 4.0491265454466783, 'confidence': -0.10457591274061828,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'Clayton Kershaw_pitcher': {'Salary': 11000.0, 'projected_FD_points': 16.009446682578329, 'confidence': -0.89505786948135513, 'FD_Position': 'P'}, 'Dexter Fowler_batter': {'Salary': 3100.0, 'projected_FD_points': 3.5853508993686334, 'confidence': -0.1841499238658848, 'FD_Position': 'OF'}, 'Brett Lawrie_batter': {'Salary': 2200.0, 'projected_FD_points': 1.9782213572906919, 'confidence': 0.010229219287032687, 'FD_Position': '3B'}, 'Brandon Crawford_batter': {'Salary': 2400.0, 'projected_FD_points': 1.96448087431694, 'confidence': -0.02131541286643035, 'FD_Position': 'SS'}, 'Jose Abreu_batter': {'Salary': 3500.0, 'projected_FD_points': 3.4668887682057918, 'confidence': -0.0082624414250853651, 'FD_Position': '1B'}}</t>
  </si>
  <si>
    <t>{'Michael Brantley_batter': {'Salary': 4200.0, 'projected_FD_points': 4.0491265454466783, 'confidence': -0.10457591274061828, 'FD_Position': 'OF'}, 'Yoenis Cespedes_batter': {'Salary': 2800.0, 'projected_FD_points': 2.6054216867469879, 'confidence': -0.090427180364124782,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'Daniel Santana_batter': {'Salary': 2700.0, 'projected_FD_points': 2.3705031653361672, 'confidence': -0.00050355134083068798, 'FD_Position': 'SS'}, 'Clayton Kershaw_pitcher': {'Salary': 11000.0, 'projected_FD_points': 16.009446682578329, 'confidence': -0.89505786948135513, 'FD_Position': 'P'}, 'Brett Lawrie_batter': {'Salary': 2200.0, 'projected_FD_points': 1.9782213572906919, 'confidence': 0.010229219287032687, 'FD_Position': '3B'}, 'Jose Abreu_batter': {'Salary': 3500.0, 'projected_FD_points': 3.4668887682057918, 'confidence': -0.0082624414250853651,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</si>
  <si>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'Chris Iannetta_batter': {'Salary': 2200.0, 'projected_FD_points': 2.0084285041380707, 'confidence': -0.49989836104838825, 'FD_Position': 'C'}, 'Daniel Santana_batter': {'Salary': 2700.0, 'projected_FD_points': 2.5107647508115334, 'confidence': -0.0012322468258954, 'FD_Position': 'SS'}, 'Kris Bryant_batter': {'Salary': 3800.0, 'projected_FD_points': 3.7547958765701801, 'confidence': -0.71612669279609431, 'FD_Position': '3B'}, 'Dexter Fowler_batter': {'Salary': 3400.0, 'projected_FD_points': 3.7427700830273816, 'confidence': -0.12321381895638628, 'FD_Position': 'OF'}, 'Chris Colabello_batter': {'Salary': 2300.0, 'projected_FD_points': 2.5160290834747547, 'confidence': -0.63193495105539133, 'FD_Position': 'OF'}, 'Danny Salazar_pitcher': {'Salary': 8700.0, 'projected_FD_points': 14.457792009759068, 'confidence': -0.4471959145832991, 'FD_Position': 'P'}, 'Jose Abreu_batter': {'Salary': 3500.0, 'projected_FD_points': 3.2623355185927654, 'confidence': 0.0094474116231686445, 'FD_Position': '1B'}}</t>
  </si>
  <si>
    <t>{'Kris Bryant_batter': {'Salary': 3800.0, 'projected_FD_points': 3.7547958765701801, 'confidence': -0.71612669279609431, 'FD_Position': '3B'}, 'Kolten Wong_batter': {'Salary': 3200.0, 'projected_FD_points': 2.7080446669388354, 'confidence': -0.32339558869599805, 'FD_Position': '2B'}, 'Gerrit Cole_pitcher': {'Salary': 9300.0, 'projected_FD_points': 14.808239277652373, 'confidence': -1.2484743499664561, 'FD_Position': 'P'}, 'J.D. Martinez_batter': {'Salary': 3100.0, 'projected_FD_points': 2.7300232582437634, 'confidence': -0.065533625055954614, 'FD_Position': 'OF'}, 'Daniel Santana_batter': {'Salary': 2700.0, 'projected_FD_points': 2.5107647508115334, 'confidence': -0.0012322468258954, 'FD_Position': 'SS'}, 'Kurt Suzuki_batter': {'Salary': 2400.0, 'projected_FD_points': 1.8003472222222223, 'confidence': -1.6152017248508477, 'FD_Position': 'C'}, 'Dexter Fowler_batter': {'Salary': 3400.0, 'projected_FD_points': 3.7427700830273816, 'confidence': -0.12321381895638628, 'FD_Position': 'OF'}, 'Giancarlo Stanton_batter': {'Salary': 4600.0, 'projected_FD_points': 3.5203125000000002, 'confidence': -0.0056579617603118582, 'FD_Position': 'OF'}, 'Mark Reynolds_batter': {'Salary': 2500.0, 'projected_FD_points': 1.9206214822102934, 'confidence': -0.28922523112595711,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</si>
  <si>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'Ian Desmond_batter': {'Salary': 2500.0, 'projected_FD_points': 2.1761808418458366, 'confidence': 0.0077749473747881215, 'FD_Position': 'SS'}, 'Delino Deshields Jr._batter': {'Salary': 3400.0, 'projected_FD_points': 2.9763214811997911, 'confidence': 0.82910634447549669, 'FD_Position': 'OF'}, 'Steve Pearce_batter': {'Salary': 2700.0, 'projected_FD_points': 2.7582586586495501, 'confidence': -0.88920297459039666, 'FD_Position': 'OF'}, 'Danny Salazar_pitcher': {'Salary': 8700.0, 'projected_FD_points': 14.457792009759068, 'confidence': -0.4471959145832991, 'FD_Position': 'P'}, 'Kyle Seager_batter': {'Salary': 3100.0, 'projected_FD_points': 2.7937600120523713, 'confidence': -0.18848093891064566, 'FD_Position': '3B'}, 'Jose Abreu_batter': {'Salary': 3500.0, 'projected_FD_points': 3.2623355185927654, 'confidence': 0.0094474116231686445, 'FD_Position': '1B'}, 'Michael McKenry_batter': {'Salary': 2800.0, 'projected_FD_points': 2.2639824355644911, 'confidence': 0.018058471902889117, 'FD_Position': 'C'}}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</si>
  <si>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'J.D. Martinez_batter': {'Salary': 3300.0, 'projected_FD_points': 3.0930357785783316, 'confidence': -0.0037210396495570564, 'FD_Position': 'OF'}, 'Josh Donaldson_batter': {'Salary': 3600.0, 'projected_FD_points': 3.1044896344309736, 'confidence': -0.21403801387392973, 'FD_Position': '3B'}, 'Blake Swihart_batter': {'Salary': 2200.0, 'projected_FD_points': 1.9312499999999997, 'confidence': 0, 'FD_Position': 'C'},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'Jose Abreu_batter': {'Salary': 3600.0, 'projected_FD_points': 3.3529871883009155, 'confidence': -0.0016085875765079471, 'FD_Position': '1B'}}</t>
  </si>
  <si>
    <t>{'Russell Martin_batter': {'Salary': 3500.0, 'projected_FD_points': 2.6162790697674421, 'confidence': -0.022052909207763038, 'FD_Position': 'C'}, 'Neil Walker_batter': {'Salary': 2900.0, 'projected_FD_points': 2.3144556769501352, 'confidence': -0.025589144925404428,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'Prince Fielder_batter': {'Salary': 3500.0, 'projected_FD_points': 3.0009911894273129, 'confidence': -0.27464454612666866, 'FD_Position': '1B'},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'Chris Colabello_batter': {'Salary': 2400.0, 'projected_FD_points': 2.4030023153047009, 'confidence': -0.41613041271652085, 'FD_Position': 'OF'}}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</si>
  <si>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'Lucas Duda_batter': {'Salary': 3000.0, 'projected_FD_points': 2.8211019897200518, 'confidence': -0.026505345111914602, 'FD_Position': '1B'}, 'Steve Pearce_batter': {'Salary': 2700.0, 'projected_FD_points': 2.6875644046507845, 'confidence': -0.18026237431613934, 'FD_Position': 'OF'},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'Russell Martin_batter': {'Salary': 3500.0, 'projected_FD_points': 2.6162790697674421, 'confidence': -0.022052909207763038, 'FD_Position': 'C'}}</t>
  </si>
  <si>
    <t>{'Kolten Wong_batter': {'Salary': 3200.0, 'projected_FD_points': 2.7101550056493848, 'confidence': -1.1512106181802313, 'FD_Position': '2B'}, 'Ian Desmond_batter': {'Salary': 2700.0, 'projected_FD_points': 2.1912664552079288, 'confidence': 0.017785478067399052, 'FD_Position': 'SS'}, 'J.D. Martinez_batter': {'Salary': 3300.0, 'projected_FD_points': 3.0930357785783316, 'confidence': -0.0037210396495570564, 'FD_Position': 'OF'}, 'Wilin Rosario_batter': {'Salary': 2900.0, 'projected_FD_points': 2.0727711350221401, 'confidence': -0.14603309475606663, 'FD_Position': 'C'}, 'Justin Upton_batter': {'Salary': 4000.0, 'projected_FD_points': 2.8626854554592396, 'confidence': 0.020525852799315736, 'FD_Position': 'OF'}, 'Lance Lynn_pitcher': {'Salary': 8600.0, 'projected_FD_points': 13.141699717212488, 'confidence': -0.21780266069057763, 'FD_Position': 'P'}, 'Jose Abreu_batter': {'Salary': 3600.0, 'projected_FD_points': 3.3529871883009155, 'confidence': -0.0016085875765079471, 'FD_Position': '1B'}, 'Matt Carpenter_batter': {'Salary': 4200.0, 'projected_FD_points': 3.0187828874984781, 'confidence': -0.23688623889367255, 'FD_Position': '3B'}, 'Melky Cabrera_batter': {'Salary': 2500.0, 'projected_FD_points': 2.6584967320261437, 'confidence': -1.2238982642974015, 'FD_Position': 'OF'}}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</si>
  <si>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'J.D. Martinez_batter': {'Salary': 3300.0, 'projected_FD_points': 2.8526925429637755, 'confidence': -0.02706740455680734, 'FD_Position': 'OF'}, 'Josh Donaldson_batter': {'Salary': 3700.0, 'projected_FD_points': 2.939920781684112, 'confidence': -0.032266713481198028, 'FD_Position': '3B'}, 'Lucas Duda_batter': {'Salary': 3000.0, 'projected_FD_points': 2.8475790790175846, 'confidence': -0.011751034337240673, 'FD_Position': '1B'},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</si>
  <si>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'Lucas Duda_batter': {'Salary': 3000.0, 'projected_FD_points': 2.8475790790175846, 'confidence': -0.011751034337240673, 'FD_Position': '1B'}, 'Brett Lawrie_batter': {'Salary': 2200.0, 'projected_FD_points': 1.7968845565749236, 'confidence': -0.43021002590472213, 'FD_Position': '3B'}, 'Giancarlo Stanton_batter': {'Salary': 4800.0, 'projected_FD_points': 3.505437805613747, 'confidence': -0.0022192274654031507, 'FD_Position': 'OF'},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</si>
  <si>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'Daniel Santana_batter': {'Salary': 2700.0, 'projected_FD_points': 2.5059201299180631, 'confidence': -0.056714739402688563, 'FD_Position': 'SS'}, 'Dexter Fowler_batter': {'Salary': 3300.0, 'projected_FD_points': 3.7499218044886109, 'confidence': -0.0069904154427078424, 'FD_Position': 'OF'}, 'Jose Abreu_batter': {'Salary': 3400.0, 'projected_FD_points': 3.2343255043511521, 'confidence': -0.19222622988728122, 'FD_Position': '1B'}, 'Victor Martinez_batter': {'Salary': 3500.0, 'projected_FD_points': 2.6765013700839928, 'confidence': 0.11175410008478293, 'FD_Position': 'C'}}</t>
  </si>
  <si>
    <t>{'Kris Bryant_batter': {'Salary': 3500.0, 'projected_FD_points': 3.0247972138952566, 'confidence': -0.070187432400541372, 'FD_Position': '3B'},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'Jose Abreu_batter': {'Salary': 3400.0, 'projected_FD_points': 3.2343255043511521, 'confidence': -0.19222622988728122, 'FD_Position': '1B'}, 'Dexter Fowler_batter': {'Salary': 3300.0, 'projected_FD_points': 3.7499218044886109, 'confidence': -0.0069904154427078424, 'FD_Position': 'OF'}, 'Giancarlo Stanton_batter': {'Salary': 4500.0, 'projected_FD_points': 3.5824632957175129, 'confidence': -0.47423538474682347, 'FD_Position': 'OF'}, 'Victor Martinez_batter': {'Salary': 3500.0, 'projected_FD_points': 2.6765013700839928, 'confidence': 0.11175410008478293, 'FD_Position': 'C'}, 'Brandon Crawford_batter': {'Salary': 2200.0, 'projected_FD_points': 2.1009160012350727, 'confidence': -0.36147923579864893, 'FD_Position': 'SS'}}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</si>
  <si>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'J.D. Martinez_batter': {'Salary': 3000.0, 'projected_FD_points': 2.9119087857978587, 'confidence': -0.016501049744782392, 'FD_Position': 'OF'}, 'Kennys Vargas_batter': {'Salary': 2700.0, 'projected_FD_points': 2.3821428571428571, 'confidence': -0.092957618858847901, 'FD_Position': '1B'}, 'Daniel Santana_batter': {'Salary': 2700.0, 'projected_FD_points': 2.5059201299180631, 'confidence': -0.056714739402688563, 'FD_Position': 'SS'}, 'Lance Lynn_pitcher': {'Salary': 8200.0, 'projected_FD_points': 12.048610726279273, 'confidence': -0.2121224899043832, 'FD_Position': 'P'}, 'Victor Martinez_batter': {'Salary': 3500.0, 'projected_FD_points': 2.6765013700839928, 'confidence': 0.11175410008478293, 'FD_Position': 'C'}, 'Andrew McCutchen_batter': {'Salary': 3800.0, 'projected_FD_points': 3.0358772637979539, 'confidence': -0.03474375806265062, 'FD_Position': 'OF'}}</t>
  </si>
  <si>
    <t>{'Troy Tulowitzki_batter': {'Salary': 4400.0, 'projected_FD_points': 3.0915087910729757, 'confidence': -0.046623925425740564, 'FD_Position': 'SS'}, 'Ian Kennedy_pitcher': {'Salary': 8000.0, 'projected_FD_points': 13.430619469026553, 'confidence': -2.8620188523755008, 'FD_Position': 'P'}, 'Matt Kemp_batter': {'Salary': 3100.0, 'projected_FD_points': 2.6697287920140571, 'confidence': -0.058730267729020236, 'FD_Position': 'OF'}, 'Howie Kendrick_batter': {'Salary': 3200.0, 'projected_FD_points': 2.5137352393153805, 'confidence': 0.02535707337328108, 'FD_Position': '2B'}, 'Christian Yelich_batter': {'Salary': 2900.0, 'projected_FD_points': 2.6234716893006431, 'confidence': -0.93576877466231578, 'FD_Position': 'OF'}, 'David Ortiz_batter': {'Salary': 2800.0, 'projected_FD_points': 2.7864238410596025, 'confidence': -0.0031276857145268178, 'FD_Position': '1B'}, 'Yasmani Grandal_batter': {'Salary': 3000.0, 'projected_FD_points': 2.0772058823529411, 'confidence': -0.15023414269350144, 'FD_Position': 'C'}, 'Kyle Seager_batter': {'Salary': 3000.0, 'projected_FD_points': 2.5859112582501487, 'confidence': -0.03705907394803698, 'FD_Position': '3B'}, 'Giancarlo Stanton_batter': {'Salary': 4500.0, 'projected_FD_points': 3.5824632957175129, 'confidence': -0.47423538474682347, 'FD_Position': 'OF'}}</t>
  </si>
  <si>
    <t>{'Kris Bryant_batter': {'Salary': 3500.0, 'projected_FD_points': 3.0247972138952566, 'confidence': -0.070187432400541372, 'FD_Position': '3B'}, 'Starlin Castro_batter': {'Salary': 3100.0, 'projected_FD_points': 2.2722602739726026, 'confidence': -0.12252970829684573, 'FD_Position': 'SS'}, 'Delino Deshields Jr._batter': {'Salary': 2800.0, 'projected_FD_points': 2.6280172413793101, 'confidence': -0.58102378532723864, 'FD_Position': 'OF'}, 'Jose Altuve_batter': {'Salary': 4600.0, 'projected_FD_points': 2.730845243631189, 'confidence': 0.0014471441718708622, 'FD_Position': '2B'}, 'Dexter Fowler_batter': {'Salary': 3300.0, 'projected_FD_points': 3.7499218044886109, 'confidence': -0.0069904154427078424, 'FD_Position': 'OF'}, 'Jake Arrieta_pitcher': {'Salary': 9500.0, 'projected_FD_points': 13.394993185567756, 'confidence': -0.82755961630395891, 'FD_Position': 'P'}, 'Jose Abreu_batter': {'Salary': 3400.0, 'projected_FD_points': 3.2343255043511521, 'confidence': -0.19222622988728122, 'FD_Position': '1B'}, 'Michael Cuddyer_batter': {'Salary': 2600.0, 'projected_FD_points': 2.4833136808621497, 'confidence': -1.2986784699905414, 'FD_Position': 'OF'}, 'Jason Castro_batter': {'Salary': 2200.0, 'projected_FD_points': 1.9393599776761916, 'confidence': -0.010830193948266897, 'FD_Position': 'C'}}</t>
  </si>
  <si>
    <t>{'Robinson Chirinos_batter': {'Salary': 2500.0, 'projected_FD_points': 1.8408537895693857, 'confidence': 0.009804322393020759, 'FD_Position': 'C'}, 'Alex Rodriguez_batter': {'Salary': 3400.0, 'projected_FD_points': 2.9660005293806249, 'confidence': 0.0, 'FD_Position': '3B'}, 'Devon Travis_batter': {'Salary': 3400.0, 'projected_FD_points': 4.7334434679928243, 'confidence': -0.32507537969735045, 'FD_Position': '2B'}, 'Jon Lester_pitcher': {'Salary': 9100.0, 'projected_FD_points': 13.065382861362057, 'confidence': -0.71740875831030815, 'FD_Position': 'P'}, 'Dexter Fowler_batter': {'Salary': 3300.0, 'projected_FD_points': 3.6519553776528273, 'confidence': 0.0057337785571559552, 'FD_Position': 'OF'}, 'Giancarlo Stanton_batter': {'Salary': 4500.0, 'projected_FD_points': 3.4787081104823914, 'confidence': -0.0035882180217692294, 'FD_Position': 'OF'}, 'Jose Abreu_batter': {'Salary': 3400.0, 'projected_FD_points': 3.441358184555122, 'confidence': -0.034017455622766146, 'FD_Position': '1B'}, 'Alexei Ramirez_batter': {'Salary': 2700.0, 'projected_FD_points': 2.1261867552859641, 'confidence': -0.062843459293675075, 'FD_Position': 'SS'}, 'Christian Yelich_batter': {'Salary': 2700.0, 'projected_FD_points': 2.4750000000000001, 'confidence': -0.058030211480362803, 'FD_Position': 'OF'}}</t>
  </si>
  <si>
    <t>{'Ian Desmond_batter': {'Salary': 2900.0, 'projected_FD_points': 2.1734325110440449, 'confidence': -0.13689134429448058, 'FD_Position': 'SS'}, 'Max Scherzer_pitcher': {'Salary': 10900.0, 'projected_FD_points': 13.406438851374396, 'confidence': -7.2621090392387906, 'FD_Position': 'P'}, 'Howie Kendrick_batter': {'Salary': 3200.0, 'projected_FD_points': 2.4148046058061361, 'confidence': -0.19118626923907578, 'FD_Position': '2B'}, 'Christian Yelich_batter': {'Salary': 2700.0, 'projected_FD_points': 2.4750000000000001, 'confidence': -0.058030211480362803, 'FD_Position': 'OF'}, 'Brett Lawrie_batter': {'Salary': 2400.0, 'projected_FD_points': 1.961111111111111, 'confidence': -0.26002820367961665, 'FD_Position': '3B'}, 'Yasmani Grandal_batter': {'Salary': 3000.0, 'projected_FD_points': 2.0425925925925927, 'confidence': -0.034702535920890565, 'FD_Position': 'C'}, 'Giancarlo Stanton_batter': {'Salary': 4500.0, 'projected_FD_points': 3.4787081104823914, 'confidence': -0.0035882180217692294, 'FD_Position': 'OF'}, 'Jayson Werth_batter': {'Salary': 3100.0, 'projected_FD_points': 2.544176522983312, 'confidence': -0.040636839051680251, 'FD_Position': 'OF'}, 'Mike Napoli_batter': {'Salary': 2200.0, 'projected_FD_points': 2.0986502472748336, 'confidence': -0.15034625808208246, 'FD_Position': '1B'}}</t>
  </si>
  <si>
    <t>{'Adrian Beltre_batter': {'Salary': 2700.0, 'projected_FD_points': 2.5812499999999998, 'confidence': -0.13868532398452604, 'FD_Position': '3B'}, 'Starlin Castro_batter': {'Salary': 3200.0, 'projected_FD_points': 2.2523526077097502, 'confidence': -0.012349581719607761, 'FD_Position': 'SS'}, 'Anthony Rizzo_batter': {'Salary': 4400.0, 'projected_FD_points': 3.064569536423841, 'confidence': -0.10217654181239189, 'FD_Position': '1B'}, 'Dexter Fowler_batter': {'Salary': 3300.0, 'projected_FD_points': 3.6519553776528273, 'confidence': 0.0057337785571559552, 'FD_Position': 'OF'}, 'Lorenzo Cain_batter': {'Salary': 3400.0, 'projected_FD_points': 2.3455414012738856, 'confidence': -0.12699522648057249, 'FD_Position': 'OF'}, 'Alex Gordon_batter': {'Salary': 3200.0, 'projected_FD_points': 2.4185393258426968, 'confidence': -0.0021851755937265516, 'FD_Position': 'OF'}, 'Daniel Murphy_batter': {'Salary': 2700.0, 'projected_FD_points': 1.9575540501286417, 'confidence': -0.1318239076138199, 'FD_Position': '2B'}, 'Salvador Perez_batter': {'Salary': 2700.0, 'projected_FD_points': 1.8468041694083301, 'confidence': -0.1204358066902067, 'FD_Position': 'C'}, 'Jon Lester_pitcher': {'Salary': 9100.0, 'projected_FD_points': 13.065382861362057, 'confidence': -0.71740875831030815, 'FD_Position': 'P'}}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</si>
  <si>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'Dexter Fowler_batter': {'Salary': 3200.0, 'projected_FD_points': 3.6481853742332122, 'confidence': -0.19655744744705395, 'FD_Position': 'OF'}, 'Victor Martinez_batter': {'Salary': 3600.0, 'projected_FD_points': 2.5669872686537052, 'confidence': -0.33062902440327391, 'FD_Position': 'C'}, 'Jose Abreu_batter': {'Salary': 3500.0, 'projected_FD_points': 3.3639793476133848, 'confidence': -0.0015841426264080471, 'FD_Position': '1B'}}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</si>
  <si>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'Miguel Montero_batter': {'Salary': 3000.0, 'projected_FD_points': 1.9107142857142858, 'confidence': -0.00027427273096103377, 'FD_Position': 'C'}, 'Dexter Fowler_batter': {'Salary': 3200.0, 'projected_FD_points': 3.6481853742332122, 'confidence': -0.19655744744705395, 'FD_Position': 'OF'}, 'Jose Abreu_batter': {'Salary': 3500.0, 'projected_FD_points': 3.3639793476133848, 'confidence': -0.0015841426264080471, 'FD_Position': '1B'}}</t>
  </si>
  <si>
    <t>{'Yoenis Cespedes_batter': {'Salary': 3000.0, 'projected_FD_points': 2.5203510262756303, 'confidence': -0.0094798631552719392, 'FD_Position': 'OF'}, 'J.D. Martinez_batter': {'Salary': 3000.0, 'projected_FD_points': 2.9652848333389508, 'confidence': -0.017755320386775075, 'FD_Position': 'OF'}, 'Robinson Cano_batter': {'Salary': 3400.0, 'projected_FD_points': 2.5121917738573387, 'confidence': -0.17806727801638078, 'FD_Position': '2B'}, 'Clayton Kershaw_pitcher': {'Salary': 11200.0, 'projected_FD_points': 16.246642984014212, 'confidence': -1.1991949323236746, 'FD_Position': 'P'}, 'Christian Yelich_batter': {'Salary': 2800.0, 'projected_FD_points': 2.5881294964028778, 'confidence': -0.96585791523524089, 'FD_Position': 'OF'}, 'Billy Butler_batter': {'Salary': 2600.0, 'projected_FD_points': 2.0892973728885758, 'confidence': -0.032276690448748147, 'FD_Position': '1B'}, 'Kyle Seager_batter': {'Salary': 3000.0, 'projected_FD_points': 2.5135747240921371, 'confidence': -0.034157332643142135, 'FD_Position': '3B'}, 'Victor Martinez_batter': {'Salary': 3600.0, 'projected_FD_points': 2.5669872686537052, 'confidence': -0.33062902440327391, 'FD_Position': 'C'}, 'Alcides Escobar_batter': {'Salary': 2400.0, 'projected_FD_points': 1.8254816596106198, 'confidence': -0.047713908875284483, 'FD_Position': 'SS'}}</t>
  </si>
  <si>
    <t>{'Kolten Wong_batter': {'Salary': 2800.0, 'projected_FD_points': 2.6370873362825193, 'confidence': -0.25499969368288045, 'FD_Position': '2B'}, 'Melky Cabrera_batter': {'Salary': 2800.0, 'projected_FD_points': 2.6506480001346144, 'confidence': -0.067988782079400734, 'FD_Position': 'OF'}, 'Johnny Cueto_pitcher': {'Salary': 10500.0, 'projected_FD_points': 14.08574026385549, 'confidence': -0.0093606772178205233, 'FD_Position': 'P'}, 'Josh Phegley_batter': {'Salary': 2200.0, 'projected_FD_points': 2.7044653524492235, 'confidence': -2.7916558565565666, 'FD_Position': 'C'}, 'Dexter Fowler_batter': {'Salary': 2900.0, 'projected_FD_points': 3.3322851809068776, 'confidence': 0.016186217046206597, 'FD_Position': 'OF'}, 'Kyle Seager_batter': {'Salary': 3000.0, 'projected_FD_points': 2.6860575692144879, 'confidence': 0.0045100840699389133, 'FD_Position': '3B'}, 'Giancarlo Stanton_batter': {'Salary': 4800.0, 'projected_FD_points': 3.5258064516129033, 'confidence': -0.033703475882515876, 'FD_Position': 'OF'}, 'Jose Abreu_batter': {'Salary': 3500.0, 'projected_FD_points': 3.2437896559293695, 'confidence': -0.043926574657667805, 'FD_Position': '1B'}, 'Alexei Ramirez_batter': {'Salary': 2400.0, 'projected_FD_points': 2.0169753086419755, 'confidence': -0.00083326508848702296, 'FD_Position': 'SS'}}</t>
  </si>
  <si>
    <t>{'Michael Brantley_batter': {'Salary': 4200.0, 'projected_FD_points': 4.2336769688026097, 'confidence': -1.197185560494777, 'FD_Position': 'OF'}, 'Robinson Chirinos_batter': {'Salary': 2400.0, 'projected_FD_points': 1.9078106203815091, 'confidence': -0.031130621491938681, 'FD_Position': 'C'}, 'Brian Dozier_batter': {'Salary': 3200.0, 'projected_FD_points': 2.5764354242864234, 'confidence': -0.034073530191176316, 'FD_Position': '2B'}, 'Brandon Moss_batter': {'Salary': 3400.0, 'projected_FD_points': 2.6815909509361058, 'confidence': -0.21466647015449136, 'FD_Position': 'OF'}, 'Freddie Freeman_batter': {'Salary': 3900.0, 'projected_FD_points': 2.7392561191548173, 'confidence': -0.031376536011214817, 'FD_Position': '1B'}, 'Julio Teheran_pitcher': {'Salary': 8300.0, 'projected_FD_points': 11.558637615818871, 'confidence': -0.22143457557079516, 'FD_Position': 'P'}, 'Daniel Santana_batter': {'Salary': 2900.0, 'projected_FD_points': 2.4891383923848007, 'confidence': 0.016773424403390025, 'FD_Position': 'SS'}, 'Adrian Beltre_batter': {'Salary': 2900.0, 'projected_FD_points': 2.5268987341772151, 'confidence': -0.054548065443489557, 'FD_Position': '3B'}, 'Jayson Werth_batter': {'Salary': 2900.0, 'projected_FD_points': 2.5114490760085251, 'confidence': -0.011869873903849859, 'FD_Position': 'OF'}}</t>
  </si>
  <si>
    <t>{'Michael Brantley_batter': {'Salary': 4200.0, 'projected_FD_points': 4.204600159921239, 'confidence': -0.32265822925972154, 'FD_Position': 'OF'}, 'Sonny Gray_pitcher': {'Salary': 9400.0, 'projected_FD_points': 13.338943393871315, 'confidence': -2.7325680010606543, 'FD_Position': 'P'}, 'Devon Travis_batter': {'Salary': 3400.0, 'projected_FD_points': 3.7779259014679374, 'confidence': -0.38740023541040758, 'FD_Position': '2B'}, 'Josh Donaldson_batter': {'Salary': 3600.0, 'projected_FD_points': 3.0607892602210578, 'confidence': -0.15327026251177767, 'FD_Position': '3B'}, 'Daniel Santana_batter': {'Salary': 3000.0, 'projected_FD_points': 2.5590453534853181, 'confidence': 0.01370599623533586, 'FD_Position': 'SS'}, 'Dexter Fowler_batter': {'Salary': 3000.0, 'projected_FD_points': 2.9902895870231547, 'confidence': -0.051739637744220746, 'FD_Position': 'OF'}, 'Carlos Santana_batter': {'Salary': 3300.0, 'projected_FD_points': 2.65625, 'confidence': -0.0065357902850151639, 'FD_Position': '1B'}, 'Kyle Blanks_batter': {'Salary': 2900.0, 'projected_FD_points': 2.9214568126520684, 'confidence': -0.03196112502830406, 'FD_Position': 'OF'}, 'Jason Castro_batter': {'Salary': 2200.0, 'projected_FD_points': 2.0410658946902411, 'confidence': 0.04470877929114625, 'FD_Position': 'C'}}</t>
  </si>
  <si>
    <t>{'Adrian Beltre_batter': {'Salary': 2800.0, 'projected_FD_points': 2.3153496545585286, 'confidence': -0.33802147864898435, 'FD_Position': '3B'}, 'Jimmy Paredes_batter': {'Salary': 3000.0, 'projected_FD_points': 2.9341865739786148, 'confidence': 0.3864233825208474, 'FD_Position': '2B'}, 'Paul Goldschmidt_batter': {'Salary': 5100.0, 'projected_FD_points': 3.6956116088717699, 'confidence': -0.1337380484469084, 'FD_Position': '1B'}, 'Tim Beckham_batter': {'Salary': 2200.0, 'projected_FD_points': 1.95, 'confidence': -1.0940697674418609, 'FD_Position': 'SS'}, 'Marcell Ozuna_batter': {'Salary': 2900.0, 'projected_FD_points': 2.5526122812992313, 'confidence': -0.22960870031404856, 'FD_Position': 'OF'}, 'Giancarlo Stanton_batter': {'Salary': 4700.0, 'projected_FD_points': 3.4850478426606264, 'confidence': -0.069393938670615052, 'FD_Position': 'OF'}, 'Jason Castro_batter': {'Salary': 2200.0, 'projected_FD_points': 2.1325432806790472, 'confidence': -1.0228821878207013, 'FD_Position': 'C'}, 'Collin McHugh_pitcher': {'Salary': 8400.0, 'projected_FD_points': 12.314814814814817, 'confidence': -0.018650279372852685, 'FD_Position': 'P'}, 'Andrew McCutchen_batter': {'Salary': 3700.0, 'projected_FD_points': 2.948051948051948, 'confidence': -0.034080954300953703, 'FD_Position': 'OF'}}</t>
  </si>
  <si>
    <t>{'Michael Brantley_batter': {'Salary': 4100.0, 'projected_FD_points': 4.0958856811763065, 'confidence': 0.007511398350216969, 'FD_Position': 'OF'}, 'Jimmy Paredes_batter': {'Salary': 3100.0, 'projected_FD_points': 3.7787197802197801, 'confidence': -1.9162258080740719, 'FD_Position': '2B'}, 'Melky Cabrera_batter': {'Salary': 2500.0, 'projected_FD_points': 2.6390783845870724, 'confidence': -0.38333730492711982, 'FD_Position': 'OF'}, 'J.D. Martinez_batter': {'Salary': 3200.0, 'projected_FD_points': 3.1697622892705213, 'confidence': -0.11323132131171487, 'FD_Position': 'OF'}, 'Russell Martin_batter': {'Salary': 3500.0, 'projected_FD_points': 2.7166442780813234, 'confidence': -0.48933976746545893, 'FD_Position': 'C'}, 'Daniel Santana_batter': {'Salary': 2900.0, 'projected_FD_points': 2.4934367227088399, 'confidence': -0.10830849241126606, 'FD_Position': 'SS'}, 'Brock Holt_batter': {'Salary': 2300.0, 'projected_FD_points': 2.2636363636363637, 'confidence': -0.31657265026034809, 'FD_Position': '3B'}, 'Jose Abreu_batter': {'Salary': 3600.0, 'projected_FD_points': 3.5463442252971391, 'confidence': -0.067128830167175746, 'FD_Position': '1B'}, 'Chris Sale_pitcher': {'Salary': 9800.0, 'projected_FD_points': 15.202774274905423, 'confidence': -6.3177961892115206, 'FD_Position': 'P'}}</t>
  </si>
  <si>
    <t>{'Michael Brantley_batter': {'Salary': 4100.0, 'projected_FD_points': 4.1342826395454688, 'confidence': -0.058338322116956443, 'FD_Position': 'OF'}, 'Adrian Beltre_batter': {'Salary': 2800.0, 'projected_FD_points': 2.4951298701298703, 'confidence': -0.011703112418565143, 'FD_Position': '3B'}, 'Kevin Plawecki_batter': {'Salary': 2200.0, 'projected_FD_points': 2.3374999999999999, 'confidence': 0, 'FD_Position': 'C'}, 'Devon Travis_batter': {'Salary': 3700.0, 'projected_FD_points': 3.2849233036989269, 'confidence': -0.098844274491677764, 'FD_Position': '2B'}, 'Mark Canha_batter': {'Salary': 3000.0, 'projected_FD_points': 3.2266895276257994, 'confidence': -0.043811057911629758, 'FD_Position': 'OF'}, 'Daniel Santana_batter': {'Salary': 2800.0, 'projected_FD_points': 2.4920253578789064, 'confidence': -0.0291618489987584, 'FD_Position': 'SS'}, 'Dexter Fowler_batter': {'Salary': 3300.0, 'projected_FD_points': 2.9710542555394488, 'confidence': -0.65405954527812726, 'FD_Position': 'OF'}, 'Stephen Strasburg_pitcher': {'Salary': 9500.0, 'projected_FD_points': 14.150616773528895, 'confidence': -1.0325661990037869, 'FD_Position': 'P'}, 'Jose Abreu_batter': {'Salary': 3600.0, 'projected_FD_points': 3.3485187332113373, 'confidence': -0.060820622313577211, 'FD_Position': '1B'}}</t>
  </si>
  <si>
    <t>{'Odubel Herrera_batter': {'Salary': 3000.0, 'projected_FD_points': 2.6912951167728241, 'confidence': -0.47658602816602991, 'FD_Position': 'OF'}, 'Devon Travis_batter': {'Salary': 3500.0, 'projected_FD_points': 5.7550338322739378, 'confidence': -0.38218677943735968, 'FD_Position': '2B'}, 'David Ortiz_batter': {'Salary': 3200.0, 'projected_FD_points': 2.8982758620689655, 'confidence': -0.040318022452005442, 'FD_Position': '1B'}, 'Daniel Santana_batter': {'Salary': 2800.0, 'projected_FD_points': 2.3604572050619135, 'confidence': -0.36489991166820235, 'FD_Position': 'SS'}, 'Clayton Kershaw_pitcher': {'Salary': 11300.0, 'projected_FD_points': 15.997162981803953, 'confidence': -0.36268706190064881, 'FD_Position': 'P'}, 'Dexter Fowler_batter': {'Salary': 3300.0, 'projected_FD_points': 3.256613154665859, 'confidence': -1.0653741628450422, 'FD_Position': 'OF'}, 'Chris Iannetta_batter': {'Salary': 2200.0, 'projected_FD_points': 1.823768793780967, 'confidence': -0.037403943617321245, 'FD_Position': 'C'}, 'Kyle Seager_batter': {'Salary': 2800.0, 'projected_FD_points': 2.6193678838659635, 'confidence': -0.029949179727896125, 'FD_Position': '3B'}, 'Kyle Blanks_batter': {'Salary': 2900.0, 'projected_FD_points': 2.8794587544832089, 'confidence': -2.5152412126979766, 'FD_Position': 'OF'}}</t>
  </si>
  <si>
    <t>{'Phil Hughes_pitcher': {'Salary': 7400.0, 'projected_FD_points': 10.919157645527983, 'confidence': 0.48858943015608647, 'FD_Position': 'P'}, 'Anthony Rizzo_batter': {'Salary': 4200.0, 'projected_FD_points': 3.1626522067017095, 'confidence': -0.0046221141621975992, 'FD_Position': '1B'}, 'Evan Gattis_batter': {'Salary': 3400.0, 'projected_FD_points': 2.4285371588008058, 'confidence': -0.37511901632045297, 'FD_Position': 'C'}, 'Mark Canha_batter': {'Salary': 3000.0, 'projected_FD_points': 2.6856150793650793, 'confidence': -1.586000308708492, 'FD_Position': 'OF'}, 'Daniel Santana_batter': {'Salary': 2800.0, 'projected_FD_points': 2.3604572050619135, 'confidence': -0.36489991166820235, 'FD_Position': 'SS'}, 'Dexter Fowler_batter': {'Salary': 3300.0, 'projected_FD_points': 3.256613154665859, 'confidence': -1.0653741628450422, 'FD_Position': 'OF'}, 'Addison Russell_batter': {'Salary': 2900.0, 'projected_FD_points': 3.6319819819819816, 'confidence': 0, 'FD_Position': '2B'}, 'Kyle Blanks_batter': {'Salary': 2900.0, 'projected_FD_points': 2.8794587544832089, 'confidence': -2.5152412126979766, 'FD_Position': 'OF'}, 'Matt Carpenter_batter': {'Salary': 4200.0, 'projected_FD_points': 2.8099238065173404, 'confidence': -0.15005759906795002, 'FD_Position': '3B'}}</t>
  </si>
  <si>
    <t>{'Albert Pujols_batter': {'Salary': 3100.0, 'projected_FD_points': 2.6941667626575678, 'confidence': -0.055947784408530543, 'FD_Position': '1B'}, 'Seth Smith_batter': {'Salary': 2200.0, 'projected_FD_points': 2.0923913043478262, 'confidence': -0.0033181109169901912, 'FD_Position': 'OF'}, 'Kole Calhoun_batter': {'Salary': 3500.0, 'projected_FD_points': 2.6703703703703705, 'confidence': -0.25521128222945033, 'FD_Position': 'OF'}, 'Robinson Cano_batter': {'Salary': 3600.0, 'projected_FD_points': 2.5406024349286316, 'confidence': -0.038690544866606169, 'FD_Position': '2B'}, 'Felix Hernandez_pitcher': {'Salary': 11000.0, 'projected_FD_points': 14.565509301897222, 'confidence': 0.56366283665512174, 'FD_Position': 'P'}, 'Kyle Seager_batter': {'Salary': 2800.0, 'projected_FD_points': 2.6193678838659635, 'confidence': -0.029949179727896125, 'FD_Position': '3B'}, 'Chris Iannetta_batter': {'Salary': 2200.0, 'projected_FD_points': 1.823768793780967, 'confidence': -0.037403943617321245, 'FD_Position': 'C'}, 'Justin Upton_batter': {'Salary': 4000.0, 'projected_FD_points': 2.9840958531820623, 'confidence': -0.097192197952462367, 'FD_Position': 'OF'}, 'Brandon Crawford_batter': {'Salary': 2500.0, 'projected_FD_points': 2.0330459770114944, 'confidence': -0.087250114702503545, 'FD_Position': 'SS'}}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</si>
  <si>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2.5108484206016426, 'confidence': -0.058870938956737229, 'FD_Position': '2B'}, 'Paul Goldschmidt_batter': {'Salary': 5100.0, 'projected_FD_points': 3.6593941755137815, 'confidence': -0.050333771645957315, 'FD_Position': '1B'}, 'Michael McKenry_batter': {'Salary': 2200.0, 'projected_FD_points': 2.3654418698172339, 'confidence': -0.079266689005916602, 'FD_Position': 'C'}, 'A.J. Pollock_batter': {'Salary': 3200.0, 'projected_FD_points': 2.6098579123328376, 'confidence': 0.024210633894770295, 'FD_Position': 'OF'}, 'Mike Trout_batter': {'Salary': 5500.0, 'projected_FD_points': 3.5586675585689003, 'confidence': -0.0011073865776625169, 'FD_Position': 'OF'}, 'Brandon Crawford_batter': {'Salary': 2500.0, 'projected_FD_points': 2.0664739884393062, 'confidence': -0.69372185831739563, 'FD_Position': 'SS'}, 'Nolan Arenado_batter': {'Salary': 3700.0, 'projected_FD_points': 2.5256410256410255, 'confidence': -0.16018443810981964, 'FD_Position': '3B'}}</t>
  </si>
  <si>
    <t>{'Michael Brantley_batter': {'Salary': 3600.0, 'projected_FD_points': 3.9723568674390553, 'confidence': 0.12544125273705653, 'FD_Position': 'OF'}, 'Paulo Orlando_batter': {'Salary': 3000.0, 'projected_FD_points': 3.7129283489096574, 'confidence': 0.0, 'FD_Position': 'OF'}, 'Josh Phegley_batter': {'Salary': 2200.0, 'projected_FD_points': 2.2833612040133779, 'confidence': -3.3165404234851961, 'FD_Position': 'C'},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'Kyle Seager_batter': {'Salary': 3000.0, 'projected_FD_points': 2.5789115656508579, 'confidence': 0.015668438989328459, 'FD_Position': '3B'},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</si>
  <si>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'Ben Revere_batter': {'Salary': 2500.0, 'projected_FD_points': 2.5882318203496903, 'confidence': -0.74707648199479704, 'FD_Position': 'OF'}, 'Trevor Plouffe_batter': {'Salary': 2400.0, 'projected_FD_points': 2.2307880673946272, 'confidence': -0.26416041467990681, 'FD_Position': '3B'},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</si>
  <si>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{'Jimmy Paredes_batter': {'Salary': 3200.0, 'projected_FD_points': 3.3542684325192069, 'confidence': 0.44333821816518648, 'FD_Position': '2B'}, 'Yangervis Solarte_batter': {'Salary': 2300.0, 'projected_FD_points': 2.0501520891177032, 'confidence': -0.43611898949188355, 'FD_Position': '3B'}, 'Paulo Orlando_batter': {'Salary': 3000.0, 'projected_FD_points': 3.7129283489096574, 'confidence': 0.0, 'FD_Position': 'OF'}, 'Prince Fielder_batter': {'Salary': 3100.0, 'projected_FD_points': 2.4136942411269162, 'confidence': -0.021579606127257955, 'FD_Position': '1B'}, 'Josh Phegley_batter': {'Salary': 2200.0, 'projected_FD_points': 2.2833612040133779, 'confidence': -3.3165404234851961, 'FD_Position': 'C'}, 'A.J. Pollock_batter': {'Salary': 3300.0, 'projected_FD_points': 2.9018965813065671, 'confidence': -2.0926582048555287, 'FD_Position': 'OF'}, 'David Price_pitcher': {'Salary': 10900.0, 'projected_FD_points': 14.668634772551453, 'confidence': -0.27994671998853371, 'FD_Position': 'P'}, 'Troy Tulowitzki_batter': {'Salary': 4300.0, 'projected_FD_points': 3.3446043281364668, 'confidence': -0.10375048061989456, 'FD_Position': 'SS'}, 'Michael Cuddyer_batter': {'Salary': 2700.0, 'projected_FD_points': 2.6323990050041579, 'confidence': -0.7925172175843207, 'FD_Position': 'OF'}}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</si>
  <si>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'Devon Travis_batter': {'Salary': 3400.0, 'projected_FD_points': 2.9342105263157894, 'confidence': -0.60188660689406492, 'FD_Position': '2B'}, 'Josh Donaldson_batter': {'Salary': 3900.0, 'projected_FD_points': 3.0671504590142344, 'confidence': -0.085866883007582162, 'FD_Position': '3B'}, 'Ben Revere_batter': {'Salary': 2500.0, 'projected_FD_points': 2.5882318203496903, 'confidence': -0.74707648199479704, 'FD_Position': 'OF'}, 'Carlos Santana_batter': {'Salary': 3300.0, 'projected_FD_points': 2.6096774193548389, 'confidence': -0.016217483460079896, 'FD_Position': '1B'}, 'Brandon Crawford_batter': {'Salary': 2500.0, 'projected_FD_points': 2.0784883720930232, 'confidence': -1.3610689171768171, 'FD_Position': 'SS'}}</t>
  </si>
  <si>
    <t>{'Kris Bryant_batter': {'Salary': 3800.0, 'projected_FD_points': 3.0490909090909093, 'confidence': 0, 'FD_Position': '3B'}, 'Kolten Wong_batter': {'Salary': 2700.0, 'projected_FD_points': 2.4750297158235326, 'confidence': 0.0079315204824063068, 'FD_Position': '2B'}, 'Albert Pujols_batter': {'Salary': 3200.0, 'projected_FD_points': 2.7596046607949574, 'confidence': -0.13671662503343818, 'FD_Position': '1B'}, 'Chris Iannetta_batter': {'Salary': 2200.0, 'projected_FD_points': 1.8987850199941092, 'confidence': -0.013036439714891879, 'FD_Position': 'C'}, 'Felix Hernandez_pitcher': {'Salary': 11100.0, 'projected_FD_points': 15.083658508756912, 'confidence': -2.9765875110108246, 'FD_Position': 'P'}, 'Jhonny Peralta_batter': {'Salary': 2700.0, 'projected_FD_points': 2.0692002152171161, 'confidence': -0.013309508108065415, 'FD_Position': 'SS'}, 'Jorge Soler_batter': {'Salary': 3200.0, 'projected_FD_points': 2.8111511655851955, 'confidence': -0.43521958962415597, 'FD_Position': 'OF'}, 'Dexter Fowler_batter': {'Salary': 3400.0, 'projected_FD_points': 3.4541387344220507, 'confidence': 0.031793610852405507, 'FD_Position': 'OF'}, 'Marcell Ozuna_batter': {'Salary': 2700.0, 'projected_FD_points': 2.5138964684096474, 'confidence': -0.14046038166992125, 'FD_Position': 'OF'}}</t>
  </si>
  <si>
    <t>{'Michael Brantley_batter': {'Salary': 3600.0, 'projected_FD_points': 4.0147146796891189, 'confidence': -0.024809400902747525, 'FD_Position': 'OF'}, 'Jose Bautista_batter': {'Salary': 4800.0, 'projected_FD_points': 3.3741830065359477, 'confidence': -0.10642390374521016, 'FD_Position': 'OF'}, 'David Ortiz_batter': {'Salary': 3300.0, 'projected_FD_points': 2.7445348534919338, 'confidence': -0.0081394916925954242, 'FD_Position': '1B'}, 'Paulo Orlando_batter': {'Salary': 3000.0, 'projected_FD_points': 2.6388888888888888, 'confidence': -0.0080904789899498564, 'FD_Position': 'OF'}, 'Josh Donaldson_batter': {'Salary': 4000.0, 'projected_FD_points': 3.0981801446507489, 'confidence': -0.17137972336195428, 'FD_Position': '3B'}, 'Salvador Perez_batter': {'Salary': 2800.0, 'projected_FD_points': 1.8589036460164543, 'confidence': -0.10592186499099765, 'FD_Position': 'C'}, 'Devon Travis_batter': {'Salary': 3400.0, 'projected_FD_points': 3.9305555555555554, 'confidence': -0.92729766803840863, 'FD_Position': '2B'}, 'Danny Salazar_pitcher': {'Salary': 7700.0, 'projected_FD_points': 11.095397166165736, 'confidence': -2.2037732398861123, 'FD_Position': 'P'}, 'Alcides Escobar_batter': {'Salary': 2400.0, 'projected_FD_points': 1.6621184838803771, 'confidence': -0.042954622112960195, 'FD_Position': 'SS'}}</t>
  </si>
  <si>
    <t>{'Yoenis Cespedes_batter': {'Salary': 3200.0, 'projected_FD_points': 2.7696078431372548, 'confidence': -0.31835925077911309, 'FD_Position': 'OF'}, 'Kris Bryant_batter': {'Salary': 3500.0, 'projected_FD_points': 4.3200000000000003, 'confidence': 0, 'FD_Position': '3B'}, 'Ben Revere_batter': {'Salary': 2500.0, 'projected_FD_points': 2.59462561931567, 'confidence': -0.11690304532458251, 'FD_Position': 'OF'}, 'Alexander Guerrero_batter': {'Salary': 3000.0, 'projected_FD_points': 2.9080291970802921, 'confidence': -0.27820796694723504, 'FD_Position': '2B'}, 'Evan Gattis_batter': {'Salary': 2500.0, 'projected_FD_points': 2.2313824127631294, 'confidence': -0.10929168582666926, 'FD_Position': 'C'}, 'Freddie Freeman_batter': {'Salary': 3200.0, 'projected_FD_points': 2.7809263361222794, 'confidence': -0.26033321389425224, 'FD_Position': '1B'}, 'A.J. Pollock_batter': {'Salary': 3100.0, 'projected_FD_points': 2.9272001359157329, 'confidence': -0.10222542013449787, 'FD_Position': 'OF'}, 'Daniel Santana_batter': {'Salary': 2500.0, 'projected_FD_points': 2.6349034692988824, 'confidence': -0.13830733884324919, 'FD_Position': 'SS'}, 'Clayton Kershaw_pitcher': {'Salary': 11500.0, 'projected_FD_points': 16.919409282700421, 'confidence': -0.44171554239990529, 'FD_Position': 'P'}}</t>
  </si>
  <si>
    <t>{'Michael Brantley_batter': {'Salary': 3700.0, 'projected_FD_points': 3.9593691733194651, 'confidence': -0.11711567371543841, 'FD_Position': 'OF'}, 'Russell Martin_batter': {'Salary': 3100.0, 'projected_FD_points': 2.3391304347826085, 'confidence': -0.20351926245303176, 'FD_Position': 'C'}, 'Johnny Cueto_pitcher': {'Salary': 10400.0, 'projected_FD_points': 14.325051958741982, 'confidence': -0.6125132161902731, 'FD_Position': 'P'}, 'Asdrubal Cabrera_batter': {'Salary': 2200.0, 'projected_FD_points': 1.7830721848895594, 'confidence': -0.12746587476051796, 'FD_Position': 'SS'}, 'Freddie Freeman_batter': {'Salary': 3200.0, 'projected_FD_points': 2.7809263361222794, 'confidence': -0.26033321389425224, 'FD_Position': '1B'}, 'Brock Holt_batter': {'Salary': 2500.0, 'projected_FD_points': 2.2404761904761905, 'confidence': -0.0050003705490417882, 'FD_Position': '3B'}, 'Omar Infante_batter': {'Salary': 2200.0, 'projected_FD_points': 1.6920354006084648, 'confidence': 0.0017143264291166194, 'FD_Position': '2B'}, 'Jayson Werth_batter': {'Salary': 2700.0, 'projected_FD_points': 2.5948479431711107, 'confidence': -0.0083569568433674579, 'FD_Position': 'OF'}, 'Giancarlo Stanton_batter': {'Salary': 4900.0, 'projected_FD_points': 3.6352739726027399, 'confidence': -0.20045196758540507, 'FD_Position': 'OF'}}</t>
  </si>
  <si>
    <t>{'Michael Brantley_batter': {'Salary': 3800.0, 'projected_FD_points': 3.988215800555369, 'confidence': -0.12295094210715307, 'FD_Position': 'OF'}, 'Ben Revere_batter': {'Salary': 2400.0, 'projected_FD_points': 2.5694062902548818, 'confidence': -0.95254758798827344, 'FD_Position': 'OF'}, 'Devon Travis_batter': {'Salary': 3300.0, 'projected_FD_points': 5.5187622891441581, 'confidence': -0.53199852946621706, 'FD_Position': '2B'}, 'Paul Goldschmidt_batter': {'Salary': 4500.0, 'projected_FD_points': 3.681560412871888, 'confidence': -0.80413116447460498, 'FD_Position': '1B'}, 'Tim Beckham_batter': {'Salary': 2400.0, 'projected_FD_points': 2.8072203798613207, 'confidence': -3.7646632312128174, 'FD_Position': 'SS'}, 'Dexter Fowler_batter': {'Salary': 3400.0, 'projected_FD_points': 3.3932583743771421, 'confidence': -0.24678889253834635, 'FD_Position': 'OF'}, 'Kyle Seager_batter': {'Salary': 3300.0, 'projected_FD_points': 2.70295163043121, 'confidence': -0.12178625438249591, 'FD_Position': '3B'},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</si>
  <si>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2.5694062902548818, 'confidence': -0.95254758798827344, 'FD_Position': 'OF'}, 'J.D. Martinez_batter': {'Salary': 3400.0, 'projected_FD_points': 3.0128344298222194, 'confidence': 0.0041038325872456705, 'FD_Position': 'OF'}, 'Howie Kendrick_batter': {'Salary': 3300.0, 'projected_FD_points': 2.7549694553412696, 'confidence': -0.54460566572194624, 'FD_Position': '2B'}, 'Tim Beckham_batter': {'Salary': 2400.0, 'projected_FD_points': 2.8072203798613207, 'confidence': -3.7646632312128174, 'FD_Position': 'SS'}, 'Paul Goldschmidt_batter': {'Salary': 4500.0, 'projected_FD_points': 3.681560412871888, 'confidence': -0.80413116447460498, 'FD_Position': '1B'}, 'Dexter Fowler_batter': {'Salary': 3400.0, 'projected_FD_points': 3.3932583743771421, 'confidence': -0.24678889253834635, 'FD_Position': 'OF'},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</si>
  <si>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{'Michael Brantley_batter': {'Salary': 3800.0, 'projected_FD_points': 3.988215800555369, 'confidence': -0.12295094210715307, 'FD_Position': 'OF'}, 'Corey Kluber_pitcher': {'Salary': 9800.0, 'projected_FD_points': 13.679409619998465, 'confidence': -3.5632135495976884, 'FD_Position': 'P'}, 'Devon Travis_batter': {'Salary': 3300.0, 'projected_FD_points': 5.5187622891441581, 'confidence': -0.53199852946621706, 'FD_Position': '2B'}, 'Freddie Freeman_batter': {'Salary': 3100.0, 'projected_FD_points': 2.6898649842848994, 'confidence': 0.049639103298089182, 'FD_Position': '1B'}, 'Tim Beckham_batter': {'Salary': 2400.0, 'projected_FD_points': 2.8072203798613207, 'confidence': -3.7646632312128174, 'FD_Position': 'SS'}, 'Wilson Ramos_batter': {'Salary': 2600.0, 'projected_FD_points': 1.8631578947368421, 'confidence': -0.079271655743332392, 'FD_Position': 'C'}, 'Brock Holt_batter': {'Salary': 2400.0, 'projected_FD_points': 2.3990384615384617, 'confidence': -0.54467590408540101, 'FD_Position': '3B'}, 'Giancarlo Stanton_batter': {'Salary': 4800.0, 'projected_FD_points': 3.6701723893303067, 'confidence': -0.13634998785732355, 'FD_Position': 'OF'}, 'Jayson Werth_batter': {'Salary': 2800.0, 'projected_FD_points': 2.6902982933091679, 'confidence': -0.50549054774005731, 'FD_Position': 'OF'}}</t>
  </si>
  <si>
    <t>{'Kris Bryant_batter': {'Salary': 3600.0, 'projected_FD_points': 4.3944444444444439, 'confidence': 0, 'FD_Position': '3B'}, 'Michael Brantley_batter': {'Salary': 3600.0, 'projected_FD_points': 3.7913540380016295, 'confidence': 0.13891740554393095, 'FD_Position': 'OF'}, 'Adam LaRoche_batter': {'Salary': 2700.0, 'projected_FD_points': 2.5384615384615383, 'confidence': -0.00054508395009555954, 'FD_Position': '1B'}, 'Devon Travis_batter': {'Salary': 3300.0, 'projected_FD_points': 6.6510365972357404, 'confidence': 0.59948550112978971, 'FD_Position': '2B'}, 'Paulo Orlando_batter': {'Salary': 3000.0, 'projected_FD_points': 11.029999999999999, 'confidence': 0, 'FD_Position': 'OF'}, 'Daniel Santana_batter': {'Salary': 2500.0, 'projected_FD_points': 2.5656584337662918, 'confidence': -0.027655942920647325, 'FD_Position': 'SS'}, 'Dexter Fowler_batter': {'Salary': 3400.0, 'projected_FD_points': 3.6073985189248483, 'confidence': -0.21349090546926663, 'FD_Position': 'OF'}, 'Jake Arrieta_pitcher': {'Salary': 9600.0, 'projected_FD_points': 13.93021338349906, 'confidence': 0.44278357455938133, 'FD_Position': 'P'}, 'Victor Martinez_batter': {'Salary': 3300.0, 'projected_FD_points': 2.7847378336109516, 'confidence': 0.030206700940808351, 'FD_Position': 'C'}}</t>
  </si>
  <si>
    <t>{'Evan Gattis_batter': {'Salary': 2300.0, 'projected_FD_points': 2.1502436128627589, 'confidence': 0.061258345233392353, 'FD_Position': 'C'}, 'Robinson Cano_batter': {'Salary': 3700.0, 'projected_FD_points': 2.758665711059574, 'confidence': -0.13181454897878675, 'FD_Position': '2B'}, 'Francisco Liriano_pitcher': {'Salary': 8000.0, 'projected_FD_points': 11.903267731154845, 'confidence': -0.074199631298758728, 'FD_Position': 'P'}, 'Paul Goldschmidt_batter': {'Salary': 4700.0, 'projected_FD_points': 3.318439502553336, 'confidence': -0.1788375411513845, 'FD_Position': '1B'}, 'Daniel Santana_batter': {'Salary': 2500.0, 'projected_FD_points': 2.5656584337662918, 'confidence': -0.027655942920647325, 'FD_Position': 'SS'}, 'Justin Upton_batter': {'Salary': 3400.0, 'projected_FD_points': 2.8899124333651875, 'confidence': 0.011510653500771406, 'FD_Position': 'OF'}, 'Kyle Seager_batter': {'Salary': 3400.0, 'projected_FD_points': 2.7562297234775639, 'confidence': -0.048621403151845044, 'FD_Position': '3B'}, 'Michael Cuddyer_batter': {'Salary': 2900.0, 'projected_FD_points': 2.6817332553963462, 'confidence': 0.015594432971671734, 'FD_Position': 'OF'}, 'Andrew McCutchen_batter': {'Salary': 4000.0, 'projected_FD_points': 3.1202290891955671, 'confidence': -0.0019664115717923369, 'FD_Position': 'OF'}}</t>
  </si>
  <si>
    <t>{'Justin Upton_batter': {'Salary': 3500.0, 'projected_FD_points': 2.8740077699386961, 'confidence': -0.15046949688350386, 'FD_Position': 'OF'}, 'Robinson Chirinos_batter': {'Salary': 2400.0, 'projected_FD_points': 1.8993442287002404, 'confidence': -0.064162565313438114, 'FD_Position': 'C'}, 'Ben Revere_batter': {'Salary': 2400.0, 'projected_FD_points': 2.2945781933268328, 'confidence': -0.049325280585515996, 'FD_Position': 'OF'}, 'Brian Dozier_batter': {'Salary': 2800.0, 'projected_FD_points': 2.6137284321080272, 'confidence': -0.087653326649182794, 'FD_Position': '2B'}, 'Brandon McCarthy_pitcher': {'Salary': 7800.0, 'projected_FD_points': 13.15632030090973, 'confidence': -0.16228471783976484, 'FD_Position': 'P'}, 'Paul Goldschmidt_batter': {'Salary': 4800.0, 'projected_FD_points': 3.4930555555555554, 'confidence': -0.0036906440192345791, 'FD_Position': '1B'}, 'A.J. Pollock_batter': {'Salary': 3200.0, 'projected_FD_points': 2.8559890516229638, 'confidence': 0.072881405714083303, 'FD_Position': 'OF'}, 'Kyle Seager_batter': {'Salary': 3400.0, 'projected_FD_points': 2.8554962305525771, 'confidence': 0.017260319386929845, 'FD_Position': '3B'}, 'Troy Tulowitzki_batter': {'Salary': 4700.0, 'projected_FD_points': 3.3803648035255724, 'confidence': -0.0010699257691109132, 'FD_Position': 'SS'}}</t>
  </si>
  <si>
    <t>{'Russell Martin_batter': {'Salary': 3100.0, 'projected_FD_points': 2.5918449486763908, 'confidence': -0.053528034975453664, 'FD_Position': 'C'}, 'Devon Travis_batter': {'Salary': 3200.0, 'projected_FD_points': 10.000381033022864, 'confidence': -4.0523292234297017, 'FD_Position': '2B'}, 'Lucas Duda_batter': {'Salary': 3700.0, 'projected_FD_points': 2.9792003229727122, 'confidence': -0.17866681500836989, 'FD_Position': '1B'}, 'Evan Longoria_batter': {'Salary': 3000.0, 'projected_FD_points': 2.3450806029416125, 'confidence': -0.20966141391727122, 'FD_Position': '3B'}, 'Stephen Strasburg_pitcher': {'Salary': 9600.0, 'projected_FD_points': 15.229510191664126, 'confidence': -0.45155721741158228, 'FD_Position': 'P'}, 'Giancarlo Stanton_batter': {'Salary': 4700.0, 'projected_FD_points': 3.5520833333333335, 'confidence': -0.19382210078931417, 'FD_Position': 'OF'}, 'Asdrubal Cabrera_batter': {'Salary': 2200.0, 'projected_FD_points': 1.8083247693106514, 'confidence': -0.044120440237219505, 'FD_Position': 'SS'}, 'Michael Cuddyer_batter': {'Salary': 3000.0, 'projected_FD_points': 2.9404596551115301, 'confidence': -0.21300589734827691, 'FD_Position': 'OF'}, 'Chris Carter_batter': {'Salary': 2400.0, 'projected_FD_points': 2.340793797304781, 'confidence': 0.0059325485391090726, 'FD_Position': 'OF'}}</t>
  </si>
  <si>
    <t>{'Michael Brantley_batter': {'Salary': 3800.0, 'projected_FD_points': 3.7157071179611667, 'confidence': 0.024045626252917951, 'FD_Position': 'OF'}, 'Kris Bryant_batter': {'Salary': 3900.0, 'projected_FD_points': 5.0, 'confidence': 0, 'FD_Position': '3B'}, 'Devon Travis_batter': {'Salary': 3100.0, 'projected_FD_points': 11.832571428571429, 'confidence': -1.8937117567680124, 'FD_Position': '2B'}, 'Paulo Orlando_batter': {'Salary': 3000.0, 'projected_FD_points': 4.2333333333333334, 'confidence': 0, 'FD_Position': 'OF'}, 'Freddie Freeman_batter': {'Salary': 3700.0, 'projected_FD_points': 2.7844698994614681, 'confidence': 0.032749834263589017, 'FD_Position': '1B'}, 'Josh Phegley_batter': {'Salary': 2200.0, 'projected_FD_points': 2.9766584766584767, 'confidence': -1.2267038376325847, 'FD_Position': 'C'}, 'Daniel Santana_batter': {'Salary': 2900.0, 'projected_FD_points': 2.6204298570315454, 'confidence': -0.030690771366567615, 'FD_Position': 'SS'}, 'Dexter Fowler_batter': {'Salary': 3700.0, 'projected_FD_points': 3.3039825738381321, 'confidence': -0.33441398161846037, 'FD_Position': 'OF'}, 'Michael Pineda_pitcher': {'Salary': 8700.0, 'projected_FD_points': 13.963084112149524, 'confidence': -3.1355623122716914, 'FD_Position': 'P'}}</t>
  </si>
  <si>
    <t>{'Gerrit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'Trevor Plouffe_batter': {'Salary': 2600.0, 'projected_FD_points': 2.2239158657756164, 'confidence': -0.049132298994195134, 'FD_Position': '3B'}, 'Robbie Grossman_batter': {'Salary': 2500.0, 'projected_FD_points': 2.2010785388587788, 'confidence': -0.44876338310270825, 'FD_Position': 'OF'}, 'Paul Goldschmidt_batter': {'Salary': 5100.0, 'projected_FD_points': 3.6180555555555554, 'confidence': -0.069739444785484883, 'FD_Position': '1B'}, 'Josh Phegley_batter': {'Salary': 2200.0, 'projected_FD_points': 2.9766584766584767, 'confidence': -1.2267038376325847, 'FD_Position': 'C'}, 'A.J. Pollock_batter': {'Salary': 3500.0, 'projected_FD_points': 2.9207915625137044, 'confidence': -0.054157271949542451, 'FD_Position': 'OF'}, 'Daniel Santana_batter': {'Salary': 2900.0, 'projected_FD_points': 2.6204298570315454, 'confidence': -0.030690771366567615, 'FD_Position': 'SS'}, 'Andrew McCutchen_batter': {'Salary': 4300.0, 'projected_FD_points': 3.1977210687895599, 'confidence': -0.0088278128871892569, 'FD_Position': 'OF'}}</t>
  </si>
  <si>
    <t>{'Kolten Wong_batter': {'Salary': 3200.0, 'projected_FD_points': 2.5250356914291343, 'confidence': -0.05629813648185622, 'FD_Position': '2B'}, 'Adam Eaton_batter': {'Salary': 2500.0, 'projected_FD_points': 2.2726908885838442, 'confidence': -0.0086536268734085375, 'FD_Position': 'OF'}, 'Melky Cabrera_batter': {'Salary': 2700.0, 'projected_FD_points': 2.6494134646653951, 'confidence': -0.10484845848256819, 'FD_Position': 'OF'}, 'Paulo Orlando_batter': {'Salary': 3000.0, 'projected_FD_points': 4.2333333333333334, 'confidence': 0, 'FD_Position': 'OF'}, 'Jhonny Peralta_batter': {'Salary': 2800.0, 'projected_FD_points': 2.1133540372670807, 'confidence': -0.0066232660424430101, 'FD_Position': 'SS'}, 'Buster Posey_batter': {'Salary': 4400.0, 'projected_FD_points': 2.4398148148148149, 'confidence': -0.080899586930288869, 'FD_Position': 'C'}, 'Jose Abreu_batter': {'Salary': 4400.0, 'projected_FD_points': 3.3832551357502094, 'confidence': -0.089678964176574505, 'FD_Position': '1B'}, 'Matt Garza_pitcher': {'Salary': 7300.0, 'projected_FD_points': 10.93137137137137, 'confidence': -4.3671337446921328, 'FD_Position': 'P'}, 'Matt Carpenter_batter': {'Salary': 4400.0, 'projected_FD_points': 2.9056014472939737, 'confidence': -0.61123366710428573, 'FD_Position': '3B'}}</t>
  </si>
  <si>
    <t>{'Kolten Wong_batter': {'Salary': 2900.0, 'projected_FD_points': 2.5887338577493084, 'confidence': -0.1149692016498931, 'FD_Position': '2B'}, 'Wil Nieves_batter': {'Salary': 2200.0, 'projected_FD_points': 2.0670632222977567, 'confidence': -6.2717278391022768, 'FD_Position': 'C'}, 'Corey Dickerson_batter': {'Salary': 4600.0, 'projected_FD_points': 3.0293342142152313, 'confidence': -0.12812382011703582, 'FD_Position': 'OF'}, 'Casey McGehee_batter': {'Salary': 2400.0, 'projected_FD_points': 1.7627101588382823, 'confidence': -0.10583129701715466, 'FD_Position': '3B'}, 'Matt Holliday_batter': {'Salary': 3600.0, 'projected_FD_points': 2.6750134184887799, 'confidence': -0.20409550857338132, 'FD_Position': 'OF'}, 'Jhonny Peralta_batter': {'Salary': 2800.0, 'projected_FD_points': 2.1234375000000001, 'confidence': -0.0058063506770902329, 'FD_Position': 'SS'}, 'Adrian Gonzalez_batter': {'Salary': 4900.0, 'projected_FD_points': 3.083776829159369, 'confidence': -0.86013238872337427, 'FD_Position': '1B'}, 'Denard Span_batter': {'Salary': 3100.0, 'projected_FD_points': 2.2207826740346199, 'confidence': -0.032953793037025836, 'FD_Position': 'OF'}, 'Tyson Ross_pitcher': {'Salary': 8400.0, 'projected_FD_points': 13.047413179618561, 'confidence': -0.10622063858187691, 'FD_Position': 'P'}}</t>
  </si>
  <si>
    <t>{'Melky Cabrera_batter': {'Salary': 2700.0, 'projected_FD_points': 2.4577205882352939, 'confidence': -0.026472740470733225, 'FD_Position': 'OF'}, 'Devon Travis_batter': {'Salary': 2800.0, 'projected_FD_points': 12.808333333333332, 'confidence': -9.100277777777773, 'FD_Position': '2B'}, 'Paulo Orlando_batter': {'Salary': 3000.0, 'projected_FD_points': 2.8722222222222218, 'confidence': 0, 'FD_Position': 'OF'}, 'Marcus Semien_batter': {'Salary': 2900.0, 'projected_FD_points': 2.2537480898900415, 'confidence': -0.25654192477082405, 'FD_Position': 'SS'}, 'Evan Longoria_batter': {'Salary': 3300.0, 'projected_FD_points': 2.4698849456791843, 'confidence': -0.057305297148785073, 'FD_Position': '3B'}, 'Dalton Pompey_batter': {'Salary': 3200.0, 'projected_FD_points': 2.424620746207462, 'confidence': 0.032933168663036971, 'FD_Position': 'OF'}, 'Rene Rivera_batter': {'Salary': 2200.0, 'projected_FD_points': 1.6919159360495102, 'confidence': -0.059082210890037956, 'FD_Position': 'C'}, 'Jose Abreu_batter': {'Salary': 4400.0, 'projected_FD_points': 3.422057632137669, 'confidence': 0.0029617780893486101, 'FD_Position': '1B'}, 'Chris Sale_pitcher': {'Salary': 10200.0, 'projected_FD_points': 14.552606635071092, 'confidence': -0.21846653616757039, 'FD_Position': 'P'}}</t>
  </si>
  <si>
    <t>{'Michael Brantley_batter': {'Salary': 3800.0, 'projected_FD_points': 3.6332859019264445, 'confidence': 0.062406129136650113, 'FD_Position': 'OF'}, 'Odubel Herrera_batter': {'Salary': 3000.0, 'projected_FD_points': 3.8538461538461535, 'confidence': 0.94067500659575265, 'FD_Position': 'OF'}, 'Devon Travis_batter': {'Salary': 2800.0, 'projected_FD_points': 2.9545454545454546, 'confidence': 0.0, 'FD_Position': '2B'}, 'Paulo Orlando_batter': {'Salary': 3000.0, 'projected_FD_points': 3.375, 'confidence': 0, 'FD_Position': 'OF'}, 'Aramis Ramirez_batter': {'Salary': 2700.0, 'projected_FD_points': 2.1016334313884908, 'confidence': -0.072335085851171099, 'FD_Position': '3B'},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'Michael McKenry_batter': {'Salary': 2200.0, 'projected_FD_points': 2.2539530415221671, 'confidence': 0.088381795369375848, 'FD_Position': 'C'}}</t>
  </si>
  <si>
    <t>{'Odubel Herrera_batter': {'Salary': 3000.0, 'projected_FD_points': 3.8538461538461535, 'confidence': 0.94067500659575265, 'FD_Position': 'OF'}, 'Trevor Plouffe_batter': {'Salary': 2600.0, 'projected_FD_points': 2.0898990562463466, 'confidence': -0.24584421680610458, 'FD_Position': '3B'}, 'Devon Travis_batter': {'Salary': 2800.0, 'projected_FD_points': 2.9545454545454546, 'confidence': 0.0, 'FD_Position': '2B'}, 'Paulo Orlando_batter': {'Salary': 3000.0, 'projected_FD_points': 3.375, 'confidence': 0, 'FD_Position': 'OF'}, 'Ryan Howard_batter': {'Salary': 2700.0, 'projected_FD_points': 2.2172509147409794, 'confidence': -0.24576361395576707,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'Dexter Fowler_batter': {'Salary': 3700.0, 'projected_FD_points': 3.4196895170697568, 'confidence': -0.07825255904393158, 'FD_Position': 'OF'}, 'Michael McKenry_batter': {'Salary': 2200.0, 'projected_FD_points': 2.2539530415221671, 'confidence': 0.088381795369375848, 'FD_Position': 'C'}}</t>
  </si>
  <si>
    <t>{'Albert Pujols_batter': {'Salary': 3800.0, 'projected_FD_points': 2.9500047529409557, 'confidence': -0.11314502227585077, 'FD_Position': '1B'}, 'Evan Gattis_batter': {'Salary': 2800.0, 'projected_FD_points': 2.2854941566479758, 'confidence': 0.01119946757731749, 'FD_Position': 'C'}, 'Seth Smith_batter': {'Salary': 2400.0, 'projected_FD_points': 1.9784685734766376, 'confidence': -0.07389969564719534, 'FD_Position': 'OF'}, 'Rougned Odor_batter': {'Salary': 2800.0, 'projected_FD_points': 2.0043962909973381, 'confidence': -0.038258522871842171, 'FD_Position': '2B'}, 'Marcus Semien_batter': {'Salary': 3000.0, 'projected_FD_points': 2.199768603372434, 'confidence': -0.081238586857163231, 'FD_Position': 'SS'}, 'Juan Uribe_batter': {'Salary': 2300.0, 'projected_FD_points': 1.9093422391294734, 'confidence': -0.30333630212164153, 'FD_Position': '3B'}, 'Clayton Kershaw_pitcher': {'Salary': 12000.0, 'projected_FD_points': 15.981246079866192, 'confidence': -0.56067374754584409, 'FD_Position': 'P'}, 'A.J. Pollock_batter': {'Salary': 3500.0, 'projected_FD_points': 3.2071909824151397, 'confidence': -0.51245211816394853, 'FD_Position': 'OF'}, 'Chris Carter_batter': {'Salary': 2400.0, 'projected_FD_points': 2.2353290272717237, 'confidence': -0.1886932931095926, 'FD_Position': 'OF'}}</t>
  </si>
  <si>
    <t>{'Brian Dozier_batter': {'Salary': 3000.0, 'projected_FD_points': 2.4165182514518584, 'confidence': -0.0031708595791439809, 'FD_Position': '2B'}, 'Johnny Cueto_pitcher': {'Salary': 10600.0, 'projected_FD_points': 14.370618104712708, 'confidence': 0.10589413110540224, 'FD_Position': 'P'}, 'Paulo Orlando_batter': {'Salary': 3000.0, 'projected_FD_points': 3.375, 'confidence': 0, 'FD_Position': 'OF'}, 'Aramis Ramirez_batter': {'Salary': 2700.0, 'projected_FD_points': 2.1016334313884908, 'confidence': -0.072335085851171099, 'FD_Position': '3B'}, 'Ryan Braun_batter': {'Salary': 3600.0, 'projected_FD_points': 2.5512668493763631, 'confidence': -0.029655886343016524, 'FD_Position': 'OF'},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'Justin Upton_batter': {'Salary': 4500.0, 'projected_FD_points': 3.0238044205042938, 'confidence': -0.50448495201624133, 'FD_Position': 'OF'}, 'Michael McKenry_batter': {'Salary': 2200.0, 'projected_FD_points': 2.2539530415221671, 'confidence': 0.088381795369375848, 'FD_Position': 'C'}}</t>
  </si>
  <si>
    <t>{'Kolten Wong_batter': {'Salary': 2800.0, 'projected_FD_points': 2.415098444570666, 'confidence': -0.011469725695818944, 'FD_Position': '2B'}, 'Albert Pujols_batter': {'Salary': 3800.0, 'projected_FD_points': 3.0786858178718202, 'confidence': -0.16654572750945795, 'FD_Position': '1B'}, 'Alex Rodriguez_batter': {'Salary': 3800.0, 'projected_FD_points': 4.6066666666666674, 'confidence': -2.5490858729548473, 'FD_Position': '3B'}, 'Paulo Orlando_batter': {'Salary': 3000.0, 'projected_FD_points': 3.5, 'confidence': 0, 'FD_Position': 'OF'}, 'Taijuan Walker_pitcher': {'Salary': 6900.0, 'projected_FD_points': 45.599999999999987, 'confidence': 0, 'FD_Position': 'P'}, 'Josh Phegley_batter': {'Salary': 2200.0, 'projected_FD_points': 3.3743899782135083, 'confidence': -2.9195123661358973, 'FD_Position': 'C'}, 'Dexter Fowler_batter': {'Salary': 3800.0, 'projected_FD_points': 3.382585783359715, 'confidence': -0.49799990249420634, 'FD_Position': 'OF'}, 'Troy Tulowitzki_batter': {'Salary': 5300.0, 'projected_FD_points': 3.3161918754979105, 'confidence': -0.11349180202221198, 'FD_Position': 'SS'}, 'Michael Cuddyer_batter': {'Salary': 3400.0, 'projected_FD_points': 3.2916666666666665, 'confidence': -0.44734042553191466, 'FD_Position': 'OF'}}</t>
  </si>
  <si>
    <t>{'Michael Brantley_batter': {'Salary': 3800.0, 'projected_FD_points': 3.3454476407695219, 'confidence': 0.022581234789800897,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1.9563492063492063, 'confidence': -0.052951259487107327, 'FD_Position': 'C'}, 'Todd Frazier_batter': {'Salary': 3400.0, 'projected_FD_points': 2.4720250038806677, 'confidence': -0.03666903178055958, 'FD_Position': '3B'}, 'Troy Tulowitzki_batter': {'Salary': 5300.0, 'projected_FD_points': 3.3161918754979105, 'confidence': -0.11349180202221198, 'FD_Position': 'SS'}, 'Jose Abreu_batter': {'Salary': 4400.0, 'projected_FD_points': 3.214028776978417, 'confidence': -0.00023288428086276625, 'FD_Position': '1B'}, 'Tyler Matzek_pitcher': {'Salary': 6100.0, 'projected_FD_points': 11.499418160895248, 'confidence': -5.7095042252343911, 'FD_Position': 'P'}, 'Melky Cabrera_batter': {'Salary': 2700.0, 'projected_FD_points': 2.7645228114562972, 'confidence': -0.50087194571862481, 'FD_Position': 'OF'}}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</si>
  <si>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2.8476663786710272, 'confidence': -0.10659229784565749, 'FD_Position': '2B'}, 'Robbie Grossman_batter': {'Salary': 2500.0, 'projected_FD_points': 2.4520607170424871, 'confidence': -0.15589645714478095, 'FD_Position': 'OF'}, 'Carlos Peguero_batter': {'Salary': 2400.0, 'projected_FD_points': 2.3177786818551662, 'confidence': 0, 'FD_Position': 'OF'}, 'Prince Fielder_batter': {'Salary': 3600.0, 'projected_FD_points': 2.8030076094822483, 'confidence': -0.19755040018489423, 'FD_Position': '1B'}, 'Felix Hernandez_pitcher': {'Salary': 11400.0, 'projected_FD_points': 13.848908296943232, 'confidence': 0.35280218347528713, 'FD_Position': 'P'}, 'Michael Cuddyer_batter': {'Salary': 3300.0, 'projected_FD_points': 3.1342836038077464, 'confidence': -0.0012981227443922272, 'FD_Position': 'OF'}, 'Jordy Mercer_batter': {'Salary': 2200.0, 'projected_FD_points': 1.7709431523086954, 'confidence': -0.10111771717545359, 'FD_Position': 'SS'}}</t>
  </si>
  <si>
    <t>{'Michael Brantley_batter': {'Salary': 4100.0, 'projected_FD_points': 3.8739113445976052, 'confidence': 0.13069373099719406, 'FD_Position': 'OF'}, 'Carlos Ruiz_batter': {'Salary': 2300.0, 'projected_FD_points': 1.8877501366385163, 'confidence': -0.008598129111184738, 'FD_Position': 'C'}, 'Alex Rodriguez_batter': {'Salary': 3300.0, 'projected_FD_points': 5.1656862745098033, 'confidence': 0, 'FD_Position': '3B'}, 'Devon Travis_batter': {'Salary': 2800.0, 'projected_FD_points': 8.1875, 'confidence': 0, 'FD_Position': '2B'}, 'Kennys Vargas_batter': {'Salary': 2400.0, 'projected_FD_points': 2.2731481481481484, 'confidence': -0.06804331804993935, 'FD_Position': '1B'}, 'A.J. Pollock_batter': {'Salary': 3000.0, 'projected_FD_points': 2.8171022851995673, 'confidence': -0.19808592835307359, 'FD_Position': 'OF'}, 'Clayton Kershaw_pitcher': {'Salary': 11800.0, 'projected_FD_points': 16.534932735426004, 'confidence': -0.40832440695156214, 'FD_Position': 'P'}, 'Brandon Crawford_batter': {'Salary': 2300.0, 'projected_FD_points': 1.8240740740740742, 'confidence': -0.0045271300427460748, 'FD_Position': 'SS'}, 'Michael Cuddyer_batter': {'Salary': 3000.0, 'projected_FD_points': 3.1083563695001155, 'confidence': -0.60265430289989497, 'FD_Position': 'OF'}}</t>
  </si>
  <si>
    <t>{'Seth Smith_batter': {'Salary': 2600.0, 'projected_FD_points': 1.9311568971275885, 'confidence': -0.17560080801921818, 'FD_Position': 'OF'}, 'Howie Kendrick_batter': {'Salary': 3300.0, 'projected_FD_points': 2.5846889473947225, 'confidence': -0.070948088682494692, 'FD_Position': '2B'}, 'Prince Fielder_batter': {'Salary': 3600.0, 'projected_FD_points': 2.8919288328777277, 'confidence': -3.8480060953001018, 'FD_Position': '1B'}, 'A.J. Pollock_batter': {'Salary': 3000.0, 'projected_FD_points': 2.8171022851995673, 'confidence': -0.19808592835307359, 'FD_Position': 'OF'}, 'Mike Zunino_batter': {'Salary': 2300.0, 'projected_FD_points': 1.3779999999999999, 'confidence': -0.20510185108058465, 'FD_Position': 'C'}, 'Clayton Kershaw_pitcher': {'Salary': 11800.0, 'projected_FD_points': 16.534932735426004, 'confidence': -0.40832440695156214, 'FD_Position': 'P'}, 'Austin Jackson_batter': {'Salary': 2600.0, 'projected_FD_points': 2.0079711594009688, 'confidence': -0.19403564959160846, 'FD_Position': 'OF'}, 'Kyle Seager_batter': {'Salary': 3500.0, 'projected_FD_points': 2.8191857583901401, 'confidence': -0.21753766274207131, 'FD_Position': '3B'}, 'Brandon Crawford_batter': {'Salary': 2300.0, 'projected_FD_points': 1.8240740740740742, 'confidence': -0.0045271300427460748, 'FD_Position': 'SS'}}</t>
  </si>
  <si>
    <t>{'Michael Brantley_batter': {'Salary': 4100.0, 'projected_FD_points': 3.8739113445976052, 'confidence': 0.13069373099719406, 'FD_Position': 'OF'}, 'Brian Dozier_batter': {'Salary': 3100.0, 'projected_FD_points': 2.5658501813017143, 'confidence': -0.59935208172574317, 'FD_Position': '2B'}, 'Trevor Plouffe_batter': {'Salary': 2500.0, 'projected_FD_points': 2.0266143920029429, 'confidence': 0.0066033494756877475, 'FD_Position': '3B'}, 'Johnny Cueto_pitcher': {'Salary': 10600.0, 'projected_FD_points': 14.881620591430856, 'confidence': -0.10376032553761005, 'FD_Position': 'P'}, 'Kole Calhoun_batter': {'Salary': 3500.0, 'projected_FD_points': 2.6469736859155724, 'confidence': -0.43167856309231745, 'FD_Position': 'OF'}, 'Evan Gattis_batter': {'Salary': 2900.0, 'projected_FD_points': 2.069735739980092, 'confidence': 0.0094662313681341814, 'FD_Position': 'C'}, 'Kennys Vargas_batter': {'Salary': 2400.0, 'projected_FD_points': 2.2731481481481484, 'confidence': -0.06804331804993935, 'FD_Position': '1B'}, 'Daniel Santana_batter': {'Salary': 3300.0, 'projected_FD_points': 3.012341410680047, 'confidence': -0.13784845393052825, 'FD_Position': 'SS'}, 'Chris Carter_batter': {'Salary': 2600.0, 'projected_FD_points': 2.2488199599564553, 'confidence': 0.0021140015460714423, 'FD_Position': 'OF'}}</t>
  </si>
  <si>
    <t>{'Adam Wainwright_pitcher': {'Salary': 9400.0, 'projected_FD_points': 12.528124999999999, 'confidence': -0.010059871495327055, 'FD_Position': 'P'}, 'Kolten Wong_batter': {'Salary': 3000.0, 'projected_FD_points': 2.5643505398564872, 'confidence': -1.0932174153093146, 'FD_Position': '2B'}, 'Zack Cozart_batter': {'Salary': 2200.0, 'projected_FD_points': 1.8244923802320692, 'confidence': -0.19555996486377425, 'FD_Position': 'SS'}, 'Matt Holliday_batter': {'Salary': 3600.0, 'projected_FD_points': 2.4198717948717947, 'confidence': -0.10056122477553164, 'FD_Position': 'OF'}, 'Paul Goldschmidt_batter': {'Salary': 5200.0, 'projected_FD_points': 3.5619047619047617, 'confidence': -0.034601310843972222, 'FD_Position': '1B'}, 'A.J. Pollock_batter': {'Salary': 3500.0, 'projected_FD_points': 2.9591458973813625, 'confidence': -0.15258903067736163, 'FD_Position': 'OF'}, 'Austin Jackson_batter': {'Salary': 2500.0, 'projected_FD_points': 2.0207943270600661, 'confidence': -0.27847240140322937, 'FD_Position': 'OF'}, 'Kyle Seager_batter': {'Salary': 3400.0, 'projected_FD_points': 2.6786180005113782, 'confidence': -0.35270434034922893, 'FD_Position': '3B'}, 'Michael McKenry_batter': {'Salary': 2200.0, 'projected_FD_points': 2.7312333660176495, 'confidence': -0.22979984066301107, 'FD_Position': 'C'}}</t>
  </si>
  <si>
    <t>Dailyfantasynerd MLB</t>
  </si>
  <si>
    <t>Vegas odds player props, pitcher K/9 and SIERA</t>
  </si>
  <si>
    <t>{'Michael Brantley_batter': {'Salary': 3500.0, 'projected_FD_points': 3.9764079147640787, 'confidence': -0.10855934201976813,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3.2049308911926984, 'confidence': -0.10200837754551428, 'FD_Position': 'OF'}, 'Troy Tulowitzki_batter': {'Salary': 4300.0, 'projected_FD_points': 3.380997207739874, 'confidence': -0.086357390594207883, 'FD_Position': 'SS'}, 'Marcell Ozuna_batter': {'Salary': 2800.0, 'projected_FD_points': 2.5510409498629776, 'confidence': -0.07072269337532644, 'FD_Position': 'OF'}, 'Kyle Seager_batter': {'Salary': 3000.0, 'projected_FD_points': 2.5508659051701548, 'confidence': 0.011816115068635002, 'FD_Position': '3B'}, 'Jose Abreu_batter': {'Salary': 4000.0, 'projected_FD_points': 3.3188398275311402, 'confidence': 0.00071575183368199902, 'FD_Position': '1B'}, 'Victor Martinez_batter': {'Salary': 3400.0, 'projected_FD_points': 2.6767088296106913, 'confidence': 0.034615926804330677, 'FD_Position': 'C'}}</t>
  </si>
  <si>
    <t>{'Yoenis Cespedes_batter': {'Salary': 3200.0, 'projected_FD_points': 2.6161290322580646, 'confidence': -6.4964423429181295e-05, 'FD_Position': 'OF'}, 'Brian Dozier_batter': {'Salary': 2900.0, 'projected_FD_points': 2.8544303797468356, 'confidence': -0.19315755458858974, 'FD_Position': '2B'}, 'J.D. Martinez_batter': {'Salary': 3500.0, 'projected_FD_points': 3.2049308911926984, 'confidence': -0.10200837754551428, 'FD_Position': 'OF'}, 'Daniel Santana_batter': {'Salary': 2800.0, 'projected_FD_points': 2.6597068187754584, 'confidence': -0.31374791578810424, 'FD_Position': 'SS'}, 'Victor Martinez_batter': {'Salary': 3400.0, 'projected_FD_points': 2.6767088296106913, 'confidence': 0.034615926804330677, 'FD_Position': 'C'}, 'Kyle Seager_batter': {'Salary': 3000.0, 'projected_FD_points': 2.5508659051701548, 'confidence': 0.011816115068635002, 'FD_Position': '3B'}, 'Lance Lynn_pitcher': {'Salary': 8100.0, 'projected_FD_points': 11.283235368646993, 'confidence': -0.043113418417619176, 'FD_Position': 'P'}, 'Jose Abreu_batter': {'Salary': 4000.0, 'projected_FD_points': 3.3188398275311402, 'confidence': 0.00071575183368199902, 'FD_Position': '1B'}, 'Andrew McCutchen_batter': {'Salary': 4100.0, 'projected_FD_points': 2.8933333333333335, 'confidence': -0.31107459828650996, 'FD_Position': 'OF'}}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</si>
  <si>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'A.J. Pollock_batter': {'Salary': 3500.0, 'projected_FD_points': 2.9591458973813625, 'confidence': -0.15258903067736163,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</si>
  <si>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'Mookie Betts_batter': {'Salary': 3000.0, 'projected_FD_points': 2.6137733109869226, 'confidence': -0.47611805485923586,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</si>
  <si>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3900.0, 'projected_FD_points': 3.8959516135250354, 'confidence': -0.19970712992089834, 'FD_Position': 'OF'}, 'Alex Rodriguez_batter': {'Salary': 3700.0, 'projected_FD_points': 4.916666666666667, 'confidence': -0.67324128862590427, 'FD_Position': '3B'}, 'Melky Cabrera_batter': {'Salary': 2700.0, 'projected_FD_points': 2.6902795190090734, 'confidence': -0.1142336382785365, 'FD_Position': 'OF'}, 'Matt Shoemaker_pitcher': {'Salary': 8500.0, 'projected_FD_points': 13.548422934302474, 'confidence': -1.0399398480815916, 'FD_Position': 'P'}, 'Kris Negron_batter': {'Salary': 2400.0, 'projected_FD_points': 2.0392520028555565, 'confidence': -0.056173511438023072, 'FD_Position': '2B'}, 'Dexter Fowler_batter': {'Salary': 3800.0, 'projected_FD_points': 3.3815328577559214, 'confidence': 0.0077618105471866095, 'FD_Position': 'OF'}, 'Carlos Santana_batter': {'Salary': 3200.0, 'projected_FD_points': 2.7628831087129431, 'confidence': -0.14125893472516804, 'FD_Position': '1B'}, 'Victor Martinez_batter': {'Salary': 3900.0, 'projected_FD_points': 3.0624180901373022, 'confidence': -0.010168999897017139, 'FD_Position': 'C'}, 'Jose Iglesias_batter': {'Salary': 2900.0, 'projected_FD_points': 2.8055555555555554, 'confidence': -6.5308641975308639, 'FD_Position': 'SS'}}</t>
  </si>
  <si>
    <t>{'Michael Brantley_batter': {'Salary': 3900.0, 'projected_FD_points': 3.8959516135250354, 'confidence': -0.19970712992089834, 'FD_Position': 'OF'}, 'Brian Dozier_batter': {'Salary': 3100.0, 'projected_FD_points': 2.4695576228413083, 'confidence': 0.0021332165964260685, 'FD_Position': '2B'}, 'Trevor Plouffe_batter': {'Salary': 2500.0, 'projected_FD_points': 2.1929303471480286, 'confidence': -0.17786399174904455, 'FD_Position': '3B'}, 'Derek Norris_batter': {'Salary': 2800.0, 'projected_FD_points': 1.8650793650793651, 'confidence': -3.3226609463810064e-05, 'FD_Position': 'C'}, 'Jorge De La Rosa_pitcher': {'Salary': 6800.0, 'projected_FD_points': 10.866686404401513, 'confidence': 0.15394445745811047, 'FD_Position': 'P'}, 'Troy Tulowitzki_batter': {'Salary': 5300.0, 'projected_FD_points': 3.405032914979548, 'confidence': 0.060644130063532753, 'FD_Position': 'SS'}, 'Carlos Santana_batter': {'Salary': 3200.0, 'projected_FD_points': 2.7628831087129431, 'confidence': -0.14125893472516804, 'FD_Position': '1B'}, 'Justin Upton_batter': {'Salary': 4600.0, 'projected_FD_points': 2.8246358546671, 'confidence': 0.0082228885472386271, 'FD_Position': 'OF'}, 'Melky Cabrera_batter': {'Salary': 2700.0, 'projected_FD_points': 2.6902795190090734, 'confidence': -0.1142336382785365, 'FD_Position': 'OF'}}</t>
  </si>
  <si>
    <t>test.py</t>
  </si>
  <si>
    <t>C:\Users\Ian Whitestone\Documents\Python Projects\Fanduel-master\fanduel\modules\test.py</t>
  </si>
  <si>
    <t>script_name_15</t>
  </si>
  <si>
    <t>script_path_15</t>
  </si>
  <si>
    <t xml:space="preserve"> 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</si>
  <si>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2.4934267998648862, 'confidence': -1.3405072480203963, 'FD_Position': 'OF'}, 'Collin McHugh_pitcher': {'Salary': 8800.0, 'projected_FD_points': 13.016798442797942, 'confidence': -1.631894781811206, 'FD_Position': 'P'}}</t>
  </si>
  <si>
    <t>{'Ian Desmond_batter': {'Salary': 2900.0, 'projected_FD_points': 2.3233550867665347, 'confidence': -0.10887889079815194, 'FD_Position': 'SS'}, 'Max Scherzer_pitcher': {'Salary': 10900.0, 'projected_FD_points': 13.406438851374396, 'confidence': -7.2621090392387906, 'FD_Position': 'P'}, 'Howie Kendrick_batter': {'Salary': 3200.0, 'projected_FD_points': 2.463729368779136, 'confidence': -0.19605432550383273, 'FD_Position': '2B'}, 'Christian Yelich_batter': {'Salary': 2700.0, 'projected_FD_points': 2.5070921985815602, 'confidence': -0.047891646578395619, 'FD_Position': 'OF'}, 'Brett Lawrie_batter': {'Salary': 2400.0, 'projected_FD_points': 2.1322591485649731, 'confidence': -0.15472062550602139, 'FD_Position': '3B'}, 'Yasmani Grandal_batter': {'Salary': 3000.0, 'projected_FD_points': 2.0499999999999998, 'confidence': -0.028005385337195543, 'FD_Position': 'C'}, 'Giancarlo Stanton_batter': {'Salary': 4500.0, 'projected_FD_points': 3.4124203821656049, 'confidence': -0.010241730467420496, 'FD_Position': 'OF'}, 'Jayson Werth_batter': {'Salary': 3100.0, 'projected_FD_points': 2.5994490878482481, 'confidence': -0.031820407181848642, 'FD_Position': 'OF'}, 'Mike Napoli_batter': {'Salary': 2200.0, 'projected_FD_points': 2.3007671008146242, 'confidence': -0.054220840859357411, 'FD_Position': '1B'}}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</si>
  <si>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12.968461384908988, 'confidence': -0.67410759487188843,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</si>
  <si>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3.3878821122465688, 'confidence': -0.46894812105791406,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</si>
  <si>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'Wandy Rodriguez_pitcher': {'Salary': 6000.0, 'projected_FD_points': 14.738330046022355, 'confidence': 0, 'FD_Position': 'P'},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3.3615248428149287, 'confidence': -0.021753774659490244,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'OF'}, 'Jose Abreu_batter': {'Salary': 3500.0, 'projected_FD_points': 3.4453515385289739, 'confidence': -0.12094457311284068, 'FD_Position': '1B'}}</t>
  </si>
  <si>
    <t>{'Michael Brantley_batter': {'Salary': 4200.0, 'projected_FD_points': 4.2551044230008381, 'confidence': -1.035033692507711, 'FD_Position': 'OF'}, 'Robinson Chirinos_batter': {'Salary': 2400.0, 'projected_FD_points': 2.159165686645804, 'confidence': -0.077240312872282058, 'FD_Position': 'C'},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'Daniel Santana_batter': {'Salary': 2900.0, 'projected_FD_points': 2.5145500469739006, 'confidence': 0.0098385088993073744, 'FD_Position': 'SS'},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'OF'}}</t>
  </si>
  <si>
    <t>{'Albert Pujols_batter': {'Salary': 3100.0, 'projected_FD_points': 2.7041861372534983, 'confidence': -0.057457423719035061, 'FD_Position': '1B'}, 'Seth Smith_batter': {'Salary': 2200.0, 'projected_FD_points': 2.0923913043478262, 'confidence': -0.0033181109169901912, 'FD_Position': 'OF'}, 'Kole Calhoun_batter': {'Salary': 3500.0, 'projected_FD_points': 2.6851851851851851, 'confidence': -0.23778042624080986, 'FD_Position': 'OF'}, 'Robinson Cano_batter': {'Salary': 3600.0, 'projected_FD_points': 2.5701306163055615, 'confidence': -0.0373683890828862, 'FD_Position': '2B'}, 'Felix Hernandez_pitcher': {'Salary': 11000.0, 'projected_FD_points': 14.565509301897222, 'confidence': 0.56366283665512174, 'FD_Position': 'P'}, 'Kyle Seager_batter': {'Salary': 2800.0, 'projected_FD_points': 2.420417342084983, 'confidence': 0.010515276354053582, 'FD_Position': '3B'}, 'Chris Iannetta_batter': {'Salary': 2200.0, 'projected_FD_points': 1.9475643379568195, 'confidence': -0.028433433305998346, 'FD_Position': 'C'}, 'Justin Upton_batter': {'Salary': 4000.0, 'projected_FD_points': 3.0464206166762238, 'confidence': -0.11171153524046318, 'FD_Position': 'OF'}, 'Brandon Crawford_batter': {'Salary': 2500.0, 'projected_FD_points': 2.1744186046511627, 'confidence': -1.9761473984653208,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</si>
  <si>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15.512483129934754, 'confidence': -0.26754929339227806,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</si>
  <si>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13.15632030090973, 'confidence': -0.16228471783976484,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</si>
  <si>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'David Ortiz_batter': {'Salary': 3600.0, 'projected_FD_points': 2.8420862125350981, 'confidence': -0.38928760513533334, 'FD_Position': '1B'}, 'Paulo Orlando_batter': {'Salary': 3000.0, 'projected_FD_points': 4.2333333333333334, 'confidence': 0, 'FD_Position': 'OF'},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'Devon Travis_batter': {'Salary': 3100.0, 'projected_FD_points': 10.468691588785045, 'confidence': -0.68437323762170243, 'FD_Position': '2B'}, 'Michael Pineda_pitcher': {'Salary': 8700.0, 'projected_FD_points': 13.963084112149524, 'confidence': -3.1355623122716914, 'FD_Position': 'P'}}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</si>
  <si>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11.848200570860415, 'confidence': -1.1658996705028444, 'FD_Position': 'P'}, 'Matt Carpenter_batter': {'Salary': 4400.0, 'projected_FD_points': 2.8935283165244376, 'confidence': -0.64007540655825168, 'FD_Position': '3B'}}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</si>
  <si>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'Russell Martin_batter': {'Salary': 3300.0, 'projected_FD_points': 2.3063063063063063, 'confidence': -0.35256121512297645, 'FD_Position': 'C'}, 'Paulo Orlando_batter': {'Salary': 3000.0, 'projected_FD_points': 2.8722222222222218, 'confidence': 0, 'FD_Position': 'OF'}, 'Marcus Semien_batter': {'Salary': 2900.0, 'projected_FD_points': 2.2353825757575758, 'confidence': -0.0097787466924996735, 'FD_Position': 'SS'}, 'Alex Gordon_batter': {'Salary': 3200.0, 'projected_FD_points': 2.6629544450171099, 'confidence': -1.1950229025969734, 'FD_Position': 'OF'}, 'Brett Lawrie_batter': {'Salary': 2700.0, 'projected_FD_points': 2.15451000238152, 'confidence': -0.70923905653511099, 'FD_Position': '3B'}, 'Jose Abreu_batter': {'Salary': 4400.0, 'projected_FD_points': 3.5028522665302195, 'confidence': 0.035487461834560419, 'FD_Position': '1B'}, 'Chris Sale_pitcher': {'Salary': 10200.0, 'projected_FD_points': 14.552606635071092, 'confidence': -0.21846653616757039, 'FD_Position': 'P'}}</t>
  </si>
  <si>
    <t>{'A.J. Pollock_batter': {'Salary': 3500.0, 'projected_FD_points': 2.8388071746840051, 'confidence': 0.014318591869467157, 'FD_Position': 'OF'}, 'Rougned Odor_batter': {'Salary': 2800.0, 'projected_FD_points': 2.1317185940845369, 'confidence': -0.029373672904676074, 'FD_Position': '2B'}, 'Marcus Semien_batter': {'Salary': 3000.0, 'projected_FD_points': 2.2204074406046321, 'confidence': 0.12167841725444595, 'FD_Position': 'SS'}, 'Jake Smolinski_batter': {'Salary': 2900.0, 'projected_FD_points': 2.3809106180170323, 'confidence': 0.055346835832854047, 'FD_Position': 'OF'}, 'Juan Uribe_batter': {'Salary': 2300.0, 'projected_FD_points': 1.9166482357971721, 'confidence': -0.3088240822752959, 'FD_Position': '3B'}, 'Clayton Kershaw_pitcher': {'Salary': 12000.0, 'projected_FD_points': 15.981246079866192, 'confidence': -0.56067374754584409, 'FD_Position': 'P'}, 'Prince Fielder_batter': {'Salary': 3600.0, 'projected_FD_points': 2.9619039197401849, 'confidence': -1.5483178349049216, 'FD_Position': '1B'}, 'Chris Carter_batter': {'Salary': 2400.0, 'projected_FD_points': 2.2741260913691792, 'confidence': -0.62036102952020844, 'FD_Position': 'OF'}, 'Jason Castro_batter': {'Salary': 2500.0, 'projected_FD_points': 2.2602745797505062, 'confidence': -0.19000876031941205, 'FD_Position': 'C'}}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</si>
  <si>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11.479174217502738, 'confidence': -5.6793205226168286,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</si>
  <si>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3.5765369833976792, 'confidence': 0.054549089506093051,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</si>
  <si>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{'Adam Wainwright_pitcher': {'Salary': 9400.0, 'projected_FD_points': 12.528124999999999, 'confidence': -0.010059871495327055, 'FD_Position': 'P'}, 'Kolten Wong_batter': {'Salary': 3000.0, 'projected_FD_points': 2.6184973630413491, 'confidence': -0.8061865925562417, 'FD_Position': '2B'}, 'Jason Heyward_batter': {'Salary': 3400.0, 'projected_FD_points': 2.5164898603255943, 'confidence': -0.22247559113566728, 'FD_Position': 'OF'},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'Jake Smolinski_batter': {'Salary': 2700.0, 'projected_FD_points': 2.0867872756022692, 'confidence': 0.12782523165760884, 'FD_Position': 'OF'},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</si>
  <si>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3.2251896600060008, 'confidence': -0.063996576671603078, 'FD_Position': 'OF'}}</t>
  </si>
  <si>
    <t>{'Robinson Chirinos_batter': {'Salary': 2600.0, 'projected_FD_points': 1.9570482486096208, 'confidence': -0.072083869914098431, 'FD_Position': 'C'}, 'Howie Kendrick_batter': {'Salary': 3300.0, 'projected_FD_points': 2.5869509913903053, 'confidence': -0.071024583157089927, 'FD_Position': '2B'}, 'Austin Jackson_batter': {'Salary': 2600.0, 'projected_FD_points': 2.0068379021209339, 'confidence': -0.19867171363029223, 'FD_Position': 'OF'},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'Jacob Lamb_batter': {'Salary': 3000.0, 'projected_FD_points': 2.0534354604786076, 'confidence': -0.91531834415666902, 'FD_Position': '3B'}, 'Brandon Crawford_batter': {'Salary': 2300.0, 'projected_FD_points': 1.73125, 'confidence': -0.15857863442009634, 'FD_Position': 'SS'}, 'David Peralta_batter': {'Salary': 2800.0, 'projected_FD_points': 2.2283989505805617, 'confidence': -1.8916707291086547,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</si>
  <si>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2.8093807331773553, 'confidence': -1.9849420953929249,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</si>
  <si>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2.8195266272189348, 'confidence': -0.0072010924144130239, 'FD_Position': '2B'}}</t>
  </si>
  <si>
    <t>{'Johnny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</si>
  <si>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</si>
  <si>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4200.0, 'projected_FD_points': 4.1231368563685642, 'confidence': -0.1389454012825877,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'Chris Colabello_batter': {'Salary': 2300.0, 'projected_FD_points': 2.9528714153426083, 'confidence': 0.052180440765427272, 'FD_Position': 'OF'}, 'Kyle Seager_batter': {'Salary': 3100.0, 'projected_FD_points': 2.9155090006440432, 'confidence': -0.096973474161586193, 'FD_Position': '3B'}, 'Brandon Crawford_batter': {'Salary': 2400.0, 'projected_FD_points': 2.0820426100692617, 'confidence': -0.54017811230305268, 'FD_Position': 'SS'}}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</si>
  <si>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'Kyle Seager_batter': {'Salary': 3100.0, 'projected_FD_points': 2.9155090006440432, 'confidence': -0.096973474161586193, 'FD_Position': '3B'}, 'Chris Colabello_batter': {'Salary': 2300.0, 'projected_FD_points': 2.9528714153426083, 'confidence': 0.052180440765427272, 'FD_Position': 'OF'}, 'Brandon Crawford_batter': {'Salary': 2400.0, 'projected_FD_points': 2.0820426100692617, 'confidence': -0.54017811230305268, 'FD_Position': 'SS'}}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</si>
  <si>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'Jose Abreu_batter': {'Salary': 3500.0, 'projected_FD_points': 3.4118966675125804, 'confidence': 0.029136635219963902, 'FD_Position': '1B'}}</t>
  </si>
  <si>
    <t>{'Kris Bryant_batter': {'Salary': 3800.0, 'projected_FD_points': 3.7163845805296138, 'confidence': -0.79142406878147509, 'FD_Position': '3B'}, 'Kolten Wong_batter': {'Salary': 3200.0, 'projected_FD_points': 2.8000165789905069, 'confidence': -0.30035208186370999, 'FD_Position': '2B'},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1.8694135540816836, 'confidence': -1.7661982090601978, 'FD_Position': 'C'}, 'Dexter Fowler_batter': {'Salary': 3400.0, 'projected_FD_points': 3.8733622456220731, 'confidence': -0.13882959395201833, 'FD_Position': 'OF'}, 'David DeJesus_batter': {'Salary': 2500.0, 'projected_FD_points': 2.1835158310912615, 'confidence': -0.058886764953908433, 'FD_Position': 'OF'}}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</si>
  <si>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</si>
  <si>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</si>
  <si>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</si>
  <si>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</si>
  <si>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13.138866923240107, 'confidence': -0.22668305734051297,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</si>
  <si>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2.7057714601159262, 'confidence': -2.4967290366621135,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</si>
  <si>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2.7057714601159262, 'confidence': -2.4967290366621135,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</si>
  <si>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11.160326042225073, 'confidence': -0.84263042108684894,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</si>
  <si>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</si>
  <si>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</si>
  <si>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12.123577408623346, 'confidence': -0.21041335983077047,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</si>
  <si>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</si>
  <si>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{'Gerrit Cole_pitcher': {'Salary': 9000.0, 'projected_FD_points': 13.078376830262467, 'confidence': -0.69817999854755652, 'FD_Position': 'P'}, 'Ian Desmond_batter': {'Salary': 2900.0, 'projected_FD_points': 2.3233550867665347, 'confidence': -0.10887889079815194, 'FD_Position': 'SS'}, 'Stephen Vogt_batter': {'Salary': 3500.0, 'projected_FD_points': 2.3823088434045903, 'confidence': -2.603568437572497, 'FD_Position': 'C'}, 'Alex Rodriguez_batter': {'Salary': 3400.0, 'projected_FD_points': 2.9821362953627846, 'confidence': 0.0, 'FD_Position': '3B'}, 'Dexter Fowler_batter': {'Salary': 3300.0, 'projected_FD_points': 4.0549396935698638, 'confidence': -0.14421379862176176, 'FD_Position': 'OF'}, 'Devon Travis_batter': {'Salary': 3400.0, 'projected_FD_points': 5.5956958434746831, 'confidence': -0.23548976174222713, 'FD_Position': '2B'}, 'Chris Colabello_batter': {'Salary': 2300.0, 'projected_FD_points': 2.7623759165927657, 'confidence': 0.07107887614776609, 'FD_Position': 'OF'}, 'Jose Abreu_batter': {'Salary': 3400.0, 'projected_FD_points': 3.4041350040691114, 'confidence': 0.015090930199890273, 'FD_Position': '1B'}, 'Andrew McCutchen_batter': {'Salary': 3800.0, 'projected_FD_points': 3.2056962025316458, 'confidence': -0.061795980864851829, 'FD_Position': 'OF'}}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</si>
  <si>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16.333881278731774, 'confidence': -1.3159939754636301,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</si>
  <si>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13.931681949578131, 'confidence': 0.19205370866582239,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</si>
  <si>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{'Phil Hughes_pitcher': {'Salary': 7900.0, 'projected_FD_points': 11.745357614411455, 'confidence': 0.22099184163547259, 'FD_Position': 'P'}, 'Michael Brantley_batter': {'Salary': 4200.0, 'projected_FD_points': 4.2551044230008381, 'confidence': -1.035033692507711, 'FD_Position': 'OF'}, 'Brian Dozier_batter': {'Salary': 3200.0, 'projected_FD_points': 2.5948625057461356, 'confidence': -0.035970879214273221, 'FD_Position': '2B'}, 'Freddie Freeman_batter': {'Salary': 3900.0, 'projected_FD_points': 2.7836257309941521, 'confidence': -0.025623444450706412,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'OF'}, 'Bryce Harper_batter': {'Salary': 4500.0, 'projected_FD_points': 2.5714710139276153, 'confidence': -0.018474222090838488, 'FD_Position': 'OF'}}</t>
  </si>
  <si>
    <t>{'Michael Brantley_batter': {'Salary': 4200.0, 'projected_FD_points': 4.2490422953819769, 'confidence': -0.38925342415170716, 'FD_Position': 'OF'},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'Kennys Vargas_batter': {'Salary': 2600.0, 'projected_FD_points': 2.2943231982342214, 'confidence': -0.24028465542951349, 'FD_Position': '1B'}, 'Daniel Santana_batter': {'Salary': 3000.0, 'projected_FD_points': 2.5735805032710384, 'confidence': 0.0094150873734738516, 'FD_Position': 'SS'}, 'David Price_pitcher': {'Salary': 10900.0, 'projected_FD_points': 14.153699766466243, 'confidence': -0.23000652603917526, 'FD_Position': 'P'}, 'Dexter Fowler_batter': {'Salary': 3000.0, 'projected_FD_points': 3.0990285852137012, 'confidence': -0.37208531661274535, 'FD_Position': 'OF'}, 'Brett Lawrie_batter': {'Salary': 2600.0, 'projected_FD_points': 2.4755956493241928, 'confidence': -0.11784805456305625, 'FD_Position': '3B'},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</si>
  <si>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'Yangervis Solarte_batter': {'Salary': 2200.0, 'projected_FD_points': 1.9962473109908256, 'confidence': -0.29747359195796363, 'FD_Position': '3B'}, 'Paul Goldschmidt_batter': {'Salary': 5100.0, 'projected_FD_points': 3.6917189208895365, 'confidence': -0.19989573277670347, 'FD_Position': '1B'}, 'Tim Beckham_batter': {'Salary': 2200.0, 'projected_FD_points': 2.0289219706937298, 'confidence': -1.1283987815141643, 'FD_Position': 'SS'}, 'Mike Trout_batter': {'Salary': 5200.0, 'projected_FD_points': 3.5997023809523809, 'confidence': -0.0058016794198629817,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3.0151051626367136, 'confidence': -0.029524604323562853,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</si>
  <si>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15.226946115665008, 'confidence': -6.2657025487969724,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</si>
  <si>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14.424879391630462, 'confidence': -1.1550275380188038, 'FD_Position': 'P'}, 'Jose Abreu_batter': {'Salary': 3600.0, 'projected_FD_points': 3.67820781184259, 'confidence': 0.00039270894701914916, 'FD_Position': '1B'}}</t>
  </si>
  <si>
    <t>{'Robinson Chirinos_batter': {'Salary': 2300.0, 'projected_FD_points': 2.0241299409359383, 'confidence': 0.025146319887164426, 'FD_Position': 'C'}, 'Anthony Rizzo_batter': {'Salary': 4200.0, 'projected_FD_points': 3.3439758110162017, 'confidence': -0.063189153536972409, 'FD_Position': '1B'},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'Odubel Herrera_batter': {'Salary': 3000.0, 'projected_FD_points': 3.1094037505141294, 'confidence': -1.0709255524646983, 'FD_Position': 'OF'}, 'Clayton Kershaw_pitcher': {'Salary': 11300.0, 'projected_FD_points': 15.997162981803953, 'confidence': -0.36268706190064881, 'FD_Position': 'P'}, 'Brock Holt_batter': {'Salary': 2200.0, 'projected_FD_points': 2.3119266055045871, 'confidence': -0.32933808641274709, 'FD_Position': '3B'}, 'Brandon Crawford_batter': {'Salary': 2500.0, 'projected_FD_points': 2.1744186046511627, 'confidence': -1.9761473984653208, 'FD_Position': 'SS'},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</si>
  <si>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</si>
  <si>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</si>
  <si>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</si>
  <si>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</si>
  <si>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3.2584558409231397, 'confidence': -0.15420729878497208, 'FD_Position': 'SS'}, 'Michael Cuddyer_batter': {'Salary': 2700.0, 'projected_FD_points': 2.670393829985207, 'confidence': -0.75978758224854381, 'FD_Position': 'OF'}, 'Kyle Blanks_batter': {'Salary': 2400.0, 'projected_FD_points': 2.374639207659015, 'confidence': 0.045571133788036122, 'FD_Position': 'OF'}}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</si>
  <si>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'Albert Pujols_batter': {'Salary': 3000.0, 'projected_FD_points': 2.5460122699386503, 'confidence': -0.018114472087465083, 'FD_Position': '1B'}, 'Brandon Crawford_batter': {'Salary': 2500.0, 'projected_FD_points': 2.0950292397660819, 'confidence': -0.57289774504849245, 'FD_Position': 'SS'}, 'Cole Hamels_pitcher': {'Salary': 9700.0, 'projected_FD_points': 14.247871931029614, 'confidence': -0.82926518512660197, 'FD_Position': 'P'}}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</si>
  <si>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'CC Sabathia_pitcher': {'Salary': 7600.0, 'projected_FD_points': 18.067700178813794, 'confidence': 0, 'FD_Position': 'P'},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</si>
  <si>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'Alex Gordon_batter': {'Salary': 3200.0, 'projected_FD_points': 2.6383928571428572, 'confidence': -0.12181183104021187, 'FD_Position': 'OF'}, 'Daniel Santana_batter': {'Salary': 2800.0, 'projected_FD_points': 2.6856704843236625, 'confidence': -0.2963424656413689, 'FD_Position': 'SS'}, 'Victor Martinez_batter': {'Salary': 3400.0, 'projected_FD_points': 2.7267826042173868, 'confidence': 0.024253717745687964, 'FD_Position': 'C'}, 'Kyle Seager_batter': {'Salary': 3000.0, 'projected_FD_points': 2.5741622277354153, 'confidence': -0.0086802992117207545, 'FD_Position': '3B'}, 'Lance Lynn_pitcher': {'Salary': 8100.0, 'projected_FD_points': 11.283235368646993, 'confidence': -0.043113418417619176, 'FD_Position': 'P'}, 'Jose Abreu_batter': {'Salary': 4000.0, 'projected_FD_points': 3.3698671102130122, 'confidence': -0.049615339015657289, 'FD_Position': '1B'}, 'Andrew McCutchen_batter': {'Salary': 4100.0, 'projected_FD_points': 2.9765704668568285, 'confidence': -0.2916234505383164, 'FD_Position': 'OF'}}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</si>
  <si>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15.265683908389484, 'confidence': -2.9286158169400403,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</si>
  <si>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10.974733112092011, 'confidence': -2.0752355334537156, 'FD_Position': 'P'}, 'Alcides Escobar_batter': {'Salary': 2400.0, 'projected_FD_points': 1.707296564112434, 'confidence': -0.055567472854256783, 'FD_Position': 'SS'}}</t>
  </si>
  <si>
    <t>{'Kris Bryant_batter': {'Salary': 3500.0, 'projected_FD_points': 3.8431966386672443, 'confidence': 0, 'FD_Position': '3B'}, 'Kolten Wong_batter': {'Salary': 2700.0, 'projected_FD_points': 2.5126557783356098, 'confidence': -0.043808375910647568, 'FD_Position': '2B'},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'Odubel Herrera_batter': {'Salary': 3000.0, 'projected_FD_points': 3.0025178461024922, 'confidence': 0.91189501166176734, 'FD_Position': 'OF'},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'OF'}}</t>
  </si>
  <si>
    <t>{'Michael Brantley_batter': {'Salary': 3800.0, 'projected_FD_points': 3.9392753891353931, 'confidence': -0.097910542421715041, 'FD_Position': 'OF'}, 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'Paul Goldschmidt_batter': {'Salary': 4500.0, 'projected_FD_points': 3.5154561498989265, 'confidence': -0.035554547132253145, 'FD_Position': '1B'}, 'Tim Beckham_batter': {'Salary': 2400.0, 'projected_FD_points': 2.6959917132051938, 'confidence': -3.6467949339577164, 'FD_Position': 'SS'},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</si>
  <si>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{'Kolten Wong_batter': {'Salary': 2800.0, 'projected_FD_points': 2.5838577289273417, 'confidence': -0.037711535546647301, 'FD_Position': '2B'}, 'Odubel Herrera_batter': {'Salary': 3000.0, 'projected_FD_points': 2.9842969760499454, 'confidence': -1.6929015400553413, 'FD_Position': 'OF'}, 'Ben Revere_batter': {'Salary': 2400.0, 'projected_FD_points': 2.6648135225635441, 'confidence': -1.0146909319930946, 'FD_Position': 'OF'}, 'Tim Beckham_batter': {'Salary': 2400.0, 'projected_FD_points': 2.6959917132051938, 'confidence': -3.6467949339577164, 'FD_Position': 'SS'}, 'David Price_pitcher': {'Salary': 11000.0, 'projected_FD_points': 14.394217000271571, 'confidence': -0.19266453848034448, 'FD_Position': 'P'}, 'Anthony Rizzo_batter': {'Salary': 4200.0, 'projected_FD_points': 3.3752631624063913, 'confidence': -0.1202590954416074, 'FD_Position': '1B'}, 'Dexter Fowler_batter': {'Salary': 3400.0, 'projected_FD_points': 3.4554074988448384, 'confidence': -0.65011098909970033, 'FD_Position': 'OF'}, 'Kyle Seager_batter': {'Salary': 3300.0, 'projected_FD_points': 2.6437723566235185, 'confidence': 0.020711208790392011, 'FD_Position': '3B'}, 'Andrew Susac_batter': {'Salary': 2400.0, 'projected_FD_points': 2.4651099242504309, 'confidence': -0.39525042124822063, 'FD_Position': 'C'}}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</si>
  <si>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13.674711415127295, 'confidence': -3.4014519219769941,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</si>
  <si>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13.022404272987778, 'confidence': -1.4658111550247122,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</si>
  <si>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2.7879423202735043, 'confidence': 0.052391002017196819,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</si>
  <si>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3.3476909235686563, 'confidence': -0.44685077307503374,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</si>
  <si>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'Lucas Duda_batter': {'Salary': 3900.0, 'projected_FD_points': 2.9507897853273168, 'confidence': -0.057218906794235469,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'Michael Cuddyer_batter': {'Salary': 3200.0, 'projected_FD_points': 3.3520825160272554, 'confidence': -0.23305841180520681, 'FD_Position': 'OF'}}</t>
  </si>
  <si>
    <t>{'George Springer_batter': {'Salary': 3500.0, 'projected_FD_points': 2.978431056250737, 'confidence': -0.17562921147420596, 'FD_Position': 'OF'}, 'Gerrit Cole_pitcher': {'Salary': 8700.0, 'projected_FD_points': 12.631123074251095, 'confidence': -0.18348815864698942,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</si>
  <si>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13.254552230250503, 'confidence': -0.100201135702505, 'FD_Position': 'P'}}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</si>
  <si>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2.1593024898914663, 'confidence': -0.25602687634693333, 'FD_Position': '3B'}, 'Paulo Orlando_batter': {'Salary': 3000.0, 'projected_FD_points': 3.375, 'confidence': 0, 'FD_Position': 'OF'}, 'Daniel Santana_batter': {'Salary': 3000.0, 'projected_FD_points': 2.6064356435643563, 'confidence': -0.23088762764975734, 'FD_Position': 'SS'}, 'Michael Cuddyer_batter': {'Salary': 3400.0, 'projected_FD_points': 3.3267410618677755, 'confidence': -1.0568834218093444, 'FD_Position': 'OF'}, 'Jose Abreu_batter': {'Salary': 4300.0, 'projected_FD_points': 3.4706781070174131, 'confidence': 0.0094908009027494522, 'FD_Position': '1B'}, 'Michael McKenry_batter': {'Salary': 2200.0, 'projected_FD_points': 2.069751148186334, 'confidence': 0.012069334563028278, 'FD_Position': 'C'}}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</si>
  <si>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'Trevor Plouffe_batter': {'Salary': 2600.0, 'projected_FD_points': 2.1593024898914663, 'confidence': -0.25602687634693333, 'FD_Position': '3B'},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</si>
  <si>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14.049232503740196, 'confidence': 0.35469001042785919,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</si>
  <si>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{'Kolten Wong_batter': {'Salary': 2800.0, 'projected_FD_points': 2.4722246382666584, 'confidence': 0.028351126612402355, 'FD_Position': '2B'}, 'Alex Rodriguez_batter': {'Salary': 3800.0, 'projected_FD_points': 5.0687196090098015, 'confidence': -2.4782044385845734, 'FD_Position': '3B'}, 'Paulo Orlando_batter': {'Salary': 3000.0, 'projected_FD_points': 3.5, 'confidence': 0, 'FD_Position': 'OF'}, 'Prince Fielder_batter': {'Salary': 3600.0, 'projected_FD_points': 2.8428909066176966, 'confidence': -0.47757779423733893, 'FD_Position': '1B'},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</si>
  <si>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'Brian Dozier_batter': {'Salary': 3100.0, 'projected_FD_points': 2.4695576228413083, 'confidence': 0.0021332165964260685, 'FD_Position': '2B'}, 'Jerry Sands_batter': {'Salary': 2200.0, 'projected_FD_points': 2.5251180040458534, 'confidence': -0.035032184473793082, 'FD_Position': 'OF'}, 'Jake Arrieta_pitcher': {'Salary': 9200.0, 'projected_FD_points': 14.631589487068071, 'confidence': 0.0061121633673568709, 'FD_Position': 'P'},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'Melky Cabrera_batter': {'Salary': 2700.0, 'projected_FD_points': 2.6896125707527245, 'confidence': -0.11473163201042369, 'FD_Position': 'OF'}, 'Jose Iglesias_batter': {'Salary': 2900.0, 'projected_FD_points': 2.7501141872843058, 'confidence': -7.072332550726653, 'FD_Position': 'SS'}}</t>
  </si>
  <si>
    <t>{'Michael Brantley_batter': {'Salary': 4000.0, 'projected_FD_points': 3.587170236102291, 'confidence': -0.22258178613666613, 'FD_Position': 'OF'}, 'Kolten Wong_batter': {'Salary': 3000.0, 'projected_FD_points': 2.6184973630413491, 'confidence': -0.8061865925562417, 'FD_Position': '2B'}, 'Alex Rodriguez_batter': {'Salary': 3700.0, 'projected_FD_points': 4.7385512872372502, 'confidence': 0, 'FD_Position': '3B'}, 'Melky Cabrera_batter': {'Salary': 2500.0, 'projected_FD_points': 2.5075964719048285, 'confidence': -0.098202483231013993, 'FD_Position': 'OF'},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</si>
  <si>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'Melky Cabrera_batter': {'Salary': 2500.0, 'projected_FD_points': 2.5075964719048285, 'confidence': -0.098202483231013993, 'FD_Position': 'OF'}, 'Jose Iglesias_batter': {'Salary': 3000.0, 'projected_FD_points': 2.7359781372110108, 'confidence': 0, 'FD_Position': 'SS'}}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</si>
  <si>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3.2568311404975057, 'confidence': -0.83162253338240544,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</si>
  <si>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'Kole Calhoun_batter': {'Salary': 3500.0, 'projected_FD_points': 2.660240246044653, 'confidence': -0.44409731604828928,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'Chris Iannetta_batter': {'Salary': 2500.0, 'projected_FD_points': 2.2054467316052739, 'confidence': -0.016085270703960708, 'FD_Position': 'C'}, 'Daniel Santana_batter': {'Salary': 3300.0, 'projected_FD_points': 3.0014999527867872, 'confidence': -0.12606377995427187, 'FD_Position': 'SS'}, 'Brett Lawrie_batter': {'Salary': 3000.0, 'projected_FD_points': 2.2240963891022987, 'confidence': -0.00055704146401702737, 'FD_Position': '3B'}}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</si>
  <si>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</si>
  <si>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'Chris Heston_pitcher': {'Salary': 7400.0, 'projected_FD_points': 30.437121464538109, 'confidence': 0, 'FD_Position': 'P'}, 'Giancarlo Stanton_batter': {'Salary': 4800.0, 'projected_FD_points': 3.6824923875161009, 'confidence': -0.12397698286302061, 'FD_Position': 'OF'}, 'Jose Abreu_batter': {'Salary': 3600.0, 'projected_FD_points': 3.7416938350377302, 'confidence': -0.16697885167402737, 'FD_Position': '1B'}}</t>
  </si>
  <si>
    <t>{'Michael Brantley_batter': {'Salary': 4900.0, 'projected_FD_points': 3.8294356441230151, 'confidence': 0.0080406673485461377, 'FD_Position': 'OF'},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'Chris Heston_pitcher': {'Salary': 7400.0, 'projected_FD_points': 30.437121464538109, 'confidence': 0, 'FD_Position': 'P'}}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</si>
  <si>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</si>
  <si>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</si>
  <si>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</si>
  <si>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3.440941563737165, 'confidence': -0.46300905381151791,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</si>
  <si>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3.2584558410240207, 'confidence': -0.15420729875205064, 'FD_Position': 'SS'}, 'Michael Cuddyer_batter': {'Salary': 2700.0, 'projected_FD_points': 2.5032141646818804, 'confidence': -0.76359053694234547, 'FD_Position': 'OF'}, 'Kyle Blanks_batter': {'Salary': 2400.0, 'projected_FD_points': 2.374639207659015, 'confidence': 0.045571133788036122,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</si>
  <si>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13.022404197294508, 'confidence': -1.4658110244044487,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</si>
  <si>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13.022404197294508, 'confidence': -1.4658110244044487,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</si>
  <si>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13.897314497561949, 'confidence': -0.15986205006961773,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</si>
  <si>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</si>
  <si>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'Brandon Belt_batter': {'Salary': 3000.0, 'projected_FD_points': 2.0620174086316112, 'confidence': -0.32300563692838447, 'FD_Position': '1B'}, 'Max Scherzer_pitcher': {'Salary': 11000.0, 'projected_FD_points': 14.226241741979811, 'confidence': 0.19220355856284643, 'FD_Position': 'P'},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'Jon Jay_batter': {'Salary': 2300.0, 'projected_FD_points': 1.6827586206896552, 'confidence': -0.0052266176745943138, 'FD_Position': 'OF'}}</t>
  </si>
  <si>
    <t>{'Michael Brantley_batter': {'Salary': 3800.0, 'projected_FD_points': 3.5861406182471622, 'confidence': 0.050329913181939467, 'FD_Position': 'OF'}, 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'Kyle Seager_batter': {'Salary': 3800.0, 'projected_FD_points': 2.913842422174008, 'confidence': -0.19406221293666714, 'FD_Position': '3B'}, 'Jason Castro_batter': {'Salary': 2500.0, 'projected_FD_points': 2.2602745797505062, 'confidence': -0.19000876031941205, 'FD_Position': 'C'}}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</si>
  <si>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</si>
  <si>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{'Kolten Wong_batter': {'Salary': 3000.0, 'projected_FD_points': 2.6184973630413491, 'confidence': -0.8061865925562417, 'FD_Position': '2B'}, 'Shin-Soo Choo_batter': {'Salary': 2800.0, 'projected_FD_points': 2.1495726495726495, 'confidence': -0.47290710674830549, 'FD_Position': 'OF'}, 'Brandon McCarthy_pitcher': {'Salary': 7900.0, 'projected_FD_points': 12.034147309755602, 'confidence': -0.1168256516037014, 'FD_Position': 'P'},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'Nelson Cruz_batter': {'Salary': 4800.0, 'projected_FD_points': 3.1302011767066231, 'confidence': -0.20206064384321287, 'FD_Position': 'OF'},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</si>
  <si>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</si>
  <si>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3.0006040475129323, 'confidence': -0.51033068465880782, 'FD_Position': 'OF'}}</t>
  </si>
  <si>
    <t>Pitcher Points</t>
  </si>
  <si>
    <t>Batter Points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</si>
  <si>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</si>
  <si>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</si>
  <si>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'Brian Dozier_batter': {'Salary': 3500.0, 'projected_FD_points': 2.8195266272189348, 'confidence': -0.0072010924144130239, 'FD_Position': '2B'}}</t>
  </si>
  <si>
    <t>{'Johnny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</si>
  <si>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9.5992309469889534, 'confidence': 0.096432063142901536,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</si>
  <si>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'Jose Abreu_batter': {'Salary': 3500.0, 'projected_FD_points': 3.4118966675125804, 'confidence': 0.029136635219963902, 'FD_Position': '1B'}}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</si>
  <si>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</si>
  <si>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</si>
  <si>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</si>
  <si>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</si>
  <si>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13.141699717212488, 'confidence': -0.21780266069057763,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</si>
  <si>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</si>
  <si>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</si>
  <si>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11.411547622318182, 'confidence': -1.2195873042143535,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</si>
  <si>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</si>
  <si>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</si>
  <si>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12.048610726279273, 'confidence': -0.2121224899043832,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</si>
  <si>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</si>
  <si>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{'Robinson Chirinos_batter': {'Salary': 2500.0, 'projected_FD_points': 2.3076247759253543, 'confidence': -0.65586840715152439, 'FD_Position': 'C'}, 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'Dexter Fowler_batter': {'Salary': 3300.0, 'projected_FD_points': 3.8739555906887468, 'confidence': -0.0975485654409185, 'FD_Position': 'OF'}, 'Jake Arrieta_pitcher': {'Salary': 9500.0, 'projected_FD_points': 13.394993185567756, 'confidence': -0.82755961630395891, 'FD_Position': 'P'},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'OF'}}</t>
  </si>
  <si>
    <t>{'Robinson Chirinos_batter': {'Salary': 2500.0, 'projected_FD_points': 2.1197970902383148, 'confidence': 0.017370722218850054, 'FD_Position': 'C'}, 'Alex Rodriguez_batter': {'Salary': 3400.0, 'projected_FD_points': 2.9821362953627846, 'confidence': 0.0, 'FD_Position': '3B'}, 'Ian Desmond_batter': {'Salary': 2900.0, 'projected_FD_points': 2.3233550867665347, 'confidence': -0.10887889079815194, 'FD_Position': 'SS'}, 'Devon Travis_batter': {'Salary': 3400.0, 'projected_FD_points': 5.5956958434746831, 'confidence': -0.23548976174222713, 'FD_Position': '2B'}, 'Dexter Fowler_batter': {'Salary': 3300.0, 'projected_FD_points': 4.0549396935698638, 'confidence': -0.14421379862176176, 'FD_Position': 'OF'}, 'Chris Colabello_batter': {'Salary': 2300.0, 'projected_FD_points': 2.7623759165927657, 'confidence': 0.07107887614776609, 'FD_Position': 'OF'}, 'Giancarlo Stanton_batter': {'Salary': 4500.0, 'projected_FD_points': 3.4124203821656049, 'confidence': -0.010241730467420496,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</si>
  <si>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13.065382861362057, 'confidence': -0.71740875831030815, 'FD_Position': 'P'}}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</si>
  <si>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</si>
  <si>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</si>
  <si>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</si>
  <si>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14.150616773528895, 'confidence': -1.0325661990037869, 'FD_Position': 'P'}, 'Jose Abreu_batter': {'Salary': 3600.0, 'projected_FD_points': 3.67820781184259, 'confidence': 0.00039270894701914916, 'FD_Position': '1B'}}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</si>
  <si>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</si>
  <si>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10.865046132008516, 'confidence': -0.35376541270667894,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</si>
  <si>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</si>
  <si>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</si>
  <si>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'Corey Kluber_pitcher': {'Salary': 9500.0, 'projected_FD_points': 14.18624207717113, 'confidence': -0.79432849561020125, 'FD_Position': 'P'},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'1B'}, 'Brandon Crawford_batter': {'Salary': 2500.0, 'projected_FD_points': 2.0950292397660819, 'confidence': -0.57289774504849245, 'FD_Position': 'SS'}}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</si>
  <si>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'Ian Kennedy_pitcher': {'Salary': 7300.0, 'projected_FD_points': 13.40705503654582, 'confidence': -1.5151224174476479, 'FD_Position': 'P'}, 'Russell Martin_batter': {'Salary': 3100.0, 'projected_FD_points': 2.5692492229018344, 'confidence': -0.041911751784286855, 'FD_Position': 'C'}, 'J.D. Martinez_batter': {'Salary': 3500.0, 'projected_FD_points': 3.1852254415209069, 'confidence': -0.10350667363383415, 'FD_Position': 'OF'},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'Jose Abreu_batter': {'Salary': 4000.0, 'projected_FD_points': 3.3698671102130122, 'confidence': -0.049615339015657289, 'FD_Position': '1B'}}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</si>
  <si>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</si>
  <si>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11.095397166165736, 'confidence': -2.2037732398861123, 'FD_Position': 'P'}, 'Alcides Escobar_batter': {'Salary': 2400.0, 'projected_FD_points': 1.707296564112434, 'confidence': -0.055567472854256783,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</si>
  <si>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14.325051958741982, 'confidence': -0.6125132161902731,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</si>
  <si>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</si>
  <si>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'Adam LaRoche_batter': {'Salary': 2700.0, 'projected_FD_points': 2.5454545454545454, 'confidence': -0.00047301670963939557, 'FD_Position': '1B'},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</si>
  <si>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11.903267731154845, 'confidence': -0.074199631298758728,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</si>
  <si>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15.229510191664126, 'confidence': -0.45155721741158228,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</si>
  <si>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{'George Springer_batter': {'Salary': 3500.0, 'projected_FD_points': 2.978431056250737, 'confidence': -0.17562921147420596, 'FD_Position': 'OF'},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</si>
  <si>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</si>
  <si>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</si>
  <si>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14.370618104712708, 'confidence': 0.10589413110540224,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</si>
  <si>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{'Taijuan Walker_pitcher': {'Salary': 6900.0, 'projected_FD_points': 45.599999999999987, 'confidence': 0, 'FD_Position': 'P'}, 'Alex Rodriguez_batter': {'Salary': 3800.0, 'projected_FD_points': 5.0687196090098015, 'confidence': -2.4782044385845734, 'FD_Position': '3B'}, 'Robinson Cano_batter': {'Salary': 4000.0, 'projected_FD_points': 2.8137431546666902, 'confidence': -0.82743759110866955, 'FD_Position': '2B'}, 'Paulo Orlando_batter': {'Salary': 3000.0, 'projected_FD_points': 3.5, 'confidence': 0, 'FD_Position': 'OF'},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</si>
  <si>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</si>
  <si>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'Melky Cabrera_batter': {'Salary': 2700.0, 'projected_FD_points': 2.6896125707527245, 'confidence': -0.11473163201042369, 'FD_Position': 'OF'}, 'Matt Shoemaker_pitcher': {'Salary': 8500.0, 'projected_FD_points': 13.548422934302474, 'confidence': -1.0399398480815916, 'FD_Position': 'P'}, 'Kris Negron_batter': {'Salary': 2400.0, 'projected_FD_points': 2.1304925374804213, 'confidence': -0.061254898637932875, 'FD_Position': '2B'},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'Jose Iglesias_batter': {'Salary': 2900.0, 'projected_FD_points': 2.7501141872843058, 'confidence': -7.072332550726653, 'FD_Position': 'SS'}}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</si>
  <si>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10.866686404401513, 'confidence': 0.15394445745811047,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</si>
  <si>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'Howie Kendrick_batter': {'Salary': 3500.0, 'projected_FD_points': 2.6360157552522736, 'confidence': -0.013815016792890988,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'Marcell Ozuna_batter': {'Salary': 3100.0, 'projected_FD_points': 2.5173007079008034, 'confidence': -0.25437395855758749, 'FD_Position': 'OF'}, 'Jose Abreu_batter': {'Salary': 4100.0, 'projected_FD_points': 3.5218319968118674, 'confidence': 0.026773555970501017, 'FD_Position': '1B'}, 'Michael McKenry_batter': {'Salary': 2200.0, 'projected_FD_points': 2.5331159215907491, 'confidence': -0.1857162343037686, 'FD_Position': 'C'},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</si>
  <si>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'Giancarlo Stanton_batter': {'Salary': 5100.0, 'projected_FD_points': 3.5294325858671032, 'confidence': -0.030565931811103564, 'FD_Position': 'OF'}, 'Trevor May_pitcher': {'Salary': 5600.0, 'projected_FD_points': 12.970265324794145, 'confidence': 0,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</si>
  <si>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13.848908296943232, 'confidence': 0.35280218347528713,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</si>
  <si>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'Trevor Plouffe_batter': {'Salary': 2500.0, 'projected_FD_points': 2.0914971085542344, 'confidence': 0.012749975402643776, 'FD_Position': '3B'}, 'Johnny Cueto_pitcher': {'Salary': 10600.0, 'projected_FD_points': 14.881620591430856, 'confidence': -0.10376032553761005, 'FD_Position': 'P'}, 'Chris Iannetta_batter': {'Salary': 2500.0, 'projected_FD_points': 2.2054467316052739, 'confidence': -0.016085270703960708, 'FD_Position': 'C'}, 'Mark Canha_batter': {'Salary': 3000.0, 'projected_FD_points': 2.25, 'confidence': 0,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'SS'}}</t>
  </si>
  <si>
    <t>{}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</si>
  <si>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'Prince Fielder_batter': {'Salary': 3100.0, 'projected_FD_points': 2.8251261629138829, 'confidence': -0.31940667433629666, 'FD_Position': '1B'}, 'Kurt Suzuki_batter': {'Salary': 2300.0, 'projected_FD_points': 1.7611980943637333, 'confidence': -0.040220596220072125, 'FD_Position': 'C'}, 'Dexter Fowler_batter': {'Salary': 3200.0, 'projected_FD_points': 3.6477946355068225, 'confidence': -0.0067329637569513157, 'FD_Position': 'OF'}, 'Jimmy Rollins_batter': {'Salary': 2700.0, 'projected_FD_points': 2.0484945807770965, 'confidence': 0.085127236441596699, 'FD_Position': 'SS'}, 'Michael Cuddyer_batter': {'Salary': 2500.0, 'projected_FD_points': 2.8236819771269026, 'confidence': -1.8924609654150517, 'FD_Position': 'OF'}}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</si>
  <si>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'Brian Dozier_batter': {'Salary': 3500.0, 'projected_FD_points': 2.8195266272189348, 'confidence': -0.0072010924144130239, 'FD_Position': '2B'}, 'Kurt Suzuki_batter': {'Salary': 2300.0, 'projected_FD_points': 1.7611980943637333, 'confidence': -0.040220596220072125, 'FD_Position': 'C'}, 'Michael Brantley_batter': {'Salary': 4400.0, 'projected_FD_points': 3.9583508584607778, 'confidence': 0.029350321946859603, 'FD_Position': 'OF'},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'Michael Cuddyer_batter': {'Salary': 2500.0, 'projected_FD_points': 2.8236819771269026, 'confidence': -1.8924609654150517, 'FD_Position': 'OF'}}</t>
  </si>
  <si>
    <t>{'Matt Kemp_batter': {'Salary': 3000.0, 'projected_FD_points': 2.3723394669021576, 'confidence': -0.059592752012074701, 'FD_Position': 'OF'},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'Buster Posey_batter': {'Salary': 3400.0, 'projected_FD_points': 2.4981074386651771, 'confidence': -0.017333301642876719, 'FD_Position': 'C'}, 'Mookie Betts_batter': {'Salary': 3400.0, 'projected_FD_points': 2.6893706378221593, 'confidence': -0.35052546458525025, 'FD_Position': 'OF'}, 'Kyle Seager_batter': {'Salary': 3200.0, 'projected_FD_points': 2.6380700779175972, 'confidence': 0.036072276974485451, 'FD_Position': '3B'}, 'Jimmy Rollins_batter': {'Salary': 2700.0, 'projected_FD_points': 2.0484945807770965, 'confidence': 0.085127236441596699, 'FD_Position': 'SS'}, 'Jayson Werth_batter': {'Salary': 2900.0, 'projected_FD_points': 2.656540825005044, 'confidence': -0.0071266835761290004, 'FD_Position': 'OF'}, 'Mike Napoli_batter': {'Salary': 2500.0, 'projected_FD_points': 2.4248120300751879, 'confidence': -0.55307507097164899,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</si>
  <si>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'Dilson Herrera_batter': {'Salary': 2300.0, 'projected_FD_points': 0.55072992700729895, 'confidence': 0.50496068653531878, 'FD_Position': '2B'}, 'Alex Gordon_batter': {'Salary': 3500.0, 'projected_FD_points': 2.4588890323470682, 'confidence': -0.056611267303158241, 'FD_Position': 'OF'}, 'Jon Niese_pitcher': {'Salary': 8400.0, 'projected_FD_points': 9.5992309469889534, 'confidence': 0.096432063142901536, 'FD_Position': 'P'}, 'Welington Castillo_batter': {'Salary': 2200.0, 'projected_FD_points': 1.6831896551724137, 'confidence': -0.39563458437806953, 'FD_Position': 'C'}, 'Michael Cuddyer_batter': {'Salary': 2500.0, 'projected_FD_points': 2.8236819771269026, 'confidence': -1.8924609654150517, 'FD_Position': 'OF'}}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</si>
  <si>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'Brett Lawrie_batter': {'Salary': 2200.0, 'projected_FD_points': 2.1545088137620034, 'confidence': 0.026284878847705029, 'FD_Position': '3B'}, 'Welington Castillo_batter': {'Salary': 2200.0, 'projected_FD_points': 1.5854700854700854, 'confidence': -0.040477949703852101, 'FD_Position': 'C'}, 'Jose Abreu_batter': {'Salary': 3500.0, 'projected_FD_points': 3.6506370997541229, 'confidence': -0.0050831445021732868, 'FD_Position': '1B'}}</t>
  </si>
  <si>
    <t>{'Michael Brantley_batter': {'Salary': 4200.0, 'projected_FD_points': 4.1231368563685642, 'confidence': -0.1389454012825877, 'FD_Position': 'OF'}, 'Melky Cabrera_batter': {'Salary': 2500.0, 'projected_FD_points': 2.4358552631578947, 'confidence': -0.0086701090321974483,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'Wilin Rosario_batter': {'Salary': 2800.0, 'projected_FD_points': 2.2553515625000005, 'confidence': -8.0973029953706721, 'FD_Position': 'C'}, 'Clayton Kershaw_pitcher': {'Salary': 11000.0, 'projected_FD_points': 16.009446682578329, 'confidence': -0.89505786948135513, 'FD_Position': 'P'}, 'Brett Lawrie_batter': {'Salary': 2200.0, 'projected_FD_points': 2.1545088137620034, 'confidence': 0.026284878847705029, 'FD_Position': '3B'}, 'Jose Abreu_batter': {'Salary': 3500.0, 'projected_FD_points': 3.6506370997541229, 'confidence': -0.0050831445021732868, 'FD_Position': '1B'}}</t>
  </si>
  <si>
    <t>{'Kris Bryant_batter': {'Salary': 3800.0, 'projected_FD_points': 3.8187709380234507, 'confidence': -0.75698882441727977, 'FD_Position': '3B'}, 'Jimmy Paredes_batter': {'Salary': 3500.0, 'projected_FD_points': 3.4307963699186144, 'confidence': -0.075533172665657622, 'FD_Position': '2B'}, 'Gerrit Cole_pitcher': {'Salary': 9300.0, 'projected_FD_points': 14.808239277652373, 'confidence': -1.2484743499664561, 'FD_Position': 'P'},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'Dexter Fowler_batter': {'Salary': 3400.0, 'projected_FD_points': 3.8733622456220731, 'confidence': -0.13882959395201833, 'FD_Position': 'OF'},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</si>
  <si>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{'Kris Bryant_batter': {'Salary': 3800.0, 'projected_FD_points': 3.8187709380234507, 'confidence': -0.75698882441727977, 'FD_Position': '3B'}, 'Starlin Castro_batter': {'Salary': 2900.0, 'projected_FD_points': 2.359530085669387, 'confidence': -0.41087257882171246, 'FD_Position': 'SS'},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'Neil Walker_batter': {'Salary': 2900.0, 'projected_FD_points': 2.4172077922077921, 'confidence': -0.00015334403219435799, 'FD_Position': '2B'}, 'J.D. Martinez_batter': {'Salary': 3100.0, 'projected_FD_points': 2.7185700577916583, 'confidence': -0.069022350198146176, 'FD_Position': 'OF'}, 'Kurt Suzuki_batter': {'Salary': 2400.0, 'projected_FD_points': 1.8694135540816836, 'confidence': -1.7661982090601978, 'FD_Position': 'C'}, 'Nick Markakis_batter': {'Salary': 2700.0, 'projected_FD_points': 2.1971428571428571, 'confidence': -0.029509192106594639, 'FD_Position': 'OF'}, 'Dexter Fowler_batter': {'Salary': 3400.0, 'projected_FD_points': 3.8733622456220731, 'confidence': -0.13882959395201833, 'FD_Position': 'OF'}}</t>
  </si>
  <si>
    <t>{'Michael Brantley_batter': {'Salary': 4700.0, 'projected_FD_points': 3.9520420049724434, 'confidence': -0.22718563612905696, 'FD_Position': 'OF'}, 'Russell Martin_batter': {'Salary': 3600.0, 'projected_FD_points': 2.7226192480359148, 'confidence': -0.0019181821642086927, 'FD_Position': 'C'}, 'Ian Desmond_batter': {'Salary': 2500.0, 'projected_FD_points': 2.3097481527691701, 'confidence': -0.0055266217162550646, 'FD_Position': 'SS'}, 'Jimmy Paredes_batter': {'Salary': 3500.0, 'projected_FD_points': 3.4307963699186144, 'confidence': -0.075533172665657622, 'FD_Position': '2B'}, 'Steve Pearce_batter': {'Salary': 2700.0, 'projected_FD_points': 2.8057222103095691, 'confidence': -0.89746155502878588,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</si>
  <si>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{'Jimmy Paredes_batter': {'Salary': 3400.0, 'projected_FD_points': 3.0748630068745642, 'confidence': 0.15487203072947198, 'FD_Position': '2B'}, 'Ian Desmond_batter': {'Salary': 2700.0, 'projected_FD_points': 2.3089522032777592, 'confidence': -0.0027373060567539298, 'FD_Position': 'SS'}, 'Russell Martin_batter': {'Salary': 3500.0, 'projected_FD_points': 2.748062015503876, 'confidence': -0.034487774863337206, 'FD_Position': 'C'}, 'Josh Donaldson_batter': {'Salary': 3600.0, 'projected_FD_points': 3.0853761311668304, 'confidence': 0.054807921565510953, 'FD_Position': '3B'},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'1B'}, 'Michael Cuddyer_batter': {'Salary': 2300.0, 'projected_FD_points': 2.5396751302528631, 'confidence': -0.2251506435723829, 'FD_Position': 'OF'}, 'Melky Cabrera_batter': {'Salary': 2500.0, 'projected_FD_points': 2.6781045751633985, 'confidence': -1.2509573806076846, 'FD_Position': 'OF'}}</t>
  </si>
  <si>
    <t>{'Russell Martin_batter': {'Salary': 3500.0, 'projected_FD_points': 2.748062015503876, 'confidence': -0.034487774863337206, 'FD_Position': 'C'}, 'Neil Walker_batter': {'Salary': 2900.0, 'projected_FD_points': 2.4253966572618051, 'confidence': -0.028786178916851535, 'FD_Position': '2B'}, 'Starlin Castro_batter': {'Salary': 3100.0, 'projected_FD_points': 2.3295488008028311, 'confidence': -0.070535711509659871, 'FD_Position': 'SS'}, 'Delino Deshields Jr._batter': {'Salary': 3400.0, 'projected_FD_points': 2.8013194049649419, 'confidence': -0.17637872238962071, 'FD_Position': 'OF'}, 'Lonnie Chisenhall_batter': {'Salary': 2500.0, 'projected_FD_points': 1.9604430379746836, 'confidence': -0.0022606971363041684, 'FD_Position': '3B'}, 'Prince Fielder_batter': {'Salary': 3500.0, 'projected_FD_points': 3.2634892790918348, 'confidence': -0.20083280096494316, 'FD_Position': '1B'}, 'Colby Rasmus_batter': {'Salary': 2700.0, 'projected_FD_points': 2.0743801652892562, 'confidence': -0.0061178625005928744, 'FD_Position': 'OF'},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'P'}}</t>
  </si>
  <si>
    <t>{'Russell Martin_batter': {'Salary': 3500.0, 'projected_FD_points': 2.748062015503876, 'confidence': -0.034487774863337206, 'FD_Position': 'C'}, 'Ben Revere_batter': {'Salary': 2500.0, 'projected_FD_points': 2.4410834083674691, 'confidence': -0.053163308505803419, 'FD_Position': 'OF'}, 'Jimmy Paredes_batter': {'Salary': 3400.0, 'projected_FD_points': 3.0748630068745642, 'confidence': 0.15487203072947198, 'FD_Position': '2B'}, 'Zack Cozart_batter': {'Salary': 2700.0, 'projected_FD_points': 2.0062467497625498, 'confidence': -0.066921128405876606, 'FD_Position': 'SS'}, 'Josh Donaldson_batter': {'Salary': 3600.0, 'projected_FD_points': 3.0853761311668304, 'confidence': 0.054807921565510953, 'FD_Position': '3B'}, 'Prince Fielder_batter': {'Salary': 3500.0, 'projected_FD_points': 3.2634892790918348, 'confidence': -0.20083280096494316, 'FD_Position': '1B'},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'Michael Cuddyer_batter': {'Salary': 2300.0, 'projected_FD_points': 2.5396751302528631, 'confidence': -0.2251506435723829, 'FD_Position': 'OF'}}</t>
  </si>
  <si>
    <t>{'Ian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'Robinson Cano_batter': {'Salary': 3200.0, 'projected_FD_points': 2.45203488372093, 'confidence': -0.019725413118631963, 'FD_Position': '2B'}, 'Wilin Rosario_batter': {'Salary': 2900.0, 'projected_FD_points': 2.0727711350221401, 'confidence': -0.14603309475606663, 'FD_Position': 'C'}, 'Justin Upton_batter': {'Salary': 4000.0, 'projected_FD_points': 2.9134793920961495, 'confidence': 0.026227921509948793, 'FD_Position': 'OF'}, 'Jose Abreu_batter': {'Salary': 3600.0, 'projected_FD_points': 3.7416938350377302, 'confidence': -0.16697885167402737, 'FD_Position': '1B'}, 'Lance Lynn_pitcher': {'Salary': 8600.0, 'projected_FD_points': 13.141699717212488, 'confidence': -0.21780266069057763, 'FD_Position': 'P'},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</si>
  <si>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'Russell Martin_batter': {'Salary': 3600.0, 'projected_FD_points': 2.6848775999631447, 'confidence': -0.078626985938906602, 'FD_Position': 'C'}, 'J.D. Martinez_batter': {'Salary': 3300.0, 'projected_FD_points': 2.8440096243312101, 'confidence': -0.028526274256548412, 'FD_Position': 'OF'},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</si>
  <si>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'J.D. Martinez_batter': {'Salary': 3300.0, 'projected_FD_points': 2.8440096243312101, 'confidence': -0.028526274256548412, 'FD_Position': 'OF'}, 'Jose Abreu_batter': {'Salary': 3700.0, 'projected_FD_points': 3.5147569188273553, 'confidence': 0.01128766840066675, 'FD_Position': '1B'},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'Michael Cuddyer_batter': {'Salary': 2500.0, 'projected_FD_points': 2.6861903685549748, 'confidence': -2.4440300798841834, 'FD_Position': 'OF'}, 'Victor Martinez_batter': {'Salary': 3300.0, 'projected_FD_points': 2.4268988010009873, 'confidence': -0.033363033355595206, 'FD_Position': 'C'}}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</si>
  <si>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'Seth Smith_batter': {'Salary': 2400.0, 'projected_FD_points': 2.046875, 'confidence': -0.0026493522780925982, 'FD_Position': 'OF'}, 'Robinson Cano_batter': {'Salary': 3400.0, 'projected_FD_points': 2.4289053326194194, 'confidence': -0.032359503786084876, 'FD_Position': '2B'}, 'Corey Dickerson_batter': {'Salary': 4000.0, 'projected_FD_points': 2.653370203940546, 'confidence': -0.14095355604254367, 'FD_Position': 'OF'}, 'James Shields_pitcher': {'Salary': 8700.0, 'projected_FD_points': 11.411547622318182, 'confidence': -1.2195873042143535, 'FD_Position': 'P'}, 'Wilin Rosario_batter': {'Salary': 3000.0, 'projected_FD_points': 1.9186356238339088, 'confidence': -0.20574461120260112, 'FD_Position': 'C'}, 'Kyle Seager_batter': {'Salary': 3000.0, 'projected_FD_points': 2.6964394360210404, 'confidence': 0.014720345575181648, 'FD_Position': '3B'}, 'Troy Tulowitzki_batter': {'Salary': 4400.0, 'projected_FD_points': 3.1086017957613885, 'confidence': 0.056398453189040021,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</si>
  <si>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'Marcus Semien_batter': {'Salary': 3300.0, 'projected_FD_points': 2.61447029945999, 'confidence': -1.3109838895642074, 'FD_Position': 'SS'}, 'Kris Bryant_batter': {'Salary': 3500.0, 'projected_FD_points': 3.0496511232130707, 'confidence': -0.044229927087901411, 'FD_Position': '3B'},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'Coco Crisp_batter': {'Salary': 2200.0, 'projected_FD_points': 2.2457627118644066, 'confidence': -0.73454032424894433, 'FD_Position': 'OF'}, 'Jose Abreu_batter': {'Salary': 3400.0, 'projected_FD_points': 3.444633289444524, 'confidence': 0.0096925796806747178, 'FD_Position': '1B'}}</t>
  </si>
  <si>
    <t>{'Jimmy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'Ian Kennedy_pitcher': {'Salary': 8000.0, 'projected_FD_points': 13.430619469026553, 'confidence': -2.8620188523755008, 'FD_Position': 'P'}, 'J.D. Martinez_batter': {'Salary': 3000.0, 'projected_FD_points': 2.9031093519222426, 'confidence': -0.027420460454168349, 'FD_Position': 'OF'}, 'Marcus Semien_batter': {'Salary': 3300.0, 'projected_FD_points': 2.61447029945999, 'confidence': -1.3109838895642074, 'FD_Position': 'SS'},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</si>
  <si>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'J.D. Martinez_batter': {'Salary': 3000.0, 'projected_FD_points': 2.9031093519222426, 'confidence': -0.027420460454168349, 'FD_Position': 'OF'}, 'Jhonny Peralta_batter': {'Salary': 2900.0, 'projected_FD_points': 2.1091864315705293, 'confidence': -0.057046633618872411, 'FD_Position': 'SS'}, 'Matt Adams_batter': {'Salary': 2400.0, 'projected_FD_points': 2.2676249180180292, 'confidence': -0.58425185673938995, 'FD_Position': '1B'}, 'Victor Martinez_batter': {'Salary': 3500.0, 'projected_FD_points': 2.7149663364194923, 'confidence': 0.10473131829976878, 'FD_Position': 'C'}, 'Lance Lynn_pitcher': {'Salary': 8200.0, 'projected_FD_points': 12.048610726279273, 'confidence': -0.2121224899043832, 'FD_Position': 'P'}, 'Andrew McCutchen_batter': {'Salary': 3800.0, 'projected_FD_points': 3.1307810658189816, 'confidence': -0.037054258823785657, 'FD_Position': 'OF'}}</t>
  </si>
  <si>
    <t>{'Ian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'Kyle Seager_batter': {'Salary': 3000.0, 'projected_FD_points': 2.5955329912880232, 'confidence': -0.041609967579748997, 'FD_Position': '3B'}, 'David Ortiz_batter': {'Salary': 2800.0, 'projected_FD_points': 2.8039215686274508, 'confidence': -6.5254505889900116e-05, 'FD_Position': '1B'}, 'Troy Tulowitzki_batter': {'Salary': 4400.0, 'projected_FD_points': 3.1133499120255035, 'confidence': -0.050557716306483202, 'FD_Position': 'SS'}, 'Giancarlo Stanton_batter': {'Salary': 4500.0, 'projected_FD_points': 3.26839682632346, 'confidence': -0.11146648009942761, 'FD_Position': 'OF'}, 'Coco Crisp_batter': {'Salary': 2200.0, 'projected_FD_points': 2.2457627118644066, 'confidence': -0.73454032424894433, 'FD_Position': 'OF'}, 'Howie Kendrick_batter': {'Salary': 3200.0, 'projected_FD_points': 2.5368705080376963, 'confidence': 0.028674268969427374, 'FD_Position': '2B'}}</t>
  </si>
  <si>
    <t>{'Kris Bryant_batter': {'Salary': 3500.0, 'projected_FD_points': 3.0496511232130707, 'confidence': -0.044229927087901411, 'FD_Position': '3B'}, 'Melky Cabrera_batter': {'Salary': 2700.0, 'projected_FD_points': 2.4774176858714245, 'confidence': -0.0053053648521492747,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'Alcides Escobar_batter': {'Salary': 2500.0, 'projected_FD_points': 1.909758677704265, 'confidence': -0.072279038634674997, 'FD_Position': 'SS'},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</si>
  <si>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{'Alex Rodriguez_batter': {'Salary': 3400.0, 'projected_FD_points': 2.9831301182893539, 'confidence': 0.0, 'FD_Position': '3B'}, 'Dexter Fowler_batter': {'Salary': 3300.0, 'projected_FD_points': 4.0549396935698638, 'confidence': -0.14421379862176176, 'FD_Position': 'OF'}, 'Devon Travis_batter': {'Salary': 3400.0, 'projected_FD_points': 5.2914025747382247, 'confidence': -0.2657808299466875, 'FD_Position': '2B'}, 'Brian McCann_batter': {'Salary': 3100.0, 'projected_FD_points': 2.158380980647189, 'confidence': -0.22117774610730279, 'FD_Position': 'C'}, 'Jimmy Rollins_batter': {'Salary': 2700.0, 'projected_FD_points': 1.9886318471104527, 'confidence': 0.034640918606483218, 'FD_Position': 'SS'}, 'Melky Cabrera_batter': {'Salary': 2800.0, 'projected_FD_points': 2.5570469798657718, 'confidence': -0.028360893248431385,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'P'}, 'Andrew McCutchen_batter': {'Salary': 3800.0, 'projected_FD_points': 3.2056962025316458, 'confidence': -0.061795980864851829, 'FD_Position': 'OF'}}</t>
  </si>
  <si>
    <t>{'Yunel Escobar_batter': {'Salary': 2600.0, 'projected_FD_points': 1.9445031935485577, 'confidence': -0.1055207336584838, 'FD_Position': '3B'}, 'Stephen Vogt_batter': {'Salary': 3500.0, 'projected_FD_points': 2.3823088434045903, 'confidence': -2.603568437572497, 'FD_Position': 'C'}, 'Mike Napoli_batter': {'Salary': 2200.0, 'projected_FD_points': 2.3007671008146242, 'confidence': -0.054220840859357411, 'FD_Position': '1B'}, 'Zack Greinke_pitcher': {'Salary': 10300.0, 'projected_FD_points': 12.767598536195734, 'confidence': -1.5512738006098901, 'FD_Position': 'P'}, 'Christian Yelich_batter': {'Salary': 2700.0, 'projected_FD_points': 2.5070921985815602, 'confidence': -0.047891646578395619, 'FD_Position': 'OF'}, 'Howie Kendrick_batter': {'Salary': 3200.0, 'projected_FD_points': 2.463729368779136, 'confidence': -0.19605432550383273, 'FD_Position': '2B'}, 'Jimmy Rollins_batter': {'Salary': 2700.0, 'projected_FD_points': 1.9886318471104527, 'confidence': 0.034640918606483218, 'FD_Position': 'SS'}, 'Jayson Werth_batter': {'Salary': 3100.0, 'projected_FD_points': 2.5994490878482481, 'confidence': -0.031820407181848642, 'FD_Position': 'OF'}, 'Giancarlo Stanton_batter': {'Salary': 4500.0, 'projected_FD_points': 3.4124203821656049, 'confidence': -0.010241730467420496, 'FD_Position': 'OF'}}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</si>
  <si>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'Marcus Semien_batter': {'Salary': 2700.0, 'projected_FD_points': 2.3050845225553109, 'confidence': -0.030878419952537817, 'FD_Position': 'SS'}, 'Wandy Rodriguez_pitcher': {'Salary': 6000.0, 'projected_FD_points': 14.738330046022355, 'confidence': 0, 'FD_Position': 'P'}, 'Dexter Fowler_batter': {'Salary': 3200.0, 'projected_FD_points': 3.7408502547798292, 'confidence': -0.2029908257879538,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</si>
  <si>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'Dexter Fowler_batter': {'Salary': 3200.0, 'projected_FD_points': 3.7408502547798292, 'confidence': -0.2029908257879538, 'FD_Position': 'OF'},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'Wandy Rodriguez_pitcher': {'Salary': 6000.0, 'projected_FD_points': 14.738330046022355, 'confidence': 0, 'FD_Position': 'P'}, 'Brian McCann_batter': {'Salary': 3200.0, 'projected_FD_points': 1.9459459459459461, 'confidence': -0.051718157979095292, 'FD_Position': 'C'}, 'Jose Abreu_batter': {'Salary': 3500.0, 'projected_FD_points': 3.4453515385289739, 'confidence': -0.12094457311284068, 'FD_Position': '1B'}, 'Ian Desmond_batter': {'Salary': 2900.0, 'projected_FD_points': 2.2840236686390534, 'confidence': -0.020910647323240994, 'FD_Position': 'SS'}}</t>
  </si>
  <si>
    <t>{'Yoenis Cespedes_batter': {'Salary': 3000.0, 'projected_FD_points': 2.5986555018615909, 'confidence': -0.012166092778921556, 'FD_Position': 'OF'}, 'Brandon Belt_batter': {'Salary': 3000.0, 'projected_FD_points': 2.1761465198381846, 'confidence': -0.22046081274962703, 'FD_Position': '1B'}, 'Seth Smith_batter': {'Salary': 2300.0, 'projected_FD_points': 2.0576923076923075, 'confidence': -9.7959013078297019e-05, 'FD_Position': 'OF'}, 'Robinson Cano_batter': {'Salary': 3400.0, 'projected_FD_points': 2.6152285575279532, 'confidence': -0.43814394467802198, 'FD_Position': '2B'},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'Christian Yelich_batter': {'Salary': 2800.0, 'projected_FD_points': 2.3410714285714285, 'confidence': -0.079645513898924492, 'FD_Position': 'OF'},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</si>
  <si>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2.7380005498029876, 'confidence': -8.9099541160875919, 'FD_Position': '3B'}, 'Kolten Wong_batter': {'Salary': 2800.0, 'projected_FD_points': 2.726329067720187, 'confidence': -0.28025135661948219, 'FD_Position': '2B'}, 'Ben Revere_batter': {'Salary': 2700.0, 'projected_FD_points': 2.5810063821026632, 'confidence': -0.048238257684284802, 'FD_Position': 'OF'},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'Buster Posey_batter': {'Salary': 3400.0, 'projected_FD_points': 2.3801169590643276, 'confidence': -0.032089213178429832,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'1B'}}</t>
  </si>
  <si>
    <t>{'Michael Brantley_batter': {'Salary': 4200.0, 'projected_FD_points': 4.2551044230008381, 'confidence': -1.035033692507711, 'FD_Position': 'OF'}, 'Adrian Beltre_batter': {'Salary': 2900.0, 'projected_FD_points': 2.5522151898734178, 'confidence': -0.059277813819986536, 'FD_Position': '3B'},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'Elvis Andrus_batter': {'Salary': 2700.0, 'projected_FD_points': 1.7641646735018259, 'confidence': -0.0086924259241769608, 'FD_Position': 'SS'}, 'Kurt Suzuki_batter': {'Salary': 2200.0, 'projected_FD_points': 1.7210144927536233, 'confidence': -0.001850152308496833, 'FD_Position': 'C'}, 'Jayson Werth_batter': {'Salary': 2900.0, 'projected_FD_points': 2.5609034114359472, 'confidence': -0.013955050937209279, 'FD_Position': 'OF'}}</t>
  </si>
  <si>
    <t>{'Sonny Gray_pitcher': {'Salary': 9400.0, 'projected_FD_points': 13.338943393871315, 'confidence': -2.7325680010606543, 'FD_Position': 'P'}, 'Michael Brantley_batter': {'Salary': 4200.0, 'projected_FD_points': 4.2490422953819769, 'confidence': -0.38925342415170716, 'FD_Position': 'OF'}, 'Devon Travis_batter': {'Salary': 3400.0, 'projected_FD_points': 4.1274165242691545, 'confidence': -0.45653494601609856, 'FD_Position': '2B'}, 'Josh Donaldson_batter': {'Salary': 3600.0, 'projected_FD_points': 3.0050121183771594, 'confidence': 0.02245927570578532, 'FD_Position': '3B'}, 'Jhonny Peralta_batter': {'Salary': 2800.0, 'projected_FD_points': 2.2846820809248554, 'confidence': -0.24073749901736807, 'FD_Position': 'SS'}, 'Mike Napoli_batter': {'Salary': 2300.0, 'projected_FD_points': 2.0997471052108887, 'confidence': -0.1422127924893497, 'FD_Position': '1B'}, 'Dexter Fowler_batter': {'Salary': 3000.0, 'projected_FD_points': 3.0990285852137012, 'confidence': -0.37208531661274535, 'FD_Position': 'OF'}, 'Victor Martinez_batter': {'Salary': 3300.0, 'projected_FD_points': 2.7477617487393253, 'confidence': -0.00073127526129512788, 'FD_Position': 'C'}, 'Kyle Blanks_batter': {'Salary': 2900.0, 'projected_FD_points': 3.016011749975922, 'confidence': -0.089307911359684855, 'FD_Position': 'OF'}}</t>
  </si>
  <si>
    <t>{'Adrian Beltre_batter': {'Salary': 2800.0, 'projected_FD_points': 2.3189102564102564, 'confidence': -0.37749336537807365, 'FD_Position': '3B'}, 'Jimmy Paredes_batter': {'Salary': 3000.0, 'projected_FD_points': 2.9341865739786148, 'confidence': 0.3864233825208474, 'FD_Position': '2B'}, 'Evan Gattis_batter': {'Salary': 3800.0, 'projected_FD_points': 2.4979002116181337, 'confidence': -0.054107297404312416, 'FD_Position': 'C'}, 'Elvis Andrus_batter': {'Salary': 2800.0, 'projected_FD_points': 1.7258281727518745, 'confidence': -0.011705491993634354, 'FD_Position': 'SS'}, 'Prince Fielder_batter': {'Salary': 3300.0, 'projected_FD_points': 2.9195096409952868, 'confidence': 0.040219793199015252, 'FD_Position': '1B'}, 'Starling Marte_batter': {'Salary': 4200.0, 'projected_FD_points': 3.0613016143137397, 'confidence': -0.72186300791990865,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3.0324675324675323, 'confidence': -0.02611111189750126, 'FD_Position': 'OF'}}</t>
  </si>
  <si>
    <t>{'Michael Brantley_batter': {'Salary': 4100.0, 'projected_FD_points': 4.1218340257857644, 'confidence': -0.024788448110874661, 'FD_Position': 'OF'}, 'Russell Martin_batter': {'Salary': 3500.0, 'projected_FD_points': 2.862704918032787, 'confidence': -0.5691060858264072, 'FD_Position': 'C'}, 'Melky Cabrera_batter': {'Salary': 2500.0, 'projected_FD_points': 2.6531484154808549, 'confidence': -0.39754257409883587, 'FD_Position': 'OF'}, 'Jimmy Paredes_batter': {'Salary': 3100.0, 'projected_FD_points': 3.7787197802197801, 'confidence': -1.9162258080740719, 'FD_Position': '2B'}, 'Erick Aybar_batter': {'Salary': 2300.0, 'projected_FD_points': 1.8645221416956594, 'confidence': 0.0052996022492655115, 'FD_Position': 'SS'}, 'Adrian Beltre_batter': {'Salary': 2800.0, 'projected_FD_points': 2.565851122501126, 'confidence': -0.026073571549828811, 'FD_Position': '3B'}, 'Dexter Fowler_batter': {'Salary': 3200.0, 'projected_FD_points': 2.9344751663918682, 'confidence': -0.020582443370838144, 'FD_Position': 'OF'},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</si>
  <si>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2.772904761904762, 'confidence': -0.58786452044899229, 'FD_Position': '3B'}, 'Russell Martin_batter': {'Salary': 3500.0, 'projected_FD_points': 2.7586212798495602, 'confidence': -0.035081595855777747, 'FD_Position': 'C'}, 'Devon Travis_batter': {'Salary': 3700.0, 'projected_FD_points': 4.2543467406380024, 'confidence': 0.062813179498229066, 'FD_Position': '2B'}, 'Jhonny Peralta_batter': {'Salary': 2500.0, 'projected_FD_points': 2.185672514619883, 'confidence': -5.8113721579600153e-05, 'FD_Position': 'SS'}, 'Dexter Fowler_batter': {'Salary': 3300.0, 'projected_FD_points': 3.1979572994806702, 'confidence': -0.025385406292878443, 'FD_Position': 'OF'}, 'Danny Salazar_pitcher': {'Salary': 7700.0, 'projected_FD_points': 13.104156078367083, 'confidence': -0.71771176240888934, 'FD_Position': 'P'}, 'Jose Abreu_batter': {'Salary': 3600.0, 'projected_FD_points': 3.67820781184259, 'confidence': 0.00039270894701914916, 'FD_Position': '1B'}, 'Kyle Blanks_batter': {'Salary': 2900.0, 'projected_FD_points': 3.0785148441548822, 'confidence': -1.0182009814338833, 'FD_Position': 'OF'}}</t>
  </si>
  <si>
    <t>{'Ben Revere_batter': {'Salary': 2400.0, 'projected_FD_points': 2.4795628012530186, 'confidence': -0.25398994186055579, 'FD_Position': 'OF'}, 'Trevor Plouffe_batter': {'Salary': 2600.0, 'projected_FD_points': 2.4719195327455594, 'confidence': -0.34612467141290981, 'FD_Position': '3B'}, 'Devon Travis_batter': {'Salary': 3500.0, 'projected_FD_points': 8.0474011763096698, 'confidence': -0.16828755725800626, 'FD_Position': '2B'}, 'Evan Gattis_batter': {'Salary': 3400.0, 'projected_FD_points': 2.4285371588008058, 'confidence': -0.37511901632045297, 'FD_Position': 'C'}, 'Albert Pujols_batter': {'Salary': 3100.0, 'projected_FD_points': 2.7041861372534983, 'confidence': -0.057457423719035061, 'FD_Position': '1B'}, 'Jhonny Peralta_batter': {'Salary': 2500.0, 'projected_FD_points': 2.1955882352941178, 'confidence': -0.0054653146238508032, 'FD_Position': 'SS'}, 'Clayton Kershaw_pitcher': {'Salary': 11300.0, 'projected_FD_points': 15.997162981803953, 'confidence': -0.36268706190064881, 'FD_Position': 'P'},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</si>
  <si>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'Brian Dozier_batter': {'Salary': 3100.0, 'projected_FD_points': 2.8586956521739131, 'confidence': -0.17713338392948175, 'FD_Position': '2B'}, 'Evan Gattis_batter': {'Salary': 3400.0, 'projected_FD_points': 2.4285371588008058, 'confidence': -0.37511901632045297, 'FD_Position': 'C'}, 'Matt Holliday_batter': {'Salary': 3500.0, 'projected_FD_points': 2.7182859206578507, 'confidence': -0.019755120977987595, 'FD_Position': 'OF'}, 'Jhonny Peralta_batter': {'Salary': 2500.0, 'projected_FD_points': 2.1955882352941178, 'confidence': -0.0054653146238508032, 'FD_Position': 'SS'},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'OF'}, 'Matt Carpenter_batter': {'Salary': 4200.0, 'projected_FD_points': 2.8206744919918547, 'confidence': -0.14369997393293299, 'FD_Position': '3B'}}</t>
  </si>
  <si>
    <t>{'Albert Pujols_batter': {'Salary': 3100.0, 'projected_FD_points': 2.7041861372534983, 'confidence': -0.057457423719035061, 'FD_Position': '1B'}, 'Joe Panik_batter': {'Salary': 2500.0, 'projected_FD_points': 1.7925, 'confidence': -0.092992745259686593, 'FD_Position': '2B'}, 'Seth Smith_batter': {'Salary': 2200.0, 'projected_FD_points': 2.0923913043478262, 'confidence': -0.0033181109169901912, 'FD_Position': 'OF'}, 'Erick Aybar_batter': {'Salary': 2300.0, 'projected_FD_points': 1.8140243902439024, 'confidence': -0.059554958910406297, 'FD_Position': 'SS'}, 'Kole Calhoun_batter': {'Salary': 3500.0, 'projected_FD_points': 2.6851851851851851, 'confidence': -0.23778042624080986, 'FD_Position': 'OF'}, 'Felix Hernandez_pitcher': {'Salary': 11000.0, 'projected_FD_points': 14.565509301897222, 'confidence': 0.56366283665512174, 'FD_Position': 'P'}, 'Buster Posey_batter': {'Salary': 3500.0, 'projected_FD_points': 2.4491017964071857, 'confidence': -0.0010662375977894545, 'FD_Position': 'C'}, 'Kyle Seager_batter': {'Salary': 2800.0, 'projected_FD_points': 2.420417342084983, 'confidence': 0.010515276354053582, 'FD_Position': '3B'}, 'Justin Upton_batter': {'Salary': 4000.0, 'projected_FD_points': 3.0464206166762238, 'confidence': -0.11171153524046318, 'FD_Position': 'OF'}}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</si>
  <si>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'Nolan Arenado_batter': {'Salary': 3700.0, 'projected_FD_points': 2.5598290598290596, 'confidence': -0.15053080138221464, 'FD_Position': '3B'}, 'Mookie Betts_batter': {'Salary': 3000.0, 'projected_FD_points': 2.544776119402985, 'confidence': -0.0017801150714837899, 'FD_Position': 'OF'}, 'Mike Trout_batter': {'Salary': 5500.0, 'projected_FD_points': 3.5389029409040629, 'confidence': 0.0032085042058074276, 'FD_Position': 'OF'}, 'Jimmy Rollins_batter': {'Salary': 2700.0, 'projected_FD_points': 1.9256969186260353, 'confidence': 0.021076446224923773,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</si>
  <si>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'Ben Revere_batter': {'Salary': 2500.0, 'projected_FD_points': 2.6592009318931349, 'confidence': -0.58359581114181469, 'FD_Position': 'OF'}, 'Trevor Plouffe_batter': {'Salary': 2400.0, 'projected_FD_points': 2.2901321698590404, 'confidence': -0.26915172989101888, 'FD_Position': '3B'}, 'Devon Travis_batter': {'Salary': 3400.0, 'projected_FD_points': 4.2283650653088332, 'confidence': -0.38273691105966079, 'FD_Position': '2B'}, 'Jhonny Peralta_batter': {'Salary': 2600.0, 'projected_FD_points': 1.9746570428077017, 'confidence': -0.38550255926375043, 'FD_Position': 'SS'},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'1B'}}</t>
  </si>
  <si>
    <t>{'Yoenis Cespedes_batter': {'Salary': 3200.0, 'projected_FD_points': 2.7388535031847132, 'confidence': -0.30074886746902818, 'FD_Position': 'OF'}, 'Jimmy Paredes_batter': {'Salary': 3200.0, 'projected_FD_points': 3.3542684325192069, 'confidence': 0.44333821816518648, 'FD_Position': '2B'}, 'Evan Gattis_batter': {'Salary': 3000.0, 'projected_FD_points': 2.4096759143357835, 'confidence': -0.058426198129475138, 'FD_Position': 'C'}, 'Prince Fielder_batter': {'Salary': 3100.0, 'projected_FD_points': 2.4683921357892005, 'confidence': -0.0073494121297579262, 'FD_Position': '1B'}, 'A.J. Pollock_batter': {'Salary': 3300.0, 'projected_FD_points': 2.8185941448529062, 'confidence': -2.2915152490146165, 'FD_Position': 'OF'}, 'David Price_pitcher': {'Salary': 10900.0, 'projected_FD_points': 14.668634772551453, 'confidence': -0.27994671998853371, 'FD_Position': 'P'}, 'Adrian Beltre_batter': {'Salary': 2900.0, 'projected_FD_points': 2.5657894736842106, 'confidence': -0.044301482575695328, 'FD_Position': '3B'}, 'Michael Cuddyer_batter': {'Salary': 2700.0, 'projected_FD_points': 2.5032140278933883, 'confidence': -0.76359052516827841, 'FD_Position': 'OF'}, 'Asdrubal Cabrera_batter': {'Salary': 2700.0, 'projected_FD_points': 1.9320893695744981, 'confidence': -0.0012686910186434641, 'FD_Position': 'SS'}}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</si>
  <si>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'Erick Aybar_batter': {'Salary': 2500.0, 'projected_FD_points': 1.8657407407407407, 'confidence': -0.017426588088078621, 'FD_Position': 'SS'}, 'Devon Travis_batter': {'Salary': 3400.0, 'projected_FD_points': 4.2283650653088332, 'confidence': -0.38273691105966079,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</si>
  <si>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'Josh Donaldson_batter': {'Salary': 4000.0, 'projected_FD_points': 2.9723075337450195, 'confidence': -0.013266307660949161, 'FD_Position': '3B'}, 'Troy Tulowitzki_batter': {'Salary': 4300.0, 'projected_FD_points': 3.4106379813933358, 'confidence': -0.086996309374480996, 'FD_Position': 'SS'}, 'Victor Martinez_batter': {'Salary': 3400.0, 'projected_FD_points': 2.7267826042173868, 'confidence': 0.024253717745687964, 'FD_Position': 'C'}, 'Melky Cabrera_batter': {'Salary': 2500.0, 'projected_FD_points': 2.478723404255319, 'confidence': -0.021100852795768343, 'FD_Position': 'OF'}}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</si>
  <si>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'Matt Holliday_batter': {'Salary': 3500.0, 'projected_FD_points': 2.8227272727272728, 'confidence': -0.12090091828049387, 'FD_Position': 'OF'}, 'Lance Lynn_pitcher': {'Salary': 8100.0, 'projected_FD_points': 11.283235368646993, 'confidence': -0.043113418417619176, 'FD_Position': 'P'},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'C'}, 'Jose Abreu_batter': {'Salary': 4000.0, 'projected_FD_points': 3.3698671102130122, 'confidence': -0.049615339015657289, 'FD_Position': '1B'}, 'Alexei Ramirez_batter': {'Salary': 2500.0, 'projected_FD_points': 2.1265822784810124, 'confidence': -2.9520503375124463e-07, 'FD_Position': 'SS'}, 'Andrew McCutchen_batter': {'Salary': 4100.0, 'projected_FD_points': 2.98, 'confidence': -0.28617648219571246, 'FD_Position': 'OF'}}</t>
  </si>
  <si>
    <t>{'Kris Bryant_batter': {'Salary': 3800.0, 'projected_FD_points': 3.21875, 'confidence': 0, 'FD_Position': '3B'}, 'Ben Revere_batter': {'Salary': 2600.0, 'projected_FD_points': 2.4788673105416232, 'confidence': 0.027427239320750418, 'FD_Position': 'OF'}, 'Neil Walker_batter': {'Salary': 3100.0, 'projected_FD_points': 2.5651408450704225, 'confidence': -0.21412084403976994, 'FD_Position': '2B'}, 'Erick Aybar_batter': {'Salary': 2200.0, 'projected_FD_points': 1.8984375, 'confidence': -0.0002419488225244848, 'FD_Position': 'SS'},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'Miguel Montero_batter': {'Salary': 2800.0, 'projected_FD_points': 2.0503731343283582, 'confidence': -0.97600763706465377, 'FD_Position': 'C'}, 'Dexter Fowler_batter': {'Salary': 3400.0, 'projected_FD_points': 3.7033320270663586, 'confidence': -0.1916590570386596, 'FD_Position': 'OF'}, 'Marcell Ozuna_batter': {'Salary': 2700.0, 'projected_FD_points': 2.4513088715625324, 'confidence': -0.044590186079048522, 'FD_Position': 'OF'}}</t>
  </si>
  <si>
    <t>{'Kris Bryant_batter': {'Salary': 3500.0, 'projected_FD_points': 4.3200000000000003, 'confidence': 0, 'FD_Position': '3B'},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'Howie Kendrick_batter': {'Salary': 3200.0, 'projected_FD_points': 2.6322125492144792, 'confidence': -0.0638671926426575, 'FD_Position': '2B'},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'OF'}, 'Jayson Werth_batter': {'Salary': 2700.0, 'projected_FD_points': 2.6308344097257499, 'confidence': 0.0013217735875423742, 'FD_Position': 'OF'}}</t>
  </si>
  <si>
    <t>{'Michael Brantley_batter': {'Salary': 3700.0, 'projected_FD_points': 3.9179029719707565, 'confidence': -0.047200004643616955, 'FD_Position': 'OF'}, 'Johnny Cueto_pitcher': {'Salary': 10400.0, 'projected_FD_points': 14.325051958741982, 'confidence': -0.6125132161902731, 'FD_Position': 'P'}, 'Jayson Werth_batter': {'Salary': 2700.0, 'projected_FD_points': 2.6308344097257499, 'confidence': 0.0013217735875423742, 'FD_Position': 'OF'}, 'Josh Donaldson_batter': {'Salary': 4100.0, 'projected_FD_points': 3.1093504555656875, 'confidence': -0.095210895859278777, 'FD_Position': '3B'}, 'Brian McCann_batter': {'Salary': 2800.0, 'projected_FD_points': 2.1091560444988349, 'confidence': -0.080373707297134667, 'FD_Position': 'C'}, 'David Ortiz_batter': {'Salary': 3300.0, 'projected_FD_points': 2.9283216783216783, 'confidence': -0.039587376593867685, 'FD_Position': '1B'}, 'Marcell Ozuna_batter': {'Salary': 2800.0, 'projected_FD_points': 2.502119319210574, 'confidence': -0.031806611639537463, 'FD_Position': 'OF'}, 'Asdrubal Cabrera_batter': {'Salary': 2200.0, 'projected_FD_points': 1.884172458403917, 'confidence': -0.083489405585210896, 'FD_Position': 'SS'},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</si>
  <si>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'Ben Revere_batter': {'Salary': 2400.0, 'projected_FD_points': 2.6648135225635441, 'confidence': -1.0146909319930946, 'FD_Position': 'OF'}, 'Trevor Plouffe_batter': {'Salary': 2300.0, 'projected_FD_points': 2.0989382963796848, 'confidence': -0.054836055026932673, 'FD_Position': '3B'}, 'Devon Travis_batter': {'Salary': 3300.0, 'projected_FD_points': 5.195582677969564, 'confidence': -0.87894616373838241, 'FD_Position': '2B'}, 'Edwin Encarnacion_batter': {'Salary': 3600.0, 'projected_FD_points': 3.0089880240300806, 'confidence': -0.25703377053227094, 'FD_Position': '1B'}, 'Dexter Fowler_batter': {'Salary': 3400.0, 'projected_FD_points': 3.4554074988448384, 'confidence': -0.65011098909970033, 'FD_Position': 'OF'}, 'Troy Tulowitzki_batter': {'Salary': 4300.0, 'projected_FD_points': 3.2840867681277999, 'confidence': 0.044752008976905899, 'FD_Position': 'SS'},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</si>
  <si>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2.6648135225635441, 'confidence': -1.0146909319930946, 'FD_Position': 'OF'}, 'J.D. Martinez_batter': {'Salary': 3400.0, 'projected_FD_points': 2.9894143220130083, 'confidence': 0.0043223115807011769, 'FD_Position': 'OF'}, 'Howie Kendrick_batter': {'Salary': 3300.0, 'projected_FD_points': 2.7592476236912082, 'confidence': -0.58807561412075438, 'FD_Position': '2B'}, 'Anthony Rizzo_batter': {'Salary': 4200.0, 'projected_FD_points': 3.3424346766742619, 'confidence': -0.093202817658497805, 'FD_Position': '1B'}, 'Jhonny Peralta_batter': {'Salary': 2700.0, 'projected_FD_points': 2.3220858895705523, 'confidence': -0.24633445017646682, 'FD_Position': 'SS'}, 'Dexter Fowler_batter': {'Salary': 3400.0, 'projected_FD_points': 3.4554074988448384, 'confidence': -0.65011098909970033, 'FD_Position': 'OF'},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</si>
  <si>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{'Michael Brantley_batter': {'Salary': 3800.0, 'projected_FD_points': 3.9392753891353931, 'confidence': -0.097910542421715041, 'FD_Position': 'OF'},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'Josh Donaldson_batter': {'Salary': 4200.0, 'projected_FD_points': 3.075777871155287, 'confidence': -0.018190574463531339, 'FD_Position': '3B'}, 'Denard Span_batter': {'Salary': 2700.0, 'projected_FD_points': 2.2928571428571427, 'confidence': -0.019971960424039592, 'FD_Position': 'OF'}, 'Jayson Werth_batter': {'Salary': 2800.0, 'projected_FD_points': 2.7384823296323115, 'confidence': -0.46995222573198125, 'FD_Position': 'OF'}, 'Brian McCann_batter': {'Salary': 2800.0, 'projected_FD_points': 1.9985998037362795, 'confidence': 0.0001314768731500715, 'FD_Position': 'C'}, 'Carlos Santana_batter': {'Salary': 3400.0, 'projected_FD_points': 2.9069966295491478, 'confidence': -0.4625927878266074, 'FD_Position': '1B'}, 'Asdrubal Cabrera_batter': {'Salary': 2200.0, 'projected_FD_points': 1.8815140131502628, 'confidence': -0.10332620385795166, 'FD_Position': 'SS'}}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</si>
  <si>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'Melky Cabrera_batter': {'Salary': 2300.0, 'projected_FD_points': 2.6666666666666665, 'confidence': -0.27254936185292733, 'FD_Position': 'OF'}, 'Devon Travis_batter': {'Salary': 3300.0, 'projected_FD_points': 6.9090860786397457, 'confidence': 0.98604904992372522, 'FD_Position': '2B'}, 'Prince Fielder_batter': {'Salary': 3400.0, 'projected_FD_points': 2.8710778355778119, 'confidence': -3.2021083948613009, 'FD_Position': '1B'}, 'Eduardo Nunez_batter': {'Salary': 2400.0, 'projected_FD_points': 2.2078510731814518, 'confidence': 0.21625337696764446,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</si>
  <si>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{'Francisco Liriano_pitcher': {'Salary': 8000.0, 'projected_FD_points': 11.903267731154845, 'confidence': -0.074199631298758728, 'FD_Position': 'P'}, 'Robinson Cano_batter': {'Salary': 3700.0, 'projected_FD_points': 2.70885698794158, 'confidence': -0.018457880338309307, 'FD_Position': '2B'}, 'Evan Gattis_batter': {'Salary': 2300.0, 'projected_FD_points': 2.1502436128627589, 'confidence': 0.061258345233392353, 'FD_Position': 'C'}, 'Paul Goldschmidt_batter': {'Salary': 4700.0, 'projected_FD_points': 3.3612909861246907, 'confidence': -0.098960555948849338, 'FD_Position': '1B'}, 'Eduardo Nunez_batter': {'Salary': 2400.0, 'projected_FD_points': 2.2078510731814518, 'confidence': 0.21625337696764446, 'FD_Position': 'SS'}, 'Kyle Seager_batter': {'Salary': 3400.0, 'projected_FD_points': 2.5214754691918984, 'confidence': -0.078603729402464184, 'FD_Position': '3B'}, 'Justin Upton_batter': {'Salary': 3400.0, 'projected_FD_points': 2.9337369487632872, 'confidence': 0.018229364749191679, 'FD_Position': 'OF'},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</si>
  <si>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'David Ortiz_batter': {'Salary': 3200.0, 'projected_FD_points': 3.0372340425531914, 'confidence': -0.26524972226960952, 'FD_Position': '1B'}, 'Troy Tulowitzki_batter': {'Salary': 4700.0, 'projected_FD_points': 3.3926596791049364, 'confidence': 0.066521612242159467, 'FD_Position': 'SS'}, 'A.J. Pollock_batter': {'Salary': 3200.0, 'projected_FD_points': 2.8482612274293944, 'confidence': -0.27369391359441986, 'FD_Position': 'OF'}, 'Brandon McCarthy_pitcher': {'Salary': 7800.0, 'projected_FD_points': 13.15632030090973, 'confidence': -0.16228471783976484, 'FD_Position': 'P'}, 'Yasmani Grandal_batter': {'Salary': 2400.0, 'projected_FD_points': 1.8179296014512876, 'confidence': 0.0037547477787887029, 'FD_Position': 'C'}, 'Kyle Seager_batter': {'Salary': 3400.0, 'projected_FD_points': 2.6561907160422757, 'confidence': 0.017752249638904427, 'FD_Position': '3B'}, 'Andrew McCutchen_batter': {'Salary': 4100.0, 'projected_FD_points': 3.1520790827828056, 'confidence': -0.078700890150111613, 'FD_Position': 'OF'}}</t>
  </si>
  <si>
    <t>{'Jayson Werth_batter': {'Salary': 2900.0, 'projected_FD_points': 2.6486340539566973, 'confidence': -0.062162354521277052, 'FD_Position': 'OF'}, 'Lucas Duda_batter': {'Salary': 3700.0, 'projected_FD_points': 3.0079451916823658, 'confidence': -0.30386505080197734, 'FD_Position': '1B'}, 'Daniel Murphy_batter': {'Salary': 2900.0, 'projected_FD_points': 2.0491850946586689, 'confidence': 0.028237445064007938, 'FD_Position': '2B'}, 'Luis Valbuena_batter': {'Salary': 3100.0, 'projected_FD_points': 2.3147154668661081, 'confidence': -0.18247399243912477, 'FD_Position': '3B'}, 'Brian McCann_batter': {'Salary': 2900.0, 'projected_FD_points': 2.0201089999844455, 'confidence': -0.0071876081909261202, 'FD_Position': 'C'}, 'Stephen Strasburg_pitcher': {'Salary': 9600.0, 'projected_FD_points': 15.229510191664126, 'confidence': -0.45155721741158228, 'FD_Position': 'P'}, 'Michael Cuddyer_batter': {'Salary': 3000.0, 'projected_FD_points': 2.9177889667337649, 'confidence': -0.58954669074150545, 'FD_Position': 'OF'}, 'Asdrubal Cabrera_batter': {'Salary': 2200.0, 'projected_FD_points': 1.8846965331848213, 'confidence': -0.043945961778980802, 'FD_Position': 'SS'}, 'Giancarlo Stanton_batter': {'Salary': 4700.0, 'projected_FD_points': 3.578125, 'confidence': -0.23148090631162166,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</si>
  <si>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'Melky Cabrera_batter': {'Salary': 2700.0, 'projected_FD_points': 2.6512414665760318, 'confidence': -0.10918133859871104, 'FD_Position': 'OF'}, 'Evan Gattis_batter': {'Salary': 2600.0, 'projected_FD_points': 2.3393240974845781, 'confidence': -0.31977810008546981, 'FD_Position': 'C'}, 'Devon Travis_batter': {'Salary': 3100.0, 'projected_FD_points': 10.468691588785045, 'confidence': -0.68437323762170243, 'FD_Position': '2B'},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'David Ortiz_batter': {'Salary': 3600.0, 'projected_FD_points': 2.8420862125350981, 'confidence': -0.38928760513533334, 'FD_Position': '1B'}, 'Michael Pineda_pitcher': {'Salary': 8700.0, 'projected_FD_points': 13.963084112149524, 'confidence': -3.1355623122716914, 'FD_Position': 'P'}}</t>
  </si>
  <si>
    <t>{'Albert Pujols_batter': {'Salary': 3500.0, 'projected_FD_points': 2.67535187385776, 'confidence': -0.0093620989681606481, 'FD_Position': '1B'},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'Seth Smith_batter': {'Salary': 2300.0, 'projected_FD_points': 2.180244780826238, 'confidence': -0.52366719513961857, 'FD_Position': 'OF'}, 'Evan Gattis_batter': {'Salary': 2600.0, 'projected_FD_points': 2.3393240974845781, 'confidence': -0.31977810008546981, 'FD_Position': 'C'}, 'Daniel Santana_batter': {'Salary': 2900.0, 'projected_FD_points': 2.614824112021858, 'confidence': -0.040405978815786447, 'FD_Position': 'SS'}, 'Kyle Seager_batter': {'Salary': 3700.0, 'projected_FD_points': 3.0309259677089, 'confidence': -0.15155461349119603, 'FD_Position': '3B'}, 'Justin Upton_batter': {'Salary': 3900.0, 'projected_FD_points': 3.0229799293386215, 'confidence': -0.34458239230761101, 'FD_Position': 'OF'}, 'Andrew McCutchen_batter': {'Salary': 4300.0, 'projected_FD_points': 3.3043051923025395, 'confidence': -0.016188456915225302, 'FD_Position': 'OF'}}</t>
  </si>
  <si>
    <t>{'Joe Panik_batter': {'Salary': 2800.0, 'projected_FD_points': 1.6451612903225807, 'confidence': -0.041802431313284982, 'FD_Position': '2B'}, 'Melky Cabrera_batter': {'Salary': 2700.0, 'projected_FD_points': 2.6512414665760318, 'confidence': -0.10918133859871104, 'FD_Position': 'OF'}, 'Matt Holliday_batter': {'Salary': 3500.0, 'projected_FD_points': 2.6656249999999999, 'confidence': -0.010177851305738006,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'Adam Eaton_batter': {'Salary': 2500.0, 'projected_FD_points': 2.6066080338926314, 'confidence': -1.0923874130781543, 'FD_Position': 'OF'},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</si>
  <si>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{'Brandon Belt_batter': {'Salary': 3000.0, 'projected_FD_points': 2.0620174086316112, 'confidence': -0.32300563692838447, 'FD_Position': '1B'}, 'Jason Heyward_batter': {'Salary': 3300.0, 'projected_FD_points': 2.2196552721533784, 'confidence': -0.00032000778973140243, 'FD_Position': 'OF'}, 'Howie Kendrick_batter': {'Salary': 3800.0, 'projected_FD_points': 2.8290025110399166, 'confidence': -0.16736973410578471, 'FD_Position': '2B'},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'Yangervis Solarte_batter': {'Salary': 2700.0, 'projected_FD_points': 1.8680109640501463, 'confidence': -0.041150711487361491, 'FD_Position': '3B'}, 'Buster Posey_batter': {'Salary': 4000.0, 'projected_FD_points': 2.5108231119339659, 'confidence': -0.33188878256196186, 'FD_Position': 'C'},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</si>
  <si>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'Melky Cabrera_batter': {'Salary': 2700.0, 'projected_FD_points': 2.4797794117647061, 'confidence': -0.024576816706825433, 'FD_Position': 'OF'}, 'Desmond Jennings_batter': {'Salary': 2900.0, 'projected_FD_points': 2.0815885808910943, 'confidence': -0.37099541107078382, 'FD_Position': 'OF'}, 'David Ortiz_batter': {'Salary': 3500.0, 'projected_FD_points': 2.8381294964028778, 'confidence': -0.010507039803437479, 'FD_Position': '1B'}, 'Josh Donaldson_batter': {'Salary': 4500.0, 'projected_FD_points': 3.0712222828886144, 'confidence': -0.0088797942572380606, 'FD_Position': '3B'}, 'Stephen Vogt_batter': {'Salary': 3500.0, 'projected_FD_points': 2.044053300728244, 'confidence': -0.018944420534714901, 'FD_Position': 'C'}, 'Asdrubal Cabrera_batter': {'Salary': 2400.0, 'projected_FD_points': 1.9474557906826542, 'confidence': 0.0050536017915190357, 'FD_Position': 'SS'}, 'Chris Sale_pitcher': {'Salary': 10200.0, 'projected_FD_points': 14.552606635071092, 'confidence': -0.21846653616757039, 'FD_Position': 'P'}}</t>
  </si>
  <si>
    <t>{'Joe Kelly_pitcher': {'Salary': 7100.0, 'projected_FD_points': 12.570137606981042, 'confidence': -2.8177273126180111, 'FD_Position': 'P'}, 'Michael Brantley_batter': {'Salary': 3800.0, 'projected_FD_points': 3.5861406182471622, 'confidence': 0.050329913181939467, 'FD_Position': 'OF'}, 'Odubel Herrera_batter': {'Salary': 3000.0, 'projected_FD_points': 3.8538461538461535, 'confidence': 0.94067500659575265, 'FD_Position': 'OF'}, 'Neil Walker_batter': {'Salary': 3200.0, 'projected_FD_points': 2.5444444444444443, 'confidence': -0.1844654241670225, 'FD_Position': '2B'}, 'Evan Gattis_batter': {'Salary': 2800.0, 'projected_FD_points': 2.2854941566479758, 'confidence': 0.01119946757731749, 'FD_Position': 'C'},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'Kyle Seager_batter': {'Salary': 3800.0, 'projected_FD_points': 2.913842422174008, 'confidence': -0.19406221293666714, 'FD_Position': '3B'}, 'Jose Abreu_batter': {'Salary': 4300.0, 'projected_FD_points': 3.4706781070174131, 'confidence': 0.0094908009027494522, 'FD_Position': '1B'}}</t>
  </si>
  <si>
    <t>{'Odubel Herrera_batter': {'Salary': 3000.0, 'projected_FD_points': 3.8538461538461535, 'confidence': 0.94067500659575265, 'FD_Position': 'OF'}, 'Yangervis Solarte_batter': {'Salary': 2700.0, 'projected_FD_points': 1.9748062015503876, 'confidence': -0.14071715084086622, 'FD_Position': '3B'}, 'Brian Dozier_batter': {'Salary': 3000.0, 'projected_FD_points': 2.4165182514518584, 'confidence': -0.0031708595791439809, 'FD_Position': '2B'}, 'Seth Smith_batter': {'Salary': 2400.0, 'projected_FD_points': 1.9784685734766376, 'confidence': -0.07389969564719534, 'FD_Position': 'OF'}, 'Evan Gattis_batter': {'Salary': 2800.0, 'projected_FD_points': 2.2854941566479758, 'confidence': 0.01119946757731749, 'FD_Position': 'C'},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'OF'}}</t>
  </si>
  <si>
    <t>{'Adrian Beltre_batter': {'Salary': 3400.0, 'projected_FD_points': 2.5244249962872272, 'confidence': -0.17741450500528466, 'FD_Position': '3B'}, 'Aaron Hill_batter': {'Salary': 2300.0, 'projected_FD_points': 1.607067687938192, 'confidence': -0.044534081863633279, 'FD_Position': '2B'}, 'Evan Gattis_batter': {'Salary': 2800.0, 'projected_FD_points': 2.2854941566479758, 'confidence': 0.01119946757731749, 'FD_Position': 'C'}, 'Erick Aybar_batter': {'Salary': 2800.0, 'projected_FD_points': 1.9448051948051948, 'confidence': -1.1328755126882584e-05, 'FD_Position': 'SS'}, 'Seth Smith_batter': {'Salary': 2400.0, 'projected_FD_points': 1.9784685734766376, 'confidence': -0.07389969564719534, 'FD_Position': 'OF'}, 'Mark Canha_batter': {'Salary': 3000.0, 'projected_FD_points': 2.3055555555555554, 'confidence': -5.2390123456790105, 'FD_Position': 'OF'}, 'Prince Fielder_batter': {'Salary': 3600.0, 'projected_FD_points': 2.9619039197401849, 'confidence': -1.5483178349049216, 'FD_Position': '1B'}, 'Clayton Kershaw_pitcher': {'Salary': 12000.0, 'projected_FD_points': 15.981246079866192, 'confidence': -0.56067374754584409, 'FD_Position': 'P'}, 'Austin Jackson_batter': {'Salary': 2700.0, 'projected_FD_points': 1.927379039421995, 'confidence': -0.11947768229667743, 'FD_Position': 'OF'}}</t>
  </si>
  <si>
    <t>{'Michael Brantley_batter': {'Salary': 3800.0, 'projected_FD_points': 3.3650850028308299, 'confidence': 0.020244066402087424, 'FD_Position': 'OF'}, 'Taijuan Walker_pitcher': {'Salary': 6900.0, 'projected_FD_points': 45.599999999999987, 'confidence': 0, 'FD_Position': 'P'}, 'Alex Rodriguez_batter': {'Salary': 3800.0, 'projected_FD_points': 4.6066666666666674, 'confidence': -2.5490858729548473, 'FD_Position': '3B'}, 'Brian Dozier_batter': {'Salary': 3000.0, 'projected_FD_points': 2.5281183384157484, 'confidence': -0.0028574880997391805, 'FD_Position': '2B'}, 'Evan Gattis_batter': {'Salary': 2800.0, 'projected_FD_points': 2.2970423164551992, 'confidence': -0.23488308382789258, 'FD_Position': 'C'},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'1B'}, 'Michael Cuddyer_batter': {'Salary': 3400.0, 'projected_FD_points': 3.0284057823477561, 'confidence': -0.3235943296585293, 'FD_Position': 'OF'}}</t>
  </si>
  <si>
    <t>{'Michael Brantley_batter': {'Salary': 3800.0, 'projected_FD_points': 3.3650850028308299, 'confidence': 0.020244066402087424, 'FD_Position': 'OF'}, 'Melky Cabrera_batter': {'Salary': 2700.0, 'projected_FD_points': 2.7922035919670924, 'confidence': -0.48305693050610654, 'FD_Position': 'OF'}, 'Torii Hunter_batter': {'Salary': 3000.0, 'projected_FD_points': 2.1781676446075751, 'confidence': -0.13237319276182902,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3.3477350938520436, 'confidence': -0.12948768583677062,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'Brian Dozier_batter': {'Salary': 3000.0, 'projected_FD_points': 2.5281183384157484, 'confidence': -0.0028574880997391805, 'FD_Position': '2B'}}</t>
  </si>
  <si>
    <t>{'Michael Brantley_batter': {'Salary': 3900.0, 'projected_FD_points': 3.9058435321456249, 'confidence': -0.19870881780308935, 'FD_Position': 'OF'}, 'Alex Rodriguez_batter': {'Salary': 3700.0, 'projected_FD_points': 4.916666666666667, 'confidence': -0.67324128862590427, 'FD_Position': '3B'}, 'Brian Dozier_batter': {'Salary': 3100.0, 'projected_FD_points': 2.4695576228413083, 'confidence': 0.0021332165964260685, 'FD_Position': '2B'}, 'Evan Gattis_batter': {'Salary': 2800.0, 'projected_FD_points': 2.266419109547162, 'confidence': -0.16353734134282161, 'FD_Position': 'C'}, 'Matt Shoemaker_pitcher': {'Salary': 8500.0, 'projected_FD_points': 13.548422934302474, 'confidence': -1.0399398480815916, 'FD_Position': 'P'}, 'Daniel Santana_batter': {'Salary': 3100.0, 'projected_FD_points': 2.6746979039479042, 'confidence': 0.026689054472404772, 'FD_Position': 'SS'},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'Melky Cabrera_batter': {'Salary': 2700.0, 'projected_FD_points': 2.6896125707527245, 'confidence': -0.11473163201042369, 'FD_Position': 'OF'}}</t>
  </si>
  <si>
    <t>{'Michael Brantley_batter': {'Salary': 3900.0, 'projected_FD_points': 3.9058435321456249, 'confidence': -0.19870881780308935, 'FD_Position': 'OF'}, 'Adam Eaton_batter': {'Salary': 2600.0, 'projected_FD_points': 2.2773109243697478, 'confidence': -0.40521580844026706,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'Derek Norris_batter': {'Salary': 2800.0, 'projected_FD_points': 1.8650793650793651, 'confidence': -0.002224577813243922, 'FD_Position': 'C'}, 'Jorge De La Rosa_pitcher': {'Salary': 6800.0, 'projected_FD_points': 10.866686404401513, 'confidence': 0.15394445745811047, 'FD_Position': 'P'},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</si>
  <si>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'Russell Martin_batter': {'Salary': 3300.0, 'projected_FD_points': 2.7765443214445753, 'confidence': -0.018853077404436869, 'FD_Position': 'C'},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'Jose Abreu_batter': {'Salary': 4100.0, 'projected_FD_points': 3.5218319968118674, 'confidence': 0.026773555970501017, 'FD_Position': '1B'}, 'Asdrubal Cabrera_batter': {'Salary': 2700.0, 'projected_FD_points': 1.908769455369562, 'confidence': 0.0015870132182017604, 'FD_Position': 'SS'}, 'Melky Cabrera_batter': {'Salary': 2500.0, 'projected_FD_points': 2.5075964719048285, 'confidence': -0.098202483231013993, 'FD_Position': 'OF'}}</t>
  </si>
  <si>
    <t>{'Brandon McCarthy_pitcher': {'Salary': 7900.0, 'projected_FD_points': 11.841746399702346, 'confidence': -0.12332584766830768, 'FD_Position': 'P'}, 'Prince Fielder_batter': {'Salary': 3700.0, 'projected_FD_points': 2.7158093133591135, 'confidence': -0.003463732448129031, 'FD_Position': '1B'}, 'Jhonny Peralta_batter': {'Salary': 3100.0, 'projected_FD_points': 2.2484076433121021, 'confidence': -0.03904402645421734, 'FD_Position': 'SS'}, 'A.J. Pollock_batter': {'Salary': 3500.0, 'projected_FD_points': 2.9925817200888609, 'confidence': -0.73028899488771626, 'FD_Position': 'OF'}, 'Buster Posey_batter': {'Salary': 4100.0, 'projected_FD_points': 2.46579812436313, 'confidence': -0.0083413732002017849, 'FD_Position': 'C'}, 'Austin Jackson_batter': {'Salary': 2500.0, 'projected_FD_points': 2.019173165544133, 'confidence': -0.28642767396792279, 'FD_Position': 'OF'}, 'Kyle Seager_batter': {'Salary': 3400.0, 'projected_FD_points': 2.6875173552435672, 'confidence': -0.13971771981771908, 'FD_Position': '3B'}, 'Mark Trumbo_batter': {'Salary': 3300.0, 'projected_FD_points': 2.3411764705882354, 'confidence': -1.1922827165876604, 'FD_Position': 'OF'}, 'Howie Kendrick_batter': {'Salary': 3500.0, 'projected_FD_points': 2.6360157552522736, 'confidence': -0.013815016792890988, 'FD_Position': '2B'}}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</si>
  <si>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2.8451315812800271, 'confidence': -0.11186441540772396, 'FD_Position': '2B'}, 'Robbie Grossman_batter': {'Salary': 2500.0, 'projected_FD_points': 2.4814088009514541, 'confidence': -0.15594643907222294, 'FD_Position': 'OF'}, 'Prince Fielder_batter': {'Salary': 3600.0, 'projected_FD_points': 2.945687530803351, 'confidence': -0.22892194409032762, 'FD_Position': '1B'}, 'Christian Yelich_batter': {'Salary': 3500.0, 'projected_FD_points': 2.6121323529411766, 'confidence': -0.16953073716403422, 'FD_Position': 'OF'}, 'Michael Cuddyer_batter': {'Salary': 3300.0, 'projected_FD_points': 2.7389890315315113, 'confidence': -0.087282720011896409, 'FD_Position': 'OF'}, 'Asdrubal Cabrera_batter': {'Salary': 2800.0, 'projected_FD_points': 1.9736536672984177, 'confidence': 0.017012555834250209, 'FD_Position': 'SS'}, 'Jacob deGrom_pitcher': {'Salary': 9400.0, 'projected_FD_points': 12.795259585260332, 'confidence': -0.17851706471159612, 'FD_Position': 'P'}}</t>
  </si>
  <si>
    <t>{'Evan Gattis_batter': {'Salary': 2900.0, 'projected_FD_points': 2.069735739980092, 'confidence': 0.0094662313681341814, 'FD_Position': 'C'}, 'Devon Travis_batter': {'Salary': 2800.0, 'projected_FD_points': 7.9374999999999982, 'confidence': 0, 'FD_Position': '2B'}, 'Jeff Francoeur_batter': {'Salary': 2300.0, 'projected_FD_points': 1.8658517350157731, 'confidence': -0.1903687314710083, 'FD_Position': 'OF'},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'Kyle Seager_batter': {'Salary': 3500.0, 'projected_FD_points': 2.6346287984129213, 'confidence': -0.07032123781365307, 'FD_Position': '3B'}, 'Michael Cuddyer_batter': {'Salary': 3000.0, 'projected_FD_points': 2.8005659868239587, 'confidence': -0.28675649870862174, 'FD_Position': 'OF'}}</t>
  </si>
  <si>
    <t>{'Joe Panik_batter': {'Salary': 2300.0, 'projected_FD_points': 1.5738636363636365, 'confidence': -0.089375022990901831, 'FD_Position': '2B'}, 'Elvis Andrus_batter': {'Salary': 3100.0, 'projected_FD_points': 1.5930565111958088, 'confidence': -0.28825118889222656, 'FD_Position': 'SS'}, 'Casey McGehee_batter': {'Salary': 2800.0, 'projected_FD_points': 1.8926174496644295, 'confidence': -0.0050090015659340903, 'FD_Position': '3B'},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'Austin Jackson_batter': {'Salary': 2600.0, 'projected_FD_points': 2.0068379021209339, 'confidence': -0.19867171363029223, 'FD_Position': 'OF'}, 'Yasmani Grandal_batter': {'Salary': 2900.0, 'projected_FD_points': 1.7941810433143464, 'confidence': -0.39922606431304297, 'FD_Position': 'C'}, 'David Peralta_batter': {'Salary': 2800.0, 'projected_FD_points': 2.2283989505805617, 'confidence': -1.8916707291086547,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</si>
  <si>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'Evan Gattis_batter': {'Salary': 2900.0, 'projected_FD_points': 2.069735739980092, 'confidence': 0.0094662313681341814, 'FD_Position': 'C'},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'Todd Frazier_batter': {'Salary': 3600.0, 'projected_FD_points': 2.6017782923933606, 'confidence': -0.022991950543425954, 'FD_Position': '3B'}, 'Daniel Santana_batter': {'Salary': 3300.0, 'projected_FD_points': 3.0014999527867872, 'confidence': -0.12606377995427187, 'FD_Position': 'SS'}, 'Michael Bourn_batter': {'Salary': 2700.0, 'projected_FD_points': 2.0367647058823528, 'confidence': -0.19120483784083997, 'FD_Position': 'OF'}}</t>
  </si>
  <si>
    <t>FD Median</t>
  </si>
  <si>
    <t>FD Median, HR</t>
  </si>
  <si>
    <t>FD Median, HR, BH</t>
  </si>
  <si>
    <t>FD Median, HR, [BH only for batters]</t>
  </si>
  <si>
    <t>FD Median, [HR &amp; BH only for batters]</t>
  </si>
  <si>
    <t>FD Median, [BH only for batters], Batting order less than or equal to 5</t>
  </si>
  <si>
    <t>Average</t>
  </si>
  <si>
    <t>Std. Dev</t>
  </si>
  <si>
    <t>Median</t>
  </si>
  <si>
    <t>{'Kris Bryant_batter': {'Salary': 4000.0, 'projected_FD_points': 6.3459763057688887, 'confidence': -7.9261025718612217,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'Eduardo Escobar_batter': {'Salary': 2700.0, 'projected_FD_points': 56.635219330717256, 'confidence': -0.067237313355081874, 'FD_Position': 'SS'}, 'Michael Cuddyer_batter': {'Salary': 2500.0, 'projected_FD_points': 4.4818633210921979, 'confidence': -1.9854887347798074, 'FD_Position': 'OF'}, 'Mike Pelfrey_pitcher': {'Salary': 6400.0, 'projected_FD_points': 4249.0314097471173, 'confidence': 0, 'FD_Position': 'P'}, 'Brian McCann_batter': {'Salary': 3100.0, 'projected_FD_points': 2.3475184317586262, 'confidence': -0.04100203055191165, 'FD_Position': 'C'}, 'Nelson Cruz_batter': {'Salary': 5000.0, 'projected_FD_points': 3.2706282153736979, 'confidence': 0.10245338061814324, 'FD_Position': 'OF'}, 'Joe Mauer_batter': {'Salary': 2800.0, 'projected_FD_points': 179.11676778147714, 'confidence': -0.14667701782754405, 'FD_Position': '1B'}}</t>
  </si>
  <si>
    <t>{'Kris Bryant_batter': {'Salary': 4000.0, 'projected_FD_points': 6.3459763057688887, 'confidence': -7.9261025718612217, 'FD_Position': '3B'}, 'Michael Brantley_batter': {'Salary': 4400.0, 'projected_FD_points': 3.0515394391193782, 'confidence': -0.10532914020475692, 'FD_Position': 'OF'}, 'Brian Dozier_batter': {'Salary': 3500.0, 'projected_FD_points': 243.88271565662754, 'confidence': 0.043010658227704668, 'FD_Position': '2B'}, 'Eduardo Escobar_batter': {'Salary': 2700.0, 'projected_FD_points': 56.635219330717256, 'confidence': -0.067237313355081874, 'FD_Position': 'SS'}, 'Matt Holliday_batter': {'Salary': 3800.0, 'projected_FD_points': 2.7489518241100379, 'confidence': -0.025225808969060015, 'FD_Position': 'OF'}, 'Mike Pelfrey_pitcher': {'Salary': 6400.0, 'projected_FD_points': 4249.0314097471173, 'confidence': 0, 'FD_Position': 'P'}, 'Dexter Fowler_batter': {'Salary': 3200.0, 'projected_FD_points': 3.1852364275375331, 'confidence': -0.018329146751913106, 'FD_Position': 'OF'}, 'Welington Castillo_batter': {'Salary': 2200.0, 'projected_FD_points': 1.6632295134270081, 'confidence': -0.32535055160179738, 'FD_Position': 'C'}, 'Joe Mauer_batter': {'Salary': 2800.0, 'projected_FD_points': 179.11676778147714, 'confidence': -0.14667701782754405, 'FD_Position': '1B'}}</t>
  </si>
  <si>
    <t>{'Johnny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'Brad Miller_batter': {'Salary': 2300.0, 'projected_FD_points': 1.3638823883226709, 'confidence': -0.10460816218363167, 'FD_Position': 'SS'}, 'Kyle Seager_batter': {'Salary': 3200.0, 'projected_FD_points': 2.9643477634156055, 'confidence': -0.13142020569061996, 'FD_Position': '3B'}, 'Justin Upton_batter': {'Salary': 4100.0, 'projected_FD_points': 2.9238263201196539, 'confidence': -0.031321200578203978, 'FD_Position': 'OF'}, 'Mike Napoli_batter': {'Salary': 2500.0, 'projected_FD_points': 2.8908355148463429, 'confidence': -0.24608745202867421, 'FD_Position': '1B'}, 'Jayson Werth_batter': {'Salary': 2900.0, 'projected_FD_points': 2.6201269741176478, 'confidence': -0.036582118260169771, 'FD_Position': 'OF'}}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</si>
  <si>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'Dilson Herrera_batter': {'Salary': 2300.0, 'projected_FD_points': 0.85646884500814391, 'confidence': 0.6565174947108201, 'FD_Position': '2B'},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'OF'}}</t>
  </si>
  <si>
    <t>{'Kris Bryant_batter': {'Salary': 3900.0, 'projected_FD_points': 5.1953417656197463, 'confidence': -1.2885182219175544, 'FD_Position': '3B'}, 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</si>
  <si>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'Adam Jones_batter': {'Salary': 3600.0, 'projected_FD_points': 3.1403281177360038, 'confidence': -0.090504176031027006, 'FD_Position': 'OF'},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</si>
  <si>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'Ian Desmond_batter': {'Salary': 2500.0, 'projected_FD_points': 2.4839770127749268, 'confidence': -0.05555050845123799, 'FD_Position': 'SS'},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'Kurt Suzuki_batter': {'Salary': 2400.0, 'projected_FD_points': 2.0034982206230323, 'confidence': -0.88849218920432338, 'FD_Position': 'C'}, 'Justin Turner_batter': {'Salary': 2600.0, 'projected_FD_points': 2.2278058815540831, 'confidence': -0.022089491761452029, 'FD_Position': '2B'},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'Michael Cuddyer_batter': {'Salary': 2400.0, 'projected_FD_points': 2.5128855071578613, 'confidence': 0.21877519029459314, 'FD_Position': 'OF'}}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</si>
  <si>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'Jhonny Peralta_batter': {'Salary': 2900.0, 'projected_FD_points': 2.4737141747828395, 'confidence': -0.29213387288775539, 'FD_Position': 'SS'}, 'Kurt Suzuki_batter': {'Salary': 2400.0, 'projected_FD_points': 2.0034982206230323, 'confidence': -0.88849218920432338, 'FD_Position': 'C'}, 'Nick Markakis_batter': {'Salary': 2700.0, 'projected_FD_points': 2.2202856212253339, 'confidence': -0.06683354047904233, 'FD_Position': 'OF'},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'OF'}}</t>
  </si>
  <si>
    <t>{'Adrian Beltre_batter': {'Salary': 3000.0, 'projected_FD_points': 3.4624039219449321, 'confidence': -0.28098242448340116, 'FD_Position': '3B'}, 'Russell Martin_batter': {'Salary': 3600.0, 'projected_FD_points': 2.5645738215914848, 'confidence': -0.0073821169756989047, 'FD_Position': 'C'}, 'Ian Desmond_batter': {'Salary': 2500.0, 'projected_FD_points': 2.4839770127749268, 'confidence': -0.05555050845123799, 'FD_Position': 'SS'}, 'Justin Turner_batter': {'Salary': 2600.0, 'projected_FD_points': 2.2278058815540831, 'confidence': -0.022089491761452029, 'FD_Position': '2B'},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'Felix Hernandez_pitcher': {'Salary': 11500.0, 'projected_FD_points': 17.231352612474012, 'confidence': -0.18450144621978826, 'FD_Position': 'P'}, 'Michael Cuddyer_batter': {'Salary': 2400.0, 'projected_FD_points': 2.5128855071578613, 'confidence': 0.21877519029459314, 'FD_Position': 'OF'}, 'Jose Abreu_batter': {'Salary': 3500.0, 'projected_FD_points': 3.6237672609709115, 'confidence': -0.40778296808061065, 'FD_Position': '1B'}}</t>
  </si>
  <si>
    <t>{'Shane Victorino_batter': {'Salary': 2500.0, 'projected_FD_points': 3.2114057647419063, 'confidence': -7.5418680633431272, 'FD_Position': 'OF'}, 'Alex Rodriguez_batter': {'Salary': 3400.0, 'projected_FD_points': 3.348188747638404, 'confidence': 0.39944384421368484, 'FD_Position': '3B'}, 'Dexter Fowler_batter': {'Salary': 3500.0, 'projected_FD_points': 4.2926836913938766, 'confidence': -0.032366934403632808, 'FD_Position': 'OF'}, 'Jimmy Paredes_batter': {'Salary': 3400.0, 'projected_FD_points': 3.5805178030091436, 'confidence': 0.024280564697803708, 'FD_Position': '2B'}, 'Lucas Duda_batter': {'Salary': 3000.0, 'projected_FD_points': 3.2894534682522178, 'confidence': -0.05787504996463988, 'FD_Position': '1B'},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'Ian Desmond_batter': {'Salary': 2700.0, 'projected_FD_points': 2.334497994649757, 'confidence': -0.037653308595611223, 'FD_Position': 'SS'}}</t>
  </si>
  <si>
    <t>{'Alex Rodriguez_batter': {'Salary': 3400.0, 'projected_FD_points': 3.348188747638404, 'confidence': 0.39944384421368484, 'FD_Position': '3B'}, 'Logan Forsythe_batter': {'Salary': 2300.0, 'projected_FD_points': 1.9763190612641901, 'confidence': -0.065881017898030025, 'FD_Position': '2B'}, 'Delino Deshields Jr._batter': {'Salary': 3400.0, 'projected_FD_points': 2.8263521991888139, 'confidence': -0.11279333775722722, 'FD_Position': 'OF'}, 'James Loney_batter': {'Salary': 2400.0, 'projected_FD_points': 2.4150462742945074, 'confidence': -0.081783233003003941, 'FD_Position': '1B'},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'Alcides Escobar_batter': {'Salary': 2800.0, 'projected_FD_points': 1.8959409839907126, 'confidence': -0.079701915524089673, 'FD_Position': 'SS'}, 'Andrew McCutchen_batter': {'Salary': 4200.0, 'projected_FD_points': 3.4352124696715753, 'confidence': -0.022189822477990839, 'FD_Position': 'OF'}}</t>
  </si>
  <si>
    <t>{'Jimmy Paredes_batter': {'Salary': 3400.0, 'projected_FD_points': 3.5805178030091436, 'confidence': 0.024280564697803708, 'FD_Position': '2B'},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'Zack Cozart_batter': {'Salary': 2700.0, 'projected_FD_points': 2.1483321258966011, 'confidence': -0.037321785672755681, 'FD_Position': 'SS'}, 'Lucas Duda_batter': {'Salary': 3000.0, 'projected_FD_points': 3.2894534682522178, 'confidence': -0.05787504996463988, 'FD_Position': '1B'}, 'Martin Prado_batter': {'Salary': 2500.0, 'projected_FD_points': 2.8607283152736405, 'confidence': -1.0490239522431959, 'FD_Position': '3B'}, 'Chris Heston_pitcher': {'Salary': 7400.0, 'projected_FD_points': 18.468951904040583, 'confidence': 0, 'FD_Position': 'P'}, 'Mike Trout_batter': {'Salary': 5100.0, 'projected_FD_points': 3.7895381032583062, 'confidence': -0.083220301178768663, 'FD_Position': 'OF'},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</si>
  <si>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'Ian Desmond_batter': {'Salary': 2700.0, 'projected_FD_points': 2.334497994649757, 'confidence': -0.037653308595611223, 'FD_Position': 'SS'},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'Jose Abreu_batter': {'Salary': 3600.0, 'projected_FD_points': 3.1585089432980116, 'confidence': -0.13149853958304525, 'FD_Position': '1B'}, 'Matt Carpenter_batter': {'Salary': 4200.0, 'projected_FD_points': 3.0180003451463091, 'confidence': -1.1786945811072589, 'FD_Position': '3B'}}</t>
  </si>
  <si>
    <t>{'Russell Martin_batter': {'Salary': 3600.0, 'projected_FD_points': 2.7550433151975184, 'confidence': -0.13947826010068698, 'FD_Position': 'C'}, 'Dee Gordon_batter': {'Salary': 3900.0, 'projected_FD_points': 2.6768445027141938, 'confidence': -0.55037769370791056, 'FD_Position': '2B'}, 'J.D. Martinez_batter': {'Salary': 3300.0, 'projected_FD_points': 2.8880586948338309, 'confidence': -0.036094276286051219, 'FD_Position': 'OF'},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'Michael Cuddyer_batter': {'Salary': 2500.0, 'projected_FD_points': 3.7207517004873454, 'confidence': -1.3094487113346878, 'FD_Position': 'OF'}, 'Jhonny Peralta_batter': {'Salary': 3300.0, 'projected_FD_points': 2.7946269225348965, 'confidence': -0.11738636649027256, 'FD_Position': 'SS'}, 'Chris Sale_pitcher': {'Salary': 10000.0, 'projected_FD_points': 21.603221659713263, 'confidence': -1.0982828703725636, 'FD_Position': 'P'}}</t>
  </si>
  <si>
    <t>{'J.D.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'Victor Martinez_batter': {'Salary': 3300.0, 'projected_FD_points': 2.4343675587099711, 'confidence': -0.16073399458486293, 'FD_Position': 'C'}, 'Jhonny Peralta_batter': {'Salary': 3300.0, 'projected_FD_points': 2.7946269225348965, 'confidence': -0.11738636649027256, 'FD_Position': 'SS'},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</si>
  <si>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{'Albert Pujols_batter': {'Salary': 2900.0, 'projected_FD_points': 2.6939143977224775, 'confidence': -0.19100273045769112, 'FD_Position': '1B'}, 'Seth Smith_batter': {'Salary': 2400.0, 'projected_FD_points': 2.3822525922835243, 'confidence': -0.055726211366971201, 'FD_Position': 'OF'}, 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</si>
  <si>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'Giancarlo Stanton_batter': {'Salary': 4500.0, 'projected_FD_points': 4.0640712860800035, 'confidence': -0.042531663385329432,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</si>
  <si>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'Elvis Andrus_batter': {'Salary': 2500.0, 'projected_FD_points': 1.8549721670071315, 'confidence': -0.016583784745488828,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'Hanley Ramirez_batter': {'Salary': 3900.0, 'projected_FD_points': 3.8851852844823149, 'confidence': 0.0011382373493654674,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</si>
  <si>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'Jose Bautista_batter': {'Salary': 4800.0, 'projected_FD_points': 3.3852438252460608, 'confidence': -0.030586653632809435, 'FD_Position': 'OF'}, 'Trevor Plouffe_batter': {'Salary': 2900.0, 'projected_FD_points': 2.6867967330368465, 'confidence': -0.049127312860753003, 'FD_Position': '3B'},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'Victor Martinez_batter': {'Salary': 3500.0, 'projected_FD_points': 2.7677572007022317, 'confidence': 0.12639755643477324, 'FD_Position': 'C'}, 'J.D. Martinez_batter': {'Salary': 3000.0, 'projected_FD_points': 2.9282475501384426, 'confidence': -0.028788903275451139, 'FD_Position': 'OF'}, 'Alfredo Simon_pitcher': {'Salary': 7800.0, 'projected_FD_points': 13.157834994667033, 'confidence': -0.13435595855288418, 'FD_Position': 'P'}}</t>
  </si>
  <si>
    <t>{'Yangervis Solarte_batter': {'Salary': 2200.0, 'projected_FD_points': 2.3754254906091612, 'confidence': -0.14792343555970167, 'FD_Position': '3B'}, 'Ian Kennedy_pitcher': {'Salary': 8000.0, 'projected_FD_points': 16.69055803104138, 'confidence': -3.7878047614051935, 'FD_Position': 'P'}, 'Derek Norris_batter': {'Salary': 2900.0, 'projected_FD_points': 1.793524770535742, 'confidence': -0.076991617450048233, 'FD_Position': 'C'}, 'Mookie Betts_batter': {'Salary': 3400.0, 'projected_FD_points': 4.7504223648014925, 'confidence': 0.19408335826041945, 'FD_Position': 'OF'},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'OF'}, 'Dustin Pedroia_batter': {'Salary': 2900.0, 'projected_FD_points': 2.8762086686946793, 'confidence': -0.033851187113712822, 'FD_Position': '2B'}}</t>
  </si>
  <si>
    <t>{'Kris Bryant_batter': {'Salary': 3500.0, 'projected_FD_points': 4.175529144772498, 'confidence': 0.21014466648944286, 'FD_Position': '3B'}, 'Joe Panik_batter': {'Salary': 2600.0, 'projected_FD_points': 1.7286002368389892, 'confidence': -0.47946929857336928, 'FD_Position': '2B'}, 'Elvis Andrus_batter': {'Salary': 2500.0, 'projected_FD_points': 1.8549721670071315, 'confidence': -0.016583784745488828, 'FD_Position': 'SS'}, 'Carlos Gomez_batter': {'Salary': 3700.0, 'projected_FD_points': 2.9605590595798001, 'confidence': -0.053272344166327423, 'FD_Position': 'OF'}, 'Buster Posey_batter': {'Salary': 3500.0, 'projected_FD_points': 2.3233902708671637, 'confidence': -0.11898765810543477, 'FD_Position': 'C'}, 'Curtis Granderson_batter': {'Salary': 2900.0, 'projected_FD_points': 2.3483756246399126, 'confidence': 0.022001553441356458,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'Chris Sale_pitcher': {'Salary': 9600.0, 'projected_FD_points': 13.222187402775216, 'confidence': 0.16273269837848281, 'FD_Position': 'P'}}</t>
  </si>
  <si>
    <t>{'Jeff Samardzija_pitcher': {'Salary': 8900.0, 'projected_FD_points': 14.382306946037831, 'confidence': -2.3809081704730564, 'FD_Position': 'P'}, 'Dexter Fowler_batter': {'Salary': 3300.0, 'projected_FD_points': 4.2622278723634848, 'confidence': -0.16287483135814917, 'FD_Position': 'OF'}, 'Elvis Andrus_batter': {'Salary': 2500.0, 'projected_FD_points': 1.9189212296701077, 'confidence': -0.01028100013360933, 'FD_Position': 'SS'}, 'Devon Travis_batter': {'Salary': 3400.0, 'projected_FD_points': 5.1387095410720587, 'confidence': -0.44180748053160279, 'FD_Position': '2B'}, 'Josh Donaldson_batter': {'Salary': 3800.0, 'projected_FD_points': 3.5422586263664781, 'confidence': -0.049844992569286983, 'FD_Position': '3B'}, 'Brian McCann_batter': {'Salary': 3100.0, 'projected_FD_points': 2.1744001996026237, 'confidence': -0.29240630402396683, 'FD_Position': 'C'}, 'Adam Lind_batter': {'Salary': 3400.0, 'projected_FD_points': 3.6660506703447302, 'confidence': -0.087855299763406558, 'FD_Position': '1B'}, 'Melky Cabrera_batter': {'Salary': 2800.0, 'projected_FD_points': 3.4212950303557745, 'confidence': -0.16387014229727415, 'FD_Position': 'OF'}, 'Andrew McCutchen_batter': {'Salary': 3800.0, 'projected_FD_points': 4.720252784624801, 'confidence': 0.005890384933386783, 'FD_Position': 'OF'}}</t>
  </si>
  <si>
    <t>{'Stephen Vogt_batter': {'Salary': 3500.0, 'projected_FD_points': 2.0197309378912953, 'confidence': -3.0664863614772235, 'FD_Position': 'C'}, 'Justin Turner_batter': {'Salary': 2700.0, 'projected_FD_points': 2.527626309055961, 'confidence': -0.57589921224115925, 'FD_Position': '2B'}, 'Mike Napoli_batter': {'Salary': 2200.0, 'projected_FD_points': 2.3403876206722813, 'confidence': 0.040150345577951274, 'FD_Position': '1B'},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'Christian Yelich_batter': {'Salary': 2700.0, 'projected_FD_points': 2.7826548590267759, 'confidence': -0.24591612328546586, 'FD_Position': 'OF'}, 'Jimmy Rollins_batter': {'Salary': 2700.0, 'projected_FD_points': 1.429321913807474, 'confidence': -0.065273167615078398, 'FD_Position': 'SS'}, 'Giancarlo Stanton_batter': {'Salary': 4500.0, 'projected_FD_points': 4.5618447737702645, 'confidence': -1.0155535177159019, 'FD_Position': 'OF'}, 'Martin Prado_batter': {'Salary': 2900.0, 'projected_FD_points': 1.9181391261784746, 'confidence': 0.090980367492184966, 'FD_Position': '3B'}}</t>
  </si>
  <si>
    <t>{'Michael Brantley_batter': {'Salary': 4300.0, 'projected_FD_points': 3.4590995566099174, 'confidence': 0.020185767213403705, 'FD_Position': 'OF'}, 'Seth Smith_batter': {'Salary': 2300.0, 'projected_FD_points': 2.2814133977606623, 'confidence': -0.65550741858424599,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'Victor Martinez_batter': {'Salary': 3600.0, 'projected_FD_points': 2.6796767688631675, 'confidence': -0.06878000543750229,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</si>
  <si>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'Jhonny Peralta_batter': {'Salary': 2900.0, 'projected_FD_points': 2.0832844377071327, 'confidence': -0.031486762894220144, 'FD_Position': 'SS'}, 'Kurt Suzuki_batter': {'Salary': 2400.0, 'projected_FD_points': 1.7371705913575282, 'confidence': -0.15056401122533525, 'FD_Position': 'C'},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</si>
  <si>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'Seth Smith_batter': {'Salary': 2300.0, 'projected_FD_points': 2.2814133977606623, 'confidence': -0.65550741858424599, 'FD_Position': 'OF'}, 'Robinson Cano_batter': {'Salary': 3400.0, 'projected_FD_points': 2.7755460095279156, 'confidence': -0.18133831084813856, 'FD_Position': '2B'}, 'Marcus Semien_batter': {'Salary': 2700.0, 'projected_FD_points': 2.9095612290355413, 'confidence': -0.13110560779088698, 'FD_Position': 'SS'}, 'Alex Gordon_batter': {'Salary': 3200.0, 'projected_FD_points': 2.4615048934231627, 'confidence': 0.02866992406085056, 'FD_Position': 'OF'}, 'Clayton Kershaw_pitcher': {'Salary': 11200.0, 'projected_FD_points': 15.817323130225162, 'confidence': -2.5038601280141544, 'FD_Position': 'P'}, 'Billy Butler_batter': {'Salary': 2600.0, 'projected_FD_points': 1.7692168083095527, 'confidence': -0.063536808780009668, 'FD_Position': '1B'},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</si>
  <si>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{'Joe Panik_batter': {'Salary': 2600.0, 'projected_FD_points': 1.8515823435372516, 'confidence': -0.28577059902248081, 'FD_Position': '2B'}, 'Johnny Cueto_pitcher': {'Salary': 10500.0, 'projected_FD_points': 14.250592419725008, 'confidence': 0.0032779958403799103, 'FD_Position': 'P'},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'Miguel Montero_batter': {'Salary': 3000.0, 'projected_FD_points': 2.2083905235693813, 'confidence': -0.21923842801138949,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</si>
  <si>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'Brian Dozier_batter': {'Salary': 3200.0, 'projected_FD_points': 2.7613491045236405, 'confidence': -0.048389887716623559, 'FD_Position': '2B'}, 'Brandon Moss_batter': {'Salary': 3400.0, 'projected_FD_points': 2.4161935221978705, 'confidence': -0.028115617678525995, 'FD_Position': 'OF'},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'Elvis Andrus_batter': {'Salary': 2700.0, 'projected_FD_points': 1.9061767624452017, 'confidence': -0.026527739898729141, 'FD_Position': 'SS'}, 'Kurt Suzuki_batter': {'Salary': 2200.0, 'projected_FD_points': 1.7474711386278341, 'confidence': 0.0038479267619934143, 'FD_Position': 'C'}, 'Bryce Harper_batter': {'Salary': 4500.0, 'projected_FD_points': 2.9678926763247051, 'confidence': -0.140985352710153, 'FD_Position': 'OF'}}</t>
  </si>
  <si>
    <t>{'Matt Kemp_batter': {'Salary': 3500.0, 'projected_FD_points': 3.917137736327486, 'confidence': -0.042088884949329053, 'FD_Position': 'OF'},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'Mike Pelfrey_pitcher': {'Salary': 6400.0, 'projected_FD_points': 28.408801933083708, 'confidence': 0, 'FD_Position': 'P'}, 'Prince Fielder_batter': {'Salary': 3300.0, 'projected_FD_points': 3.5195762824739547, 'confidence': -0.37266799380831506, 'FD_Position': '1B'}, 'Brian McCann_batter': {'Salary': 3100.0, 'projected_FD_points': 2.4995061507155381, 'confidence': -0.084762928108689684, 'FD_Position': 'C'}, 'Kyle Seager_batter': {'Salary': 3000.0, 'projected_FD_points': 2.8456129358987745, 'confidence': 0.011780408014968047, 'FD_Position': '3B'}, 'Troy Tulowitzki_batter': {'Salary': 5100.0, 'projected_FD_points': 3.118793051296664, 'confidence': -1.0418351938103596, 'FD_Position': 'SS'}, 'Andrew McCutchen_batter': {'Salary': 3600.0, 'projected_FD_points': 3.932669403035185, 'confidence': 0.13446528730403495, 'FD_Position': 'OF'}}</t>
  </si>
  <si>
    <t>{'Jimmy Paredes_batter': {'Salary': 3000.0, 'projected_FD_points': 2.9126394477409345, 'confidence': 0.44053255881179321, 'FD_Position': '2B'}, 'Elvis Andrus_batter': {'Salary': 2800.0, 'projected_FD_points': 1.8353149530284716, 'confidence': -0.14803066632496509, 'FD_Position': 'SS'},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'Martin Prado_batter': {'Salary': 3000.0, 'projected_FD_points': 2.3347717423936274, 'confidence': -0.012914507524966812, 'FD_Position': '3B'}, 'Brian McCann_batter': {'Salary': 3200.0, 'projected_FD_points': 2.1703366986066404, 'confidence': -0.54161045643670591, 'FD_Position': 'C'}, 'Giancarlo Stanton_batter': {'Salary': 4700.0, 'projected_FD_points': 3.3224478696585642, 'confidence': -0.12310067282139148, 'FD_Position': 'OF'}, 'Starling Marte_batter': {'Salary': 4200.0, 'projected_FD_points': 3.380906940157919, 'confidence': -0.38803562812862635, 'FD_Position': 'OF'}, 'Andrew McCutchen_batter': {'Salary': 3700.0, 'projected_FD_points': 3.4952815595068296, 'confidence': -0.10502848515558094,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</si>
  <si>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'Jhonny Peralta_batter': {'Salary': 2700.0, 'projected_FD_points': 2.4078509041608216, 'confidence': -0.34818291524229927, 'FD_Position': 'SS'}, 'Mookie Betts_batter': {'Salary': 3000.0, 'projected_FD_points': 3.8698512552860196, 'confidence': -0.19581928556474848, 'FD_Position': 'OF'}, 'Kyle Blanks_batter': {'Salary': 2800.0, 'projected_FD_points': 4.2719402063468337, 'confidence': -3.948092247355655, 'FD_Position': 'OF'}, 'Jose Abreu_batter': {'Salary': 3600.0, 'projected_FD_points': 3.2900447413304192, 'confidence': -0.078648820974335676, 'FD_Position': '1B'},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</si>
  <si>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'Russell Martin_batter': {'Salary': 3500.0, 'projected_FD_points': 2.7185980579753553, 'confidence': -0.01333247612376387, 'FD_Position': 'C'}, 'Devon Travis_batter': {'Salary': 3700.0, 'projected_FD_points': 3.9947243297813833, 'confidence': -0.011511753918068912, 'FD_Position': '2B'}, 'Lucas Duda_batter': {'Salary': 3300.0, 'projected_FD_points': 3.2353714849629447, 'confidence': -0.050408826475557333, 'FD_Position': '1B'}, 'Jhonny Peralta_batter': {'Salary': 2500.0, 'projected_FD_points': 2.2614928579132618, 'confidence': -0.084464431658165973, 'FD_Position': 'SS'}, 'Torii Hunter_batter': {'Salary': 2700.0, 'projected_FD_points': 2.8026060211983173, 'confidence': -0.018935680776248409, 'FD_Position': 'OF'},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</si>
  <si>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'Devon Travis_batter': {'Salary': 3500.0, 'projected_FD_points': 8.187445000495245, 'confidence': -0.15140327774379791, 'FD_Position': '2B'}, 'Felix Hernandez_pitcher': {'Salary': 11000.0, 'projected_FD_points': 15.824372939893927, 'confidence': 0.72797041440598909, 'FD_Position': 'P'}, 'Jhonny Peralta_batter': {'Salary': 2500.0, 'projected_FD_points': 2.2777648089651468, 'confidence': -0.048995290231387045, 'FD_Position': 'SS'}, 'Edwin Encarnacion_batter': {'Salary': 4000.0, 'projected_FD_points': 3.5789507407016705, 'confidence': -0.90733237853906812, 'FD_Position': '1B'}, 'Kurt Suzuki_batter': {'Salary': 2200.0, 'projected_FD_points': 1.6681743621499834, 'confidence': 0.017054691998844018, 'FD_Position': 'C'}, 'Mookie Betts_batter': {'Salary': 3000.0, 'projected_FD_points': 4.6394865006314703, 'confidence': 0.27710844425909831, 'FD_Position': 'OF'},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</si>
  <si>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'Brian Dozier_batter': {'Salary': 3100.0, 'projected_FD_points': 3.104091108724206, 'confidence': -0.29074048223330817, 'FD_Position': '2B'}, 'Stephen Vogt_batter': {'Salary': 3000.0, 'projected_FD_points': 2.502953580526003, 'confidence': -0.10201553605873359, 'FD_Position': 'C'}, 'Marcus Semien_batter': {'Salary': 3000.0, 'projected_FD_points': 2.2898045705492969, 'confidence': -0.80600944499687244, 'FD_Position': 'SS'}, 'Dexter Fowler_batter': {'Salary': 3300.0, 'projected_FD_points': 3.07330590169685, 'confidence': 0.0071952330474671644, 'FD_Position': 'OF'}, 'Josh Reddick_batter': {'Salary': 3900.0, 'projected_FD_points': 2.8767462623357085, 'confidence': -0.022246520597369202, 'FD_Position': 'OF'},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</si>
  <si>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'Joe Panik_batter': {'Salary': 2500.0, 'projected_FD_points': 1.8527704291279607, 'confidence': -0.4251402055631992, 'FD_Position': '2B'}, 'Matt Kemp_batter': {'Salary': 3600.0, 'projected_FD_points': 2.7734868241576693, 'confidence': -0.2516915661513579, 'FD_Position': 'OF'}, 'Erick Aybar_batter': {'Salary': 2300.0, 'projected_FD_points': 1.645733529078748, 'confidence': -0.27932490188189485, 'FD_Position': 'SS'}, 'Derek Norris_batter': {'Salary': 3000.0, 'projected_FD_points': 2.1771062243633112, 'confidence': -0.038281607861214928, 'FD_Position': 'C'}, 'Kyle Seager_batter': {'Salary': 2800.0, 'projected_FD_points': 2.6558133227644096, 'confidence': -0.049892270404377381, 'FD_Position': '3B'}, 'Justin Upton_batter': {'Salary': 4000.0, 'projected_FD_points': 2.8860471987960072, 'confidence': -0.21684113485544487, 'FD_Position': 'OF'}, 'Nelson Cruz_batter': {'Salary': 5400.0, 'projected_FD_points': 3.8291946040863745, 'confidence': -0.037208156089017397, 'FD_Position': 'OF'}, 'Tyson Ross_pitcher': {'Salary': 8300.0, 'projected_FD_points': 14.00330092395965, 'confidence': -0.55589021239994718, 'FD_Position': 'P'}}</t>
  </si>
  <si>
    <t>{'Joe Kelly_pitcher': {'Salary': 6900.0, 'projected_FD_points': 11.154417000409968, 'confidence': -0.41432791214372378, 'FD_Position': 'P'}, 'Alex Rodriguez_batter': {'Salary': 3500.0, 'projected_FD_points': 4.1338944266944289, 'confidence': 0.63888464665595457, 'FD_Position': '3B'}, 'Erick Aybar_batter': {'Salary': 2400.0, 'projected_FD_points': 2.0651234104834524, 'confidence': -0.078434062790171177, 'FD_Position': 'SS'}, 'Kole Calhoun_batter': {'Salary': 3500.0, 'projected_FD_points': 3.8260414438343275, 'confidence': -0.30770475296721411, 'FD_Position': 'OF'}, 'Paul Goldschmidt_batter': {'Salary': 5100.0, 'projected_FD_points': 3.521282424905527, 'confidence': -0.023419348645018712, 'FD_Position': '1B'}, 'Mookie Betts_batter': {'Salary': 3000.0, 'projected_FD_points': 2.8259718472765418, 'confidence': 0.02775038222823567, 'FD_Position': 'OF'}, 'Mike Trout_batter': {'Salary': 5500.0, 'projected_FD_points': 4.9889123997459901, 'confidence': -0.03853242906107579, 'FD_Position': 'OF'}, 'Michael McKenry_batter': {'Salary': 2200.0, 'projected_FD_points': 2.1180891819626892, 'confidence': -0.07732433381779602, 'FD_Position': 'C'}, 'Dustin Pedroia_batter': {'Salary': 2900.0, 'projected_FD_points': 2.2705040616369732, 'confidence': -0.24218736912607297, 'FD_Position': '2B'}}</t>
  </si>
  <si>
    <t>{'Adrian Beltre_batter': {'Salary': 2900.0, 'projected_FD_points': 2.896554810445751, 'confidence': -0.024257503701370586, 'FD_Position': '3B'}, 'Russell Martin_batter': {'Salary': 3200.0, 'projected_FD_points': 2.4988792367979942, 'confidence': 0.01145687688254482, 'FD_Position': 'C'}, 'Taijuan Walker_pitcher': {'Salary': 7700.0, 'projected_FD_points': 22.431592659179522, 'confidence': 0, 'FD_Position': 'P'}, 'Jimmy Paredes_batter': {'Salary': 3200.0, 'projected_FD_points': 4.392754509611418, 'confidence': 0.52001303705341062, 'FD_Position': '2B'}, 'Kole Calhoun_batter': {'Salary': 3400.0, 'projected_FD_points': 3.9676277104881152, 'confidence': -0.13182428840109495, 'FD_Position': 'OF'},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'Michael Cuddyer_batter': {'Salary': 2700.0, 'projected_FD_points': 4.5273059278823151, 'confidence': -0.018440719095788927, 'FD_Position': 'OF'}}</t>
  </si>
  <si>
    <t>{'Corey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'Kurt Suzuki_batter': {'Salary': 2200.0, 'projected_FD_points': 1.8296031136028028, 'confidence': -0.0094315332219918613, 'FD_Position': 'C'}, 'Devon Travis_batter': {'Salary': 3400.0, 'projected_FD_points': 4.5383825631752153, 'confidence': -0.46776413526927851, 'FD_Position': '2B'}, 'Dexter Fowler_batter': {'Salary': 3500.0, 'projected_FD_points': 3.6322421220116476, 'confidence': -0.12217804664776244, 'FD_Position': 'OF'}, 'David Ortiz_batter': {'Salary': 3300.0, 'projected_FD_points': 3.004705363974197, 'confidence': -0.081014353779315096, 'FD_Position': '1B'}}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</si>
  <si>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'Chris Davis_batter': {'Salary': 3900.0, 'projected_FD_points': 3.0632503883445774, 'confidence': 0.022238277982539745, 'FD_Position': '1B'}, 'Seth Smith_batter': {'Salary': 2400.0, 'projected_FD_points': 2.9744324342110824, 'confidence': -0.042595987379333344, 'FD_Position': 'OF'}, 'Corey Dickerson_batter': {'Salary': 4400.0, 'projected_FD_points': 3.5309108577583777, 'confidence': 0.073179409849078891, 'FD_Position': 'OF'}, 'Troy Tulowitzki_batter': {'Salary': 4300.0, 'projected_FD_points': 3.6313114781844966, 'confidence': -0.072677161156941672, 'FD_Position': 'SS'}, 'Victor Martinez_batter': {'Salary': 3400.0, 'projected_FD_points': 2.6293992523011989, 'confidence': -0.17591286747549995, 'FD_Position': 'C'},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</si>
  <si>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'Albert Pujols_batter': {'Salary': 3000.0, 'projected_FD_points': 2.5330231853840321, 'confidence': -0.15472306857888141, 'FD_Position': '1B'}, 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'Devon Travis_batter': {'Salary': 3400.0, 'projected_FD_points': 4.5383825631752153, 'confidence': -0.46776413526927851, 'FD_Position': '2B'},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'Marcell Ozuna_batter': {'Salary': 2800.0, 'projected_FD_points': 2.8097859822399722, 'confidence': -0.10468733591259061, 'FD_Position': 'OF'}}</t>
  </si>
  <si>
    <t>{'Adrian Beltre_batter': {'Salary': 2900.0, 'projected_FD_points': 2.7387153743975672, 'confidence': -0.11692448815624457, 'FD_Position': '3B'}, 'Jimmy Paredes_batter': {'Salary': 3200.0, 'projected_FD_points': 3.7702754957485247, 'confidence': -1.2311547174943436, 'FD_Position': '2B'},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'Victor Martinez_batter': {'Salary': 3400.0, 'projected_FD_points': 2.9295860881801481, 'confidence': 0.028755467362491904, 'FD_Position': 'C'}, 'Asdrubal Cabrera_batter': {'Salary': 2700.0, 'projected_FD_points': 2.556669605987878, 'confidence': 0.0406146787240248, 'FD_Position': 'SS'}, 'Michael Cuddyer_batter': {'Salary': 2800.0, 'projected_FD_points': 4.0284098261529913, 'confidence': -0.52799598567058736, 'FD_Position': 'OF'}}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</si>
  <si>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'Marcus Semien_batter': {'Salary': 3100.0, 'projected_FD_points': 2.3843872015177459, 'confidence': 0.0059020706319806715, 'FD_Position': 'SS'}, 'Alex Gordon_batter': {'Salary': 3200.0, 'projected_FD_points': 3.4413781816866198, 'confidence': -0.098340574104082146, 'FD_Position': 'OF'}, 'Victor Martinez_batter': {'Salary': 3400.0, 'projected_FD_points': 2.9295860881801481, 'confidence': 0.028755467362491904, 'FD_Position': 'C'}, 'Jose Abreu_batter': {'Salary': 4000.0, 'projected_FD_points': 2.7548679204507693, 'confidence': -0.080373242592810534,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</si>
  <si>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'Odubel Herrera_batter': {'Salary': 3000.0, 'projected_FD_points': 3.3544504962128445, 'confidence': 0.20104264999358579, 'FD_Position': 'OF'}, 'Erick Aybar_batter': {'Salary': 2200.0, 'projected_FD_points': 1.7548633691555502, 'confidence': -0.10876716934100195, 'FD_Position': 'SS'}, 'Stephen Vogt_batter': {'Salary': 3100.0, 'projected_FD_points': 2.6946388025462658, 'confidence': -0.36143201155396998, 'FD_Position': 'C'}, 'Prince Fielder_batter': {'Salary': 3300.0, 'projected_FD_points': 4.9294115284714115, 'confidence': -0.61004914436321123, 'FD_Position': '1B'}, 'Denard Span_batter': {'Salary': 2600.0, 'projected_FD_points': 2.8486735679348074, 'confidence': -0.021204709733908311, 'FD_Position': 'OF'}, 'Felix Hernandez_pitcher': {'Salary': 11100.0, 'projected_FD_points': 18.588194979884413, 'confidence': 0.53679843674895722, 'FD_Position': 'P'},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</si>
  <si>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'Kole Calhoun_batter': {'Salary': 3400.0, 'projected_FD_points': 3.920016430647951, 'confidence': -1.1639954999964974, 'FD_Position': 'OF'}, 'Prince Fielder_batter': {'Salary': 3300.0, 'projected_FD_points': 5.1521672846850191, 'confidence': -0.45982441459845336, 'FD_Position': '1B'}, 'Daniel Santana_batter': {'Salary': 2500.0, 'projected_FD_points': 2.9517320541292467, 'confidence': -0.4351031306906239, 'FD_Position': 'SS'}, 'Clayton Kershaw_pitcher': {'Salary': 11500.0, 'projected_FD_points': 18.332439167160292, 'confidence': -0.90833632820791488, 'FD_Position': 'P'}, 'Justin Turner_batter': {'Salary': 2200.0, 'projected_FD_points': 1.9130946080172304, 'confidence': 0.1941392913470642, 'FD_Position': '2B'},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</si>
  <si>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'James Loney_batter': {'Salary': 2600.0, 'projected_FD_points': 2.2465975001621699, 'confidence': -0.025705917292283997, 'FD_Position': '1B'}, 'Aramis Ramirez_batter': {'Salary': 2400.0, 'projected_FD_points': 2.5355310313937878, 'confidence': -0.23173773627349492, 'FD_Position': '3B'}, 'Johnny Cueto_pitcher': {'Salary': 10400.0, 'projected_FD_points': 17.084985143220788, 'confidence': -1.7303596615011436, 'FD_Position': 'P'}, 'Mookie Betts_batter': {'Salary': 3000.0, 'projected_FD_points': 3.326660062753283, 'confidence': 0.028940402393813014, 'FD_Position': 'OF'}, 'Alcides Escobar_batter': {'Salary': 2500.0, 'projected_FD_points': 1.6572210716707692, 'confidence': -0.0068375066779826632, 'FD_Position': 'SS'}, 'Dustin Pedroia_batter': {'Salary': 2900.0, 'projected_FD_points': 2.4852623645103358, 'confidence': 0.039385646731415647, 'FD_Position': '2B'}}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</si>
  <si>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'Mookie Betts_batter': {'Salary': 3100.0, 'projected_FD_points': 2.9814570396231925, 'confidence': -0.24157858971789725, 'FD_Position': 'OF'},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</si>
  <si>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'Brian Dozier_batter': {'Salary': 2900.0, 'projected_FD_points': 3.0273706717601061, 'confidence': 0.00069347431720045982,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'Dexter Fowler_batter': {'Salary': 3400.0, 'projected_FD_points': 3.3722139957922934, 'confidence': -0.54562155706008975, 'FD_Position': 'OF'}, 'Victor Martinez_batter': {'Salary': 3400.0, 'projected_FD_points': 3.3737495551500096, 'confidence': -0.29215470024071699, 'FD_Position': 'C'}, 'Nelson Cruz_batter': {'Salary': 5000.0, 'projected_FD_points': 4.6396016155363036, 'confidence': -0.19386675503570228, 'FD_Position': 'OF'}, 'Collin McHugh_pitcher': {'Salary': 8500.0, 'projected_FD_points': 13.805430444585145, 'confidence': -1.3168497236778456, 'FD_Position': 'P'}}</t>
  </si>
  <si>
    <t>{'Corey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'Lucas Duda_batter': {'Salary': 3700.0, 'projected_FD_points': 3.0807143471305225, 'confidence': -0.42847360103029142, 'FD_Position': '1B'},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'Brian McCann_batter': {'Salary': 2800.0, 'projected_FD_points': 1.8410659629773982, 'confidence': 0.025089749110781989, 'FD_Position': 'C'},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</si>
  <si>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{'Michael Brantley_batter': {'Salary': 3600.0, 'projected_FD_points': 3.6084062585858083, 'confidence': 0.045635987107800369, 'FD_Position': 'OF'}, 'Russell Martin_batter': {'Salary': 3100.0, 'projected_FD_points': 2.8758211432010938, 'confidence': -0.046355268593890386, 'FD_Position': 'C'}, 'Anthony Rizzo_batter': {'Salary': 4200.0, 'projected_FD_points': 3.5240154011543612, 'confidence': -0.1186439979662981, 'FD_Position': '1B'}, 'Trevor Plouffe_batter': {'Salary': 2300.0, 'projected_FD_points': 2.3140553770769041, 'confidence': -0.055420438758037927, 'FD_Position': '3B'}, 'Devon Travis_batter': {'Salary': 3300.0, 'projected_FD_points': 6.9124553067327623, 'confidence': 0.54230835521921628, 'FD_Position': '2B'}, 'Odubel Herrera_batter': {'Salary': 3000.0, 'projected_FD_points': 3.5045898595951939, 'confidence': 0.0, 'FD_Position': 'OF'}, 'Eduardo Nunez_batter': {'Salary': 2400.0, 'projected_FD_points': 2.5864164749436851, 'confidence': 0.068109405692565295, 'FD_Position': 'SS'},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'P'}}</t>
  </si>
  <si>
    <t>{'George Springer_batter': {'Salary': 3200.0, 'projected_FD_points': 3.2943743709881153, 'confidence': -0.056076770324292147, 'FD_Position': 'OF'}, 'Mark Teixeira_batter': {'Salary': 3800.0, 'projected_FD_points': 2.8700668490708168, 'confidence': 0.035266903290539053, 'FD_Position': '1B'},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'Eduardo Nunez_batter': {'Salary': 2400.0, 'projected_FD_points': 2.5864164749436851, 'confidence': 0.068109405692565295, 'FD_Position': 'SS'}, 'Yasmani Grandal_batter': {'Salary': 2500.0, 'projected_FD_points': 1.734039104447116, 'confidence': -0.11551210097111952, 'FD_Position': 'C'}, 'Kyle Seager_batter': {'Salary': 3400.0, 'projected_FD_points': 2.790329884016082, 'confidence': -0.13109106564794804, 'FD_Position': '3B'}, 'Nelson Cruz_batter': {'Salary': 5000.0, 'projected_FD_points': 4.1626700742784966, 'confidence': -0.030880666681733393, 'FD_Position': 'OF'}, 'Andrew McCutchen_batter': {'Salary': 4000.0, 'projected_FD_points': 3.8421442882214278, 'confidence': -0.018773395139345617, 'FD_Position': 'OF'}}</t>
  </si>
  <si>
    <t>{'Ben Revere_batter': {'Salary': 2400.0, 'projected_FD_points': 2.9907866817797153, 'confidence': -0.41736618420084115, 'FD_Position': 'OF'},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'Prince Fielder_batter': {'Salary': 3400.0, 'projected_FD_points': 3.5132970075358654, 'confidence': -0.3763100351009927, 'FD_Position': '1B'}, 'A.J. Pollock_batter': {'Salary': 3200.0, 'projected_FD_points': 3.5846499739192073, 'confidence': -0.070900181876819346, 'FD_Position': 'OF'}, 'Buster Posey_batter': {'Salary': 4000.0, 'projected_FD_points': 2.6890331601651725, 'confidence': -0.013665709760133149, 'FD_Position': 'C'}, 'Troy Tulowitzki_batter': {'Salary': 4700.0, 'projected_FD_points': 3.1527881291745379, 'confidence': -0.10329160846383822, 'FD_Position': 'SS'}, 'James Paxton_pitcher': {'Salary': 6400.0, 'projected_FD_points': 14.012844058088696, 'confidence': -0.078931827040439106, 'FD_Position': 'P'},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</si>
  <si>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'Jose Altuve_batter': {'Salary': 3800.0, 'projected_FD_points': 2.9809244542680871, 'confidence': -0.030859384939072365, 'FD_Position': '2B'}, 'CC Sabathia_pitcher': {'Salary': 7600.0, 'projected_FD_points': 11.597573486772177, 'confidence': 0, 'FD_Position': 'P'}, 'Lucas Duda_batter': {'Salary': 3700.0, 'projected_FD_points': 2.9201439991250635, 'confidence': -0.020446939417307242, 'FD_Position': '1B'}, 'Evan Longoria_batter': {'Salary': 3000.0, 'projected_FD_points': 2.5324003848547139, 'confidence': 0.038219446742095764, 'FD_Position': '3B'}, 'Colby Rasmus_batter': {'Salary': 2500.0, 'projected_FD_points': 2.655939033634187, 'confidence': -0.04727146101752111, 'FD_Position': 'OF'}, 'Brian McCann_batter': {'Salary': 2900.0, 'projected_FD_points': 1.9201684423901217, 'confidence': -0.024018333491482302, 'FD_Position': 'C'}, 'Giancarlo Stanton_batter': {'Salary': 4700.0, 'projected_FD_points': 3.4791964810335689, 'confidence': -0.040145683662774267, 'FD_Position': 'OF'}, 'Jayson Werth_batter': {'Salary': 2900.0, 'projected_FD_points': 2.7052318914020126, 'confidence': -0.093954447410776742, 'FD_Position': 'OF'}}</t>
  </si>
  <si>
    <t>{'Kris Bryant_batter': {'Salary': 3900.0, 'projected_FD_points': 5.0, 'confidence': 0, 'FD_Position': '3B'}, 'George Springer_batter': {'Salary': 3500.0, 'projected_FD_points': 3.0651292062119118, 'confidence': -0.11027700766536341, 'FD_Position': 'OF'}, 'Seth Smith_batter': {'Salary': 2300.0, 'projected_FD_points': 3.243358091592504, 'confidence': -1.6495546130316274, 'FD_Position': 'OF'}, 'Devon Travis_batter': {'Salary': 3100.0, 'projected_FD_points': 10.209781250843845, 'confidence': -0.77541707220762679, 'FD_Position': '2B'}, 'Prince Fielder_batter': {'Salary': 3700.0, 'projected_FD_points': 4.1234222187251186, 'confidence': 0.15916362813497964, 'FD_Position': '1B'}, 'Daniel Santana_batter': {'Salary': 2900.0, 'projected_FD_points': 2.557510189732378, 'confidence': -0.038760150757898959, 'FD_Position': 'SS'}, 'Jacoby Ellsbury_batter': {'Salary': 3800.0, 'projected_FD_points': 3.5809521315022894, 'confidence': 0.0038101837393912374, 'FD_Position': 'OF'}, 'Victor Martinez_batter': {'Salary': 3800.0, 'projected_FD_points': 2.7796119567071864, 'confidence': -0.17660055882841164, 'FD_Position': 'C'}, 'Miguel Gonzalez_pitcher': {'Salary': 8000.0, 'projected_FD_points': 13.569768545593114, 'confidence': -0.99720908020928212, 'FD_Position': 'P'}}</t>
  </si>
  <si>
    <t>{'George Springer_batter': {'Salary': 3500.0, 'projected_FD_points': 3.0651292062119118, 'confidence': -0.11027700766536341, 'FD_Position': 'OF'}, 'Evan Gattis_batter': {'Salary': 2600.0, 'projected_FD_points': 1.7323163606841239, 'confidence': -0.27979668991526974, 'FD_Position': 'C'}, 'Torii Hunter_batter': {'Salary': 2900.0, 'projected_FD_points': 2.816594753585647, 'confidence': -0.06176681260387884, 'FD_Position': 'OF'}, 'Seth Smith_batter': {'Salary': 2300.0, 'projected_FD_points': 3.243358091592504, 'confidence': -1.6495546130316274, 'FD_Position': 'OF'}, 'Felix Hernandez_pitcher': {'Salary': 11500.0, 'projected_FD_points': 15.873576049152099, 'confidence': -0.41594143409405304, 'FD_Position': 'P'}, 'Cory Spangenberg_batter': {'Salary': 2200.0, 'projected_FD_points': 2.0932022374456989, 'confidence': -0.76303361402932568, 'FD_Position': '2B'}, 'Daniel Santana_batter': {'Salary': 2900.0, 'projected_FD_points': 2.557510189732378, 'confidence': -0.038760150757898959, 'FD_Position': 'SS'}, 'Luis Valbuena_batter': {'Salary': 3400.0, 'projected_FD_points': 2.7865173123634257, 'confidence': -0.14000804479191253, 'FD_Position': '3B'}, 'Prince Fielder_batter': {'Salary': 3700.0, 'projected_FD_points': 4.1234222187251186, 'confidence': 0.15916362813497964, 'FD_Position': '1B'}}</t>
  </si>
  <si>
    <t>{'Joe Panik_batter': {'Salary': 2800.0, 'projected_FD_points': 1.5893898988905748, 'confidence': -0.07773189996502694, 'FD_Position': '2B'}, 'Melky Cabrera_batter': {'Salary': 2700.0, 'projected_FD_points': 2.524850923275296, 'confidence': -0.029991822522872358, 'FD_Position': 'OF'}, 'Matt Holliday_batter': {'Salary': 3500.0, 'projected_FD_points': 2.6889288480663551, 'confidence': -0.013853813730607012,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'Alexei Ramirez_batter': {'Salary': 3000.0, 'projected_FD_points': 2.1523188337085544, 'confidence': 0.034895378194993998, 'FD_Position': 'SS'}, 'Adam Eaton_batter': {'Salary': 2500.0, 'projected_FD_points': 2.5545932022098796, 'confidence': -0.045125947948090994, 'FD_Position': 'OF'}, 'Jose Abreu_batter': {'Salary': 4400.0, 'projected_FD_points': 3.203392055003774, 'confidence': -0.0537601750445591, 'FD_Position': '1B'}, 'Matt Carpenter_batter': {'Salary': 4400.0, 'projected_FD_points': 2.8517353355463189, 'confidence': -0.35387056079479517, 'FD_Position': '3B'}}</t>
  </si>
  <si>
    <t>{'Yangervis Solarte_batter': {'Salary': 2700.0, 'projected_FD_points': 2.0330725695659302, 'confidence': -0.061605692421274894, 'FD_Position': '3B'}, 'Howie Kendrick_batter': {'Salary': 3800.0, 'projected_FD_points': 2.6979280575328008, 'confidence': 0.0485217511915772, 'FD_Position': '2B'}, 'Corey Dickerson_batter': {'Salary': 4600.0, 'projected_FD_points': 3.1707251711342699, 'confidence': -0.40279545835714559, 'FD_Position': 'OF'}, 'Matt Holliday_batter': {'Salary': 3600.0, 'projected_FD_points': 2.5816080216245374, 'confidence': -0.18735275211120728, 'FD_Position': 'OF'}, 'Jhonny Peralta_batter': {'Salary': 2800.0, 'projected_FD_points': 2.3619059352767873, 'confidence': -0.16294911882168672, 'FD_Position': 'SS'}, 'Matt Adams_batter': {'Salary': 3000.0, 'projected_FD_points': 2.2979284843592915, 'confidence': -0.0044161064864887134, 'FD_Position': '1B'}, 'Yasmani Grandal_batter': {'Salary': 2800.0, 'projected_FD_points': 1.4542199451646087, 'confidence': -0.056607234788314864, 'FD_Position': 'C'}, 'Denard Span_batter': {'Salary': 3100.0, 'projected_FD_points': 2.2021346942011881, 'confidence': 0.037464077802715101, 'FD_Position': 'OF'},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</si>
  <si>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'Jimmy Paredes_batter': {'Salary': 2700.0, 'projected_FD_points': 2.5265718964790391, 'confidence': -0.068550144016530368, 'FD_Position': '2B'}, 'Melky Cabrera_batter': {'Salary': 2700.0, 'projected_FD_points': 2.4977194812306571, 'confidence': -0.039505885061604573, 'FD_Position': 'OF'}, 'Erick Aybar_batter': {'Salary': 2800.0, 'projected_FD_points': 1.864559072189496, 'confidence': -0.38238558411962242, 'FD_Position': 'SS'}, 'Stephen Vogt_batter': {'Salary': 3500.0, 'projected_FD_points': 2.479189251132691, 'confidence': -0.0092237552788265731, 'FD_Position': 'C'}, 'Avisail Garcia_batter': {'Salary': 3200.0, 'projected_FD_points': 2.5909886257682082, 'confidence': 0.15259702013258658, 'FD_Position': 'OF'}, 'Adam Jones_batter': {'Salary': 4900.0, 'projected_FD_points': 3.5523259346594065, 'confidence': -0.039961135316403995, 'FD_Position': 'OF'}, 'Edwin Encarnacion_batter': {'Salary': 4300.0, 'projected_FD_points': 3.9401834402642075, 'confidence': -0.0021465908838635972, 'FD_Position': '1B'}, 'Evan Longoria_batter': {'Salary': 3300.0, 'projected_FD_points': 2.6589568054429789, 'confidence': 0.0098516118013260989, 'FD_Position': '3B'}}</t>
  </si>
  <si>
    <t>{'Carlos Ruiz_batter': {'Salary': 2200.0, 'projected_FD_points': 1.6789844318601814, 'confidence': -0.11478653631407321, 'FD_Position': 'C'}, 'Odubel Herrera_batter': {'Salary': 3000.0, 'projected_FD_points': 3.8174726164337436, 'confidence': 0.59183008309960461, 'FD_Position': 'OF'}, 'Brian Dozier_batter': {'Salary': 3000.0, 'projected_FD_points': 2.6488526284422051, 'confidence': -0.01894509126592725, 'FD_Position': '2B'},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'Cody Asche_batter': {'Salary': 2500.0, 'projected_FD_points': 2.2284571822449544, 'confidence': -0.10397093401601243,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</si>
  <si>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{'Adrian Beltre_batter': {'Salary': 3400.0, 'projected_FD_points': 2.5559289351640149, 'confidence': -0.050135174684181383, 'FD_Position': '3B'}, 'Shin-Soo Choo_batter': {'Salary': 2800.0, 'projected_FD_points': 2.214700680426724, 'confidence': 0.010007578088988223, 'FD_Position': 'OF'}, 'Aaron Hill_batter': {'Salary': 2300.0, 'projected_FD_points': 1.6759009590160434, 'confidence': -0.035441973381959313, 'FD_Position': '2B'}, 'Seth Smith_batter': {'Salary': 2400.0, 'projected_FD_points': 1.8358553723932536, 'confidence': -0.1522012479902628, 'FD_Position': 'OF'}, 'Elvis Andrus_batter': {'Salary': 3000.0, 'projected_FD_points': 1.9787896621260179, 'confidence': -0.21143854925704431, 'FD_Position': 'SS'}, 'Evan Gattis_batter': {'Salary': 2800.0, 'projected_FD_points': 1.6827839661339885, 'confidence': -0.10694727549584182, 'FD_Position': 'C'}, 'Prince Fielder_batter': {'Salary': 3600.0, 'projected_FD_points': 3.4442902308173178, 'confidence': -0.094045935095601108, 'FD_Position': '1B'}, 'Clayton Kershaw_pitcher': {'Salary': 12000.0, 'projected_FD_points': 15.453104315994292, 'confidence': -0.031692003952120906, 'FD_Position': 'P'}, 'Austin Jackson_batter': {'Salary': 2700.0, 'projected_FD_points': 1.8658804467321197, 'confidence': -0.0092761368600284833, 'FD_Position': 'OF'}}</t>
  </si>
  <si>
    <t>{'Dioner Navarro_batter': {'Salary': 2400.0, 'projected_FD_points': 2.3920480633474566, 'confidence': 0.10433526163774598, 'FD_Position': 'C'}, 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'Adam Jones_batter': {'Salary': 5100.0, 'projected_FD_points': 4.1113710185124868, 'confidence': -0.38562827427472568, 'FD_Position': 'OF'}, 'Daniel Santana_batter': {'Salary': 3100.0, 'projected_FD_points': 2.5871005443379822, 'confidence': 0.02389746842401308, 'FD_Position': 'SS'},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'Michael Bourn_batter': {'Salary': 2500.0, 'projected_FD_points': 2.880769480562714, 'confidence': -0.025825445418212745, 'FD_Position': 'OF'}}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</si>
  <si>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'Derek Norris_batter': {'Salary': 3000.0, 'projected_FD_points': 1.7956965449930855, 'confidence': -0.4098227314584022, 'FD_Position': 'C'}, 'Todd Frazier_batter': {'Salary': 3400.0, 'projected_FD_points': 3.057673465583481, 'confidence': -0.10436532167898993, 'FD_Position': '3B'}, 'Jay Bruce_batter': {'Salary': 3300.0, 'projected_FD_points': 2.8900610649434642, 'confidence': -0.029435092647891681, 'FD_Position': 'OF'},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</si>
  <si>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{'Mark Teixeira_batter': {'Salary': 3600.0, 'projected_FD_points': 2.8640681928191221, 'confidence': -0.20132245540331284, 'FD_Position': '1B'}, 'Brian Dozier_batter': {'Salary': 3100.0, 'projected_FD_points': 3.0347081733768109, 'confidence': -0.15150038921123588, 'FD_Position': '2B'}, 'J.D. Martinez_batter': {'Salary': 4000.0, 'projected_FD_points': 3.7086162500978834, 'confidence': -0.090833343930997845, 'FD_Position': 'OF'}, 'Todd Frazier_batter': {'Salary': 3400.0, 'projected_FD_points': 3.0179787267333644, 'confidence': -0.20338121765344619, 'FD_Position': '3B'}, 'Daniel Santana_batter': {'Salary': 3100.0, 'projected_FD_points': 2.9180018244823049, 'confidence': 0.018696126437665161, 'FD_Position': 'SS'},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'Alfredo Simon_pitcher': {'Salary': 7400.0, 'projected_FD_points': 13.732439437403372, 'confidence': 0.039871973541433015, 'FD_Position': 'P'}, 'Melky Cabrera_batter': {'Salary': 2700.0, 'projected_FD_points': 2.7150106372527123, 'confidence': -0.07477201914783782, 'FD_Position': 'OF'}}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</si>
  <si>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'Trevor Plouffe_batter': {'Salary': 2500.0, 'projected_FD_points': 2.2659211635141068, 'confidence': -0.12092718645442724, 'FD_Position': '3B'},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'Salvador Perez_batter': {'Salary': 3700.0, 'projected_FD_points': 2.2306930138892929, 'confidence': -0.028783808794816013, 'FD_Position': 'C'},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</si>
  <si>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'Jonathan Lucroy_batter': {'Salary': 3400.0, 'projected_FD_points': 2.8437347178943178, 'confidence': -0.39610480568001205, 'FD_Position': 'C'}, 'Dee Gordon_batter': {'Salary': 3900.0, 'projected_FD_points': 3.9405964063110481, 'confidence': -0.152275507547464, 'FD_Position': '2B'}, 'Mark Canha_batter': {'Salary': 2900.0, 'projected_FD_points': 4.1973546345358796, 'confidence': 0,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</si>
  <si>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{'Shin-Soo Choo_batter': {'Salary': 2800.0, 'projected_FD_points': 2.3222094881097752, 'confidence': -0.59969207702442873, 'FD_Position': 'OF'}, 'Aaron Hill_batter': {'Salary': 2300.0, 'projected_FD_points': 2.0092184297754194, 'confidence': -0.11060333061421823, 'FD_Position': '2B'}, 'Brandon McCarthy_pitcher': {'Salary': 7900.0, 'projected_FD_points': 14.453551871125129, 'confidence': 0.00062143631448263736, 'FD_Position': 'P'}, 'Matt Holliday_batter': {'Salary': 3600.0, 'projected_FD_points': 2.4888066620977987, 'confidence': -0.07226192504601614, 'FD_Position': 'OF'}, 'Prince Fielder_batter': {'Salary': 3700.0, 'projected_FD_points': 3.3334416590754552, 'confidence': -0.26381180895401135, 'FD_Position': '1B'}, 'Jhonny Peralta_batter': {'Salary': 3100.0, 'projected_FD_points': 2.164360012652323, 'confidence': -0.21644765299371183, 'FD_Position': 'SS'}, 'A.J. Pollock_batter': {'Salary': 3500.0, 'projected_FD_points': 3.8373057825339991, 'confidence': -1.495263809962939, 'FD_Position': 'OF'}, 'Buster Posey_batter': {'Salary': 4100.0, 'projected_FD_points': 2.2474746100166567, 'confidence': -0.057739124012367471, 'FD_Position': 'C'}, 'Kyle Seager_batter': {'Salary': 3400.0, 'projected_FD_points': 2.7300572338316291, 'confidence': -0.13241595459634059, 'FD_Position': '3B'}}</t>
  </si>
  <si>
    <t>{'Alex Rodriguez_batter': {'Salary': 3300.0, 'projected_FD_points': 8.7812098569378652, 'confidence': 0, 'FD_Position': '3B'}, 'Evan Gattis_batter': {'Salary': 2900.0, 'projected_FD_points': 2.0780443802534898, 'confidence': -4.4902208714661036, 'FD_Position': 'C'}, 'Kole Calhoun_batter': {'Salary': 3500.0, 'projected_FD_points': 3.177594080246871, 'confidence': -0.39635998645437076, 'FD_Position': 'OF'}, 'Robinson Cano_batter': {'Salary': 3900.0, 'projected_FD_points': 2.7578761034663559, 'confidence': 0.014390354437150088, 'FD_Position': '2B'}, 'Robbie Grossman_batter': {'Salary': 2500.0, 'projected_FD_points': 2.3908905596698742, 'confidence': -0.18734556054394136, 'FD_Position': 'OF'}, 'Prince Fielder_batter': {'Salary': 3600.0, 'projected_FD_points': 3.9361248368547499, 'confidence': 0.026371423997654353, 'FD_Position': '1B'}, 'Jake Odorizzi_pitcher': {'Salary': 8500.0, 'projected_FD_points': 13.642311932776952, 'confidence': -2.1143442514050155, 'FD_Position': 'P'}, 'Michael Cuddyer_batter': {'Salary': 3300.0, 'projected_FD_points': 3.1652146948405808, 'confidence': -0.61503738516106154, 'FD_Position': 'OF'}, 'Jed Lowrie_batter': {'Salary': 3400.0, 'projected_FD_points': 1.8960533250950431, 'confidence': 0.039523847666821266, 'FD_Position': 'SS'}}</t>
  </si>
  <si>
    <t>{'Corey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'Kennys Vargas_batter': {'Salary': 2400.0, 'projected_FD_points': 2.7014143179870111, 'confidence': -0.1513056128009842, 'FD_Position': '1B'}, 'Evan Longoria_batter': {'Salary': 3600.0, 'projected_FD_points': 3.0171800957653079, 'confidence': -0.093357637225768508, 'FD_Position': '3B'}, 'Daniel Santana_batter': {'Salary': 3300.0, 'projected_FD_points': 3.3256188034551766, 'confidence': -0.19200482437579147, 'FD_Position': 'SS'}, 'Mookie Betts_batter': {'Salary': 3100.0, 'projected_FD_points': 3.2371161090160405, 'confidence': -0.47127668508831921, 'FD_Position': 'OF'}, 'Kole Calhoun_batter': {'Salary': 3500.0, 'projected_FD_points': 4.3676043646793001, 'confidence': 0.065002927902885643, 'FD_Position': 'OF'}, 'Francisco Cervelli_batter': {'Salary': 2400.0, 'projected_FD_points': 1.4572700733106756, 'confidence': -0.01399217111780815, 'FD_Position': 'C'}}</t>
  </si>
  <si>
    <t>{'Joe Panik_batter': {'Salary': 2300.0, 'projected_FD_points': 1.1281945296870539, 'confidence': -0.21760385011472305, 'FD_Position': '2B'}, 'Seth Smith_batter': {'Salary': 2600.0, 'projected_FD_points': 2.1208895677213104, 'confidence': -0.27973194654805433, 'FD_Position': 'OF'}, 'Elvis Andrus_batter': {'Salary': 3100.0, 'projected_FD_points': 1.8985879051241104, 'confidence': -0.12540893371382711, 'FD_Position': 'SS'}, 'Casey McGehee_batter': {'Salary': 2800.0, 'projected_FD_points': 2.0421387566455289, 'confidence': 0.052116346993090312, 'FD_Position': '3B'}, 'Prince Fielder_batter': {'Salary': 3600.0, 'projected_FD_points': 4.0461076082171674, 'confidence': -0.54963409914460537, 'FD_Position': '1B'},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'Carl Crawford_batter': {'Salary': 2900.0, 'projected_FD_points': 2.3359666484353894, 'confidence': -0.015073129937283714, 'FD_Position': 'OF'}, 'Yasmani Grandal_batter': {'Salary': 2900.0, 'projected_FD_points': 2.0454834670123345, 'confidence': -0.43555816334652708, 'FD_Position': 'C'}}</t>
  </si>
  <si>
    <t>{'Corey Kluber_pitcher': {'Salary': 10700.0, 'projected_FD_points': 17.953319538448628, 'confidence': -0.67668693409431291, 'FD_Position': 'P'}, 'Evan Gattis_batter': {'Salary': 2900.0, 'projected_FD_points': 1.3440948685138063, 'confidence': -0.12014388134907961, 'FD_Position': 'C'}, 'Kole Calhoun_batter': {'Salary': 3500.0, 'projected_FD_points': 4.3676043646793001, 'confidence': 0.065002927902885643, 'FD_Position': 'OF'}, 'Sam Fuld_batter': {'Salary': 3100.0, 'projected_FD_points': 2.0992925137648286, 'confidence': -0.64380709632967981,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'Daniel Santana_batter': {'Salary': 3300.0, 'projected_FD_points': 3.3256188034551766, 'confidence': -0.19200482437579147, 'FD_Position': 'SS'}, 'Luis Valbuena_batter': {'Salary': 3000.0, 'projected_FD_points': 1.8622170448598689, 'confidence': 0.056158831341409532, 'FD_Position': '3B'}, 'Brian Dozier_batter': {'Salary': 3100.0, 'projected_FD_points': 3.1294104288350431, 'confidence': -1.5098197999856984, 'FD_Position': '2B'}}</t>
  </si>
  <si>
    <t>{'Nick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'Michael Cuddyer_batter': {'Salary': 2500.0, 'projected_FD_points': 4.4818633210921979, 'confidence': -1.9854887347798074, 'FD_Position': 'OF'}, 'Mike Pelfrey_pitcher': {'Salary': 6400.0, 'projected_FD_points': 4249.0314097471173, 'confidence': 0, 'FD_Position': 'P'}, 'Joe Mauer_batter': {'Salary': 2800.0, 'projected_FD_points': 179.11676778147714, 'confidence': -0.14667701782754405, 'FD_Position': '1B'}, 'Nelson Cruz_batter': {'Salary': 5000.0, 'projected_FD_points': 3.2706282153736979, 'confidence': 0.10245338061814324,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</si>
  <si>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{'Michael Brantley_batter': {'Salary': 4400.0, 'projected_FD_points': 3.0515394391193782, 'confidence': -0.10532914020475692, 'FD_Position': 'OF'}, 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'Mike Pelfrey_pitcher': {'Salary': 6400.0, 'projected_FD_points': 4249.0314097471173, 'confidence': 0, 'FD_Position': 'P'}, 'Joe Mauer_batter': {'Salary': 2800.0, 'projected_FD_points': 179.11676778147714, 'confidence': -0.14667701782754405, 'FD_Position': '1B'}, 'Dexter Fowler_batter': {'Salary': 3200.0, 'projected_FD_points': 3.1852364275375331, 'confidence': -0.018329146751913106, 'FD_Position': 'OF'}, 'Michael Cuddyer_batter': {'Salary': 2500.0, 'projected_FD_points': 4.4818633210921979, 'confidence': -1.9854887347798074,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</si>
  <si>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{'Jose Bautista_batter': {'Salary': 4600.0, 'projected_FD_points': 3.2765751449978477, 'confidence': 0.054646748766177256, 'FD_Position': 'OF'}, 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'Brock Holt_batter': {'Salary': 2200.0, 'projected_FD_points': 2.7709498486299866, 'confidence': -0.25234168779349031, 'FD_Position': '3B'}, 'Brandon Crawford_batter': {'Salary': 2300.0, 'projected_FD_points': 2.181841047783307, 'confidence': -0.07550444194057393, 'FD_Position': 'SS'}, 'Jayson Werth_batter': {'Salary': 2900.0, 'projected_FD_points': 2.6201269741176478, 'confidence': -0.036582118260169771, 'FD_Position': 'OF'}, 'Mike Napoli_batter': {'Salary': 2500.0, 'projected_FD_points': 2.8908355148463429, 'confidence': -0.24608745202867421, 'FD_Position': '1B'}}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</si>
  <si>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'OF'}, 'Omar Infante_batter': {'Salary': 2300.0, 'projected_FD_points': 1.5345424930004223, 'confidence': -0.04062586096336851, 'FD_Position': '2B'}}</t>
  </si>
  <si>
    <t>{'Kris Bryant_batter': {'Salary': 3900.0, 'projected_FD_points': 5.1953417656197463, 'confidence': -1.2885182219175544, 'FD_Position': '3B'}, 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'Erick Aybar_batter': {'Salary': 2400.0, 'projected_FD_points': 2.3874424263081684, 'confidence': -0.031615930884047572, 'FD_Position': 'SS'},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</si>
  <si>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'Alex Gordon_batter': {'Salary': 3400.0, 'projected_FD_points': 3.14911755141891, 'confidence': -0.033306424472856255, 'FD_Position': 'OF'}, 'Daniel Santana_batter': {'Salary': 2700.0, 'projected_FD_points': 2.500745710612494, 'confidence': -0.019265580682523931, 'FD_Position': 'SS'},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</si>
  <si>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'Chase Utley_batter': {'Salary': 2500.0, 'projected_FD_points': 2.4306832941241581, 'confidence': -0.041313621585693516, 'FD_Position': '2B'}}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</si>
  <si>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'J.D. Martinez_batter': {'Salary': 3100.0, 'projected_FD_points': 2.6512527467719069, 'confidence': -0.07562593073679813,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'OF'}, 'Rene Rivera_batter': {'Salary': 2500.0, 'projected_FD_points': 2.8790208295333208, 'confidence': -0.5297905185193974, 'FD_Position': 'C'}}</t>
  </si>
  <si>
    <t>{'Adrian Beltre_batter': {'Salary': 3000.0, 'projected_FD_points': 3.4624039219449321, 'confidence': -0.28098242448340116, 'FD_Position': '3B'}, 'Jimmy Paredes_batter': {'Salary': 3500.0, 'projected_FD_points': 2.897172482968732, 'confidence': -0.23192956429960554, 'FD_Position': '2B'}, 'Chris Owings_batter': {'Salary': 3200.0, 'projected_FD_points': 3.5834259883104687, 'confidence': -2.4922588603024787, 'FD_Position': 'SS'},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'Chris Colabello_batter': {'Salary': 2300.0, 'projected_FD_points': 2.5499321790346761, 'confidence': -0.45143363407260484, 'FD_Position': 'OF'}, 'Jose Abreu_batter': {'Salary': 3500.0, 'projected_FD_points': 3.6237672609709115, 'confidence': -0.40778296808061065, 'FD_Position': '1B'}}</t>
  </si>
  <si>
    <t>{'Jimmy Paredes_batter': {'Salary': 3400.0, 'projected_FD_points': 3.5805178030091436, 'confidence': 0.024280564697803708, 'FD_Position': '2B'}, 'Chris Owings_batter': {'Salary': 3200.0, 'projected_FD_points': 2.6583207266784172, 'confidence': 0.017993079134058676, 'FD_Position': 'SS'}, 'Dexter Fowler_batter': {'Salary': 3500.0, 'projected_FD_points': 4.2926836913938766, 'confidence': -0.032366934403632808, 'FD_Position': 'OF'}, 'Pedro Alvarez_batter': {'Salary': 2900.0, 'projected_FD_points': 3.3954262876227106, 'confidence': -0.50824797761972418, 'FD_Position': '1B'}, 'Eddie Rosario_batter': {'Salary': 2600.0, 'projected_FD_points': 6.2847500904339872, 'confidence': 0, 'FD_Position': 'OF'},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'Josh Harrison_batter': {'Salary': 3100.0, 'projected_FD_points': 3.4502779026285664, 'confidence': -0.30364698114193711, 'FD_Position': '3B'}}</t>
  </si>
  <si>
    <t>{'Pedro Alvarez_batter': {'Salary': 2900.0, 'projected_FD_points': 3.3954262876227106, 'confidence': -0.50824797761972418, 'FD_Position': '1B'}, 'Eddie Rosario_batter': {'Salary': 2600.0, 'projected_FD_points': 6.2847500904339872, 'confidence': 0, 'FD_Position': 'OF'}, 'Adam Rosales_batter': {'Salary': 2200.0, 'projected_FD_points': 2.2898186924286552, 'confidence': -0.40040595090704212, 'FD_Position': '2B'}, 'Daniel Santana_batter': {'Salary': 2800.0, 'projected_FD_points': 2.3342728437903673, 'confidence': -0.28386292111457045, 'FD_Position': 'SS'},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'Josh Harrison_batter': {'Salary': 3100.0, 'projected_FD_points': 3.4502779026285664, 'confidence': -0.30364698114193711, 'FD_Position': '3B'},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</si>
  <si>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'Matt Carpenter_batter': {'Salary': 4200.0, 'projected_FD_points': 3.0180003451463091, 'confidence': -1.1786945811072589, 'FD_Position': '3B'},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'Miguel Cabrera_batter': {'Salary': 5200.0, 'projected_FD_points': 3.3261847493963441, 'confidence': -0.10453846611759277, 'FD_Position': '1B'}, 'Alexei Ramirez_batter': {'Salary': 2500.0, 'projected_FD_points': 2.2785499741388184, 'confidence': -0.0091402122390173979, 'FD_Position': 'SS'}}</t>
  </si>
  <si>
    <t>{'Russell Martin_batter': {'Salary': 3600.0, 'projected_FD_points': 2.7550433151975184, 'confidence': -0.13947826010068698, 'FD_Position': 'C'}, 'Chris Owings_batter': {'Salary': 3300.0, 'projected_FD_points': 3.2702089806008563, 'confidence': -0.10840023868691651, 'FD_Position': 'SS'}, 'Dee Gordon_batter': {'Salary': 3900.0, 'projected_FD_points': 2.6768445027141938, 'confidence': -0.55037769370791056, 'FD_Position': '2B'},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'Chris Colabello_batter': {'Salary': 2300.0, 'projected_FD_points': 2.8064179891072802, 'confidence': -0.11840608190416568, 'FD_Position': 'OF'}, 'Jose Abreu_batter': {'Salary': 3700.0, 'projected_FD_points': 3.1253171379518436, 'confidence': 0.005619750632794962, 'FD_Position': '1B'},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</si>
  <si>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{'Chris Owings_batter': {'Salary': 3300.0, 'projected_FD_points': 3.2702089806008563, 'confidence': -0.10840023868691651, 'FD_Position': 'SS'}, 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'Victor Martinez_batter': {'Salary': 3300.0, 'projected_FD_points': 2.4343675587099711, 'confidence': -0.16073399458486293, 'FD_Position': 'C'},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</si>
  <si>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'Logan Morrison_batter': {'Salary': 3000.0, 'projected_FD_points': 3.3558342739311211, 'confidence': -1.4064036125137496, 'FD_Position': '1B'}, 'Dustin Ackley_batter': {'Salary': 2300.0, 'projected_FD_points': 2.5286182190103164, 'confidence': -0.15525397561339083, 'FD_Position': 'OF'},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</si>
  <si>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'Victor Martinez_batter': {'Salary': 3500.0, 'projected_FD_points': 2.7677572007022317, 'confidence': 0.12639755643477324, 'FD_Position': 'C'}}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</si>
  <si>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'Robinson Chirinos_batter': {'Salary': 2500.0, 'projected_FD_points': 2.4961911255250744, 'confidence': -0.7357219847214036, 'FD_Position': 'C'},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</si>
  <si>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'Trevor Plouffe_batter': {'Salary': 2900.0, 'projected_FD_points': 2.6867967330368465, 'confidence': -0.049127312860753003, 'FD_Position': '3B'}, 'Jose Bautista_batter': {'Salary': 4800.0, 'projected_FD_points': 3.3852438252460608, 'confidence': -0.030586653632809435, 'FD_Position': 'OF'},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'J.D. Martinez_batter': {'Salary': 3000.0, 'projected_FD_points': 2.9282475501384426, 'confidence': -0.028788903275451139, 'FD_Position': 'OF'}, 'Victor Martinez_batter': {'Salary': 3500.0, 'projected_FD_points': 2.7677572007022317, 'confidence': 0.12639755643477324, 'FD_Position': 'C'}, 'Alfredo Simon_pitcher': {'Salary': 7800.0, 'projected_FD_points': 13.157834994667033, 'confidence': -0.13435595855288418, 'FD_Position': 'P'}}</t>
  </si>
  <si>
    <t>{'Ian Kennedy_pitcher': {'Salary': 8000.0, 'projected_FD_points': 16.69055803104138, 'confidence': -3.7878047614051935, 'FD_Position': 'P'}, 'Robinson Cano_batter': {'Salary': 3400.0, 'projected_FD_points': 3.044704800136397, 'confidence': 0.077673507907883188, 'FD_Position': '2B'}, 'Jacob Realmuto_batter': {'Salary': 2200.0, 'projected_FD_points': 1.9237803078905769, 'confidence': -1.8486338177318782, 'FD_Position': 'C'}, 'Mookie Betts_batter': {'Salary': 3400.0, 'projected_FD_points': 4.7504223648014925, 'confidence': 0.19408335826041945, 'FD_Position': 'OF'}, 'Brett Lawrie_batter': {'Salary': 2300.0, 'projected_FD_points': 2.5354615574230408, 'confidence': 0.00088622060201803965, 'FD_Position': '3B'},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'OF'}}</t>
  </si>
  <si>
    <t>{'Robinson Chirinos_batter': {'Salary': 2500.0, 'projected_FD_points': 2.4961911255250744, 'confidence': -0.7357219847214036, 'FD_Position': 'C'}, 'Kris Bryant_batter': {'Salary': 3500.0, 'projected_FD_points': 4.175529144772498, 'confidence': 0.21014466648944286, 'FD_Position': '3B'}, 'Delino Deshields Jr._batter': {'Salary': 2800.0, 'projected_FD_points': 2.9186260086609792, 'confidence': -0.85638122303196829, 'FD_Position': 'OF'}, 'Jose Altuve_batter': {'Salary': 4600.0, 'projected_FD_points': 2.6699963467833863, 'confidence': -0.037566051257901245, 'FD_Position': '2B'}, 'Carlos Gomez_batter': {'Salary': 3700.0, 'projected_FD_points': 2.9605590595798001, 'confidence': -0.053272344166327423,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'Brandon Crawford_batter': {'Salary': 2200.0, 'projected_FD_points': 2.3527791946461045, 'confidence': -0.31075664172112805, 'FD_Position': 'SS'}, 'Collin McHugh_pitcher': {'Salary': 8800.0, 'projected_FD_points': 12.926352040055672, 'confidence': -0.85069435665199733, 'FD_Position': 'P'}}</t>
  </si>
  <si>
    <t>{'Jeff Samardzija_pitcher': {'Salary': 8900.0, 'projected_FD_points': 14.382306946037831, 'confidence': -2.3809081704730564, 'FD_Position': 'P'}, 'Robinson Chirinos_batter': {'Salary': 2500.0, 'projected_FD_points': 2.5172784607823759, 'confidence': 0.046326654765870834, 'FD_Position': 'C'}, 'Adam Lind_batter': {'Salary': 3400.0, 'projected_FD_points': 3.6660506703447302, 'confidence': -0.087855299763406558, 'FD_Position': '1B'}, 'Brett Lawrie_batter': {'Salary': 2400.0, 'projected_FD_points': 2.7595433935332858, 'confidence': -0.185115897788658, 'FD_Position': '3B'}, 'Dexter Fowler_batter': {'Salary': 3300.0, 'projected_FD_points': 4.2622278723634848, 'confidence': -0.16287483135814917, 'FD_Position': 'OF'}, 'Devon Travis_batter': {'Salary': 3400.0, 'projected_FD_points': 5.1387095410720587, 'confidence': -0.44180748053160279, 'FD_Position': '2B'}, 'Giancarlo Stanton_batter': {'Salary': 4500.0, 'projected_FD_points': 4.5618447737702645, 'confidence': -1.0155535177159019, 'FD_Position': 'OF'}, 'Alexei Ramirez_batter': {'Salary': 2700.0, 'projected_FD_points': 2.8049926608507216, 'confidence': -0.12460689806769687, 'FD_Position': 'SS'}, 'Andrew McCutchen_batter': {'Salary': 3800.0, 'projected_FD_points': 4.720252784624801, 'confidence': 0.005890384933386783, 'FD_Position': 'OF'}}</t>
  </si>
  <si>
    <t>{'Ian Desmond_batter': {'Salary': 2900.0, 'projected_FD_points': 2.2543972556328908, 'confidence': -0.012065356042562536, 'FD_Position': 'SS'}, 'Jacob Realmuto_batter': {'Salary': 2200.0, 'projected_FD_points': 1.8770115138544812, 'confidence': -5.2514792535915626, 'FD_Position': 'C'}, 'Justin Turner_batter': {'Salary': 2700.0, 'projected_FD_points': 2.527626309055961, 'confidence': -0.57589921224115925, 'FD_Position': '2B'},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'Brett Lawrie_batter': {'Salary': 2400.0, 'projected_FD_points': 2.7595433935332858, 'confidence': -0.185115897788658, 'FD_Position': '3B'}, 'Giancarlo Stanton_batter': {'Salary': 4500.0, 'projected_FD_points': 4.5618447737702645, 'confidence': -1.0155535177159019, 'FD_Position': 'OF'}, 'Hanley Ramirez_batter': {'Salary': 3900.0, 'projected_FD_points': 3.3588374521942104, 'confidence': -0.066200135298185803, 'FD_Position': 'OF'}, 'Mike Napoli_batter': {'Salary': 2200.0, 'projected_FD_points': 2.3403876206722813, 'confidence': 0.040150345577951274, 'FD_Position': '1B'}}</t>
  </si>
  <si>
    <t>{'Robinson Chirinos_batter': {'Salary': 2500.0, 'projected_FD_points': 2.5172784607823759, 'confidence': 0.046326654765870834, 'FD_Position': 'C'}, 'Starlin Castro_batter': {'Salary': 3200.0, 'projected_FD_points': 2.1152646533320789, 'confidence': -0.076147678229164573, 'FD_Position': 'SS'}, 'Delino Deshields Jr._batter': {'Salary': 2800.0, 'projected_FD_points': 2.6129773523609061, 'confidence': -0.18109535521764686, 'FD_Position': 'OF'}, 'Prince Fielder_batter': {'Salary': 3100.0, 'projected_FD_points': 3.1158056588891538, 'confidence': -0.98598979033398781, 'FD_Position': '1B'}, 'Jorge Soler_batter': {'Salary': 3100.0, 'projected_FD_points': 3.0797305226302729, 'confidence': 0.14525567152420404, 'FD_Position': 'OF'}, 'Mike Moustakas_batter': {'Salary': 2800.0, 'projected_FD_points': 2.239177880559474, 'confidence': -0.1981554711428728, 'FD_Position': '3B'}, 'Daniel Murphy_batter': {'Salary': 2700.0, 'projected_FD_points': 2.3170595674254701, 'confidence': -0.358746182347909, 'FD_Position': '2B'}, 'Dexter Fowler_batter': {'Salary': 3300.0, 'projected_FD_points': 4.2622278723634848, 'confidence': -0.16287483135814917, 'FD_Position': 'OF'}, 'Jon Lester_pitcher': {'Salary': 9100.0, 'projected_FD_points': 12.189120431023962, 'confidence': -0.82358597109000131, 'FD_Position': 'P'}}</t>
  </si>
  <si>
    <t>{'J.D. Martinez_batter': {'Salary': 3000.0, 'projected_FD_points': 2.9389871992836056, 'confidence': -0.020197042054911574,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'Nick Markakis_batter': {'Salary': 2600.0, 'projected_FD_points': 2.4051565910203809, 'confidence': -0.012780331357460817, 'FD_Position': 'OF'}, 'Dexter Fowler_batter': {'Salary': 3200.0, 'projected_FD_points': 3.8945162191576563, 'confidence': -0.20046255829108728, 'FD_Position': 'OF'}, 'Jason Castro_batter': {'Salary': 2200.0, 'projected_FD_points': 1.989433998817379, 'confidence': -1.0006863631496801,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</si>
  <si>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'Devin Mesoraco_batter': {'Salary': 2400.0, 'projected_FD_points': 2.0752241185636304, 'confidence': -0.072319406519974372, 'FD_Position': 'C'}, 'Josh Donaldson_batter': {'Salary': 3700.0, 'projected_FD_points': 3.3536789250763386, 'confidence': -0.11317381219603351, 'FD_Position': '3B'}, 'Daniel Santana_batter': {'Salary': 2900.0, 'projected_FD_points': 2.7309556309081939, 'confidence': -1.0098586921101012,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</si>
  <si>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'Mike Morse_batter': {'Salary': 2400.0, 'projected_FD_points': 2.1771592427950663, 'confidence': 0.13463687899321719, 'FD_Position': '1B'}, 'J.D. Martinez_batter': {'Salary': 3000.0, 'projected_FD_points': 2.9389871992836056, 'confidence': -0.020197042054911574, 'FD_Position': 'OF'}, 'Robinson Cano_batter': {'Salary': 3400.0, 'projected_FD_points': 2.7755460095279156, 'confidence': -0.18133831084813856, 'FD_Position': '2B'}, 'Seth Smith_batter': {'Salary': 2300.0, 'projected_FD_points': 2.2814133977606623, 'confidence': -0.65550741858424599, 'FD_Position': 'OF'},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</si>
  <si>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{'Johnny Cueto_pitcher': {'Salary': 10500.0, 'projected_FD_points': 14.250592419725008, 'confidence': 0.0032779958403799103, 'FD_Position': 'P'}, 'Robinson Cano_batter': {'Salary': 3400.0, 'projected_FD_points': 2.4418236225959191, 'confidence': 0.069847846137467084, 'FD_Position': '2B'},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'Josh Phegley_batter': {'Salary': 2200.0, 'projected_FD_points': 2.929842850690807, 'confidence': -3.0314462712241319,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</si>
  <si>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'Robinson Chirinos_batter': {'Salary': 2400.0, 'projected_FD_points': 2.4470799028240626, 'confidence': -0.060504417394699139, 'FD_Position': 'C'}, 'Brian Dozier_batter': {'Salary': 3200.0, 'projected_FD_points': 2.7613491045236405, 'confidence': -0.048389887716623559, 'FD_Position': '2B'},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'Daniel Santana_batter': {'Salary': 2900.0, 'projected_FD_points': 2.592240718058707, 'confidence': -0.037429657372425096, 'FD_Position': 'SS'}, 'Bryce Harper_batter': {'Salary': 4500.0, 'projected_FD_points': 2.9678926763247051, 'confidence': -0.140985352710153, 'FD_Position': 'OF'}, 'Jayson Werth_batter': {'Salary': 2900.0, 'projected_FD_points': 2.398542808670463, 'confidence': -0.063691377836854635, 'FD_Position': 'OF'}}</t>
  </si>
  <si>
    <t>{'Anthony Rizzo_batter': {'Salary': 4600.0, 'projected_FD_points': 3.691148088565896, 'confidence': 0.010237552710355535, 'FD_Position': '1B'}, 'Matt Kemp_batter': {'Salary': 3500.0, 'projected_FD_points': 3.917137736327486, 'confidence': -0.042088884949329053, 'FD_Position': 'OF'}, 'Kevin Plawecki_batter': {'Salary': 2300.0, 'projected_FD_points': 3.9817298932129512, 'confidence': -3.3359476885218164, 'FD_Position': 'C'},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'Josh Donaldson_batter': {'Salary': 3600.0, 'projected_FD_points': 3.0555295498201849, 'confidence': -0.028090003884948533, 'FD_Position': '3B'}, 'Mike Pelfrey_pitcher': {'Salary': 6400.0, 'projected_FD_points': 28.408801933083708, 'confidence': 0, 'FD_Position': 'P'}, 'Jose Pirela_batter': {'Salary': 2200.0, 'projected_FD_points': 4.4062918028436808, 'confidence': 0, 'FD_Position': 'SS'}, 'Andrew McCutchen_batter': {'Salary': 3600.0, 'projected_FD_points': 3.932669403035185, 'confidence': 0.13446528730403495, 'FD_Position': 'OF'}}</t>
  </si>
  <si>
    <t>{'Robinson Chirinos_batter': {'Salary': 2200.0, 'projected_FD_points': 2.1316428820816107, 'confidence': -0.0048915366993191878, 'FD_Position': 'C'}, 'Jimmy Paredes_batter': {'Salary': 3000.0, 'projected_FD_points': 2.9126394477409345, 'confidence': 0.44053255881179321, 'FD_Position': '2B'}, 'Chris Owings_batter': {'Salary': 2600.0, 'projected_FD_points': 2.4808416006837137, 'confidence': -0.30382712503894593, 'FD_Position': 'SS'}, 'Manny Machado_batter': {'Salary': 3500.0, 'projected_FD_points': 2.5484186874468442, 'confidence': -0.16214625697700913, 'FD_Position': '3B'},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'Mike Trout_batter': {'Salary': 5200.0, 'projected_FD_points': 3.3475734314534566, 'confidence': 0.031923306424747944, 'FD_Position': 'OF'}, 'Andrew McCutchen_batter': {'Salary': 3700.0, 'projected_FD_points': 3.4952815595068296, 'confidence': -0.10502848515558094, 'FD_Position': 'OF'}, 'Starling Marte_batter': {'Salary': 4200.0, 'projected_FD_points': 3.380906940157919, 'confidence': -0.38803562812862635,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</si>
  <si>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'Kyle Blanks_batter': {'Salary': 2800.0, 'projected_FD_points': 4.2719402063468337, 'confidence': -3.948092247355655, 'FD_Position': 'OF'}, 'Mookie Betts_batter': {'Salary': 3000.0, 'projected_FD_points': 3.8698512552860196, 'confidence': -0.19581928556474848, 'FD_Position': 'OF'}, 'Jose Abreu_batter': {'Salary': 3600.0, 'projected_FD_points': 3.2900447413304192, 'confidence': -0.078648820974335676, 'FD_Position': '1B'}, 'Marcus Semien_batter': {'Salary': 2900.0, 'projected_FD_points': 2.5410670713131269, 'confidence': -0.25722861412042031, 'FD_Position': 'SS'},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</si>
  <si>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'Anthony Rizzo_batter': {'Salary': 4200.0, 'projected_FD_points': 3.4105195286351595, 'confidence': -0.016564071162890492, 'FD_Position': '1B'}, 'Kevin Plawecki_batter': {'Salary': 2200.0, 'projected_FD_points': 2.6358016518624292, 'confidence': 0, 'FD_Position': 'C'}, 'Devon Travis_batter': {'Salary': 3700.0, 'projected_FD_points': 3.9947243297813833, 'confidence': -0.011511753918068912, 'FD_Position': '2B'}, 'Mark Canha_batter': {'Salary': 3000.0, 'projected_FD_points': 3.855482060161477, 'confidence': -0.091911111478640617, 'FD_Position': 'OF'}, 'Jhonny Peralta_batter': {'Salary': 2500.0, 'projected_FD_points': 2.2614928579132618, 'confidence': -0.084464431658165973, 'FD_Position': 'SS'},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</si>
  <si>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'Ian Desmond_batter': {'Salary': 2800.0, 'projected_FD_points': 2.6958484765432096, 'confidence': -0.35645509609678805, 'FD_Position': 'SS'}, 'Devon Travis_batter': {'Salary': 3500.0, 'projected_FD_points': 8.187445000495245, 'confidence': -0.15140327774379791, 'FD_Position': '2B'}, 'Mookie Betts_batter': {'Salary': 3000.0, 'projected_FD_points': 4.6394865006314703, 'confidence': 0.27710844425909831, 'FD_Position': 'OF'}, 'Stephen Vogt_batter': {'Salary': 3000.0, 'projected_FD_points': 2.502953580526003, 'confidence': -0.10201553605873359, 'FD_Position': 'C'}, 'Clayton Kershaw_pitcher': {'Salary': 11300.0, 'projected_FD_points': 16.014812905536143, 'confidence': -0.27663051651602499, 'FD_Position': 'P'}, 'Mike Napoli_batter': {'Salary': 2400.0, 'projected_FD_points': 2.7106812711450887, 'confidence': 0.051559218109693106, 'FD_Position': '1B'},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</si>
  <si>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'Stephen Vogt_batter': {'Salary': 3000.0, 'projected_FD_points': 2.502953580526003, 'confidence': -0.10201553605873359, 'FD_Position': 'C'}, 'Mark Canha_batter': {'Salary': 3000.0, 'projected_FD_points': 3.1700936728626332, 'confidence': -2.026524172214232, 'FD_Position': 'OF'}, 'Daniel Santana_batter': {'Salary': 2800.0, 'projected_FD_points': 2.3731374527016995, 'confidence': -0.33596563774499755, 'FD_Position': 'SS'}, 'Dexter Fowler_batter': {'Salary': 3300.0, 'projected_FD_points': 3.07330590169685, 'confidence': 0.0071952330474671644, 'FD_Position': 'OF'}, 'Addison Russell_batter': {'Salary': 2900.0, 'projected_FD_points': 4.5767906183521916, 'confidence': 0, 'FD_Position': '2B'},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</si>
  <si>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'Matt Kemp_batter': {'Salary': 3600.0, 'projected_FD_points': 2.7734868241576693, 'confidence': -0.2516915661513579, 'FD_Position': 'OF'}, 'Seth Smith_batter': {'Salary': 2200.0, 'projected_FD_points': 1.8689692999338707, 'confidence': -0.098295032447380359, 'FD_Position': 'OF'}, 'Chris Iannetta_batter': {'Salary': 2200.0, 'projected_FD_points': 1.5394474544175636, 'confidence': -0.071194015615211992, 'FD_Position': 'C'}, 'Felix Hernandez_pitcher': {'Salary': 11000.0, 'projected_FD_points': 15.824372939893927, 'confidence': 0.72797041440598909, 'FD_Position': 'P'}, 'Johnny Giavotella_batter': {'Salary': 2200.0, 'projected_FD_points': 1.785110561587846, 'confidence': -0.30927974730377561, 'FD_Position': '2B'}, 'Kyle Seager_batter': {'Salary': 2800.0, 'projected_FD_points': 2.6558133227644096, 'confidence': -0.049892270404377381, 'FD_Position': '3B'}, 'Brandon Crawford_batter': {'Salary': 2500.0, 'projected_FD_points': 2.1012768493903273, 'confidence': -0.11372209970852243, 'FD_Position': 'SS'}, 'Nelson Cruz_batter': {'Salary': 5400.0, 'projected_FD_points': 3.8291946040863745, 'confidence': -0.037208156089017397, 'FD_Position': 'OF'}}</t>
  </si>
  <si>
    <t>{'Hank Conger_batter': {'Salary': 2200.0, 'projected_FD_points': 2.6129706571593729, 'confidence': -0.25148051519945946, 'FD_Position': 'C'}, 'Taijuan Walker_pitcher': {'Salary': 7700.0, 'projected_FD_points': 22.431592659179522, 'confidence': 0, 'FD_Position': 'P'},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'Addison Russell_batter': {'Salary': 2900.0, 'projected_FD_points': 46.905680000000011, 'confidence': 0, 'FD_Position': '2B'},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</si>
  <si>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'Corey Kluber_pitcher': {'Salary': 9500.0, 'projected_FD_points': 16.002528929056911, 'confidence': -1.4170321771235499, 'FD_Position': 'P'},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'Daniel Santana_batter': {'Salary': 2800.0, 'projected_FD_points': 2.5372674103082642, 'confidence': -0.3922101898979744, 'FD_Position': 'SS'}, 'Conor Gillaspie_batter': {'Salary': 2200.0, 'projected_FD_points': 2.2001942138623658, 'confidence': -0.096027757318136731, 'FD_Position': '3B'}, 'Dexter Fowler_batter': {'Salary': 3500.0, 'projected_FD_points': 3.6322421220116476, 'confidence': -0.12217804664776244, 'FD_Position': 'OF'}, 'Jose Abreu_batter': {'Salary': 4000.0, 'projected_FD_points': 3.474048269127004, 'confidence': -1.264406945853874, 'FD_Position': '1B'}, 'Addison Russell_batter': {'Salary': 2900.0, 'projected_FD_points': 46.905680000000011, 'confidence': 0, 'FD_Position': '2B'}}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</si>
  <si>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'Hank Conger_batter': {'Salary': 2200.0, 'projected_FD_points': 2.6129706571593729, 'confidence': -0.25148051519945946, 'FD_Position': 'C'}, 'Paul Goldschmidt_batter': {'Salary': 5200.0, 'projected_FD_points': 3.5504544708953261, 'confidence': -0.18627734849510191, 'FD_Position': '1B'}, 'Carlos Gonzalez_batter': {'Salary': 3000.0, 'projected_FD_points': 3.5488849052401137, 'confidence': -0.49509333132792888, 'FD_Position': 'OF'}, 'Troy Tulowitzki_batter': {'Salary': 4300.0, 'projected_FD_points': 3.6313114781844966, 'confidence': -0.072677161156941672, 'FD_Position': 'SS'}, 'Justin Upton_batter': {'Salary': 3700.0, 'projected_FD_points': 3.2424316529196346, 'confidence': -0.36928262990654792, 'FD_Position': 'OF'}, 'Michael Cuddyer_batter': {'Salary': 2700.0, 'projected_FD_points': 4.5273059278823151, 'confidence': -0.018440719095788927, 'FD_Position': 'OF'}}</t>
  </si>
  <si>
    <t>{'Yasmany Tomas_batter': {'Salary': 2700.0, 'projected_FD_points': 3.3769145511447491, 'confidence': 0, 'FD_Position': '3B'},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'Jimmy Paredes_batter': {'Salary': 3200.0, 'projected_FD_points': 3.7702754957485247, 'confidence': -1.2311547174943436, 'FD_Position': '2B'},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'Michael Cuddyer_batter': {'Salary': 2800.0, 'projected_FD_points': 4.0284098261529913, 'confidence': -0.52799598567058736, 'FD_Position': 'OF'}, 'Asdrubal Cabrera_batter': {'Salary': 2700.0, 'projected_FD_points': 2.556669605987878, 'confidence': 0.0406146787240248, 'FD_Position': 'SS'}, 'Victor Martinez_batter': {'Salary': 3400.0, 'projected_FD_points': 2.9295860881801481, 'confidence': 0.028755467362491904, 'FD_Position': 'C'}}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</si>
  <si>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'Alex Gordon_batter': {'Salary': 3200.0, 'projected_FD_points': 3.4413781816866198, 'confidence': -0.098340574104082146, 'FD_Position': 'OF'}, 'Daniel Santana_batter': {'Salary': 2800.0, 'projected_FD_points': 2.605049580048088, 'confidence': -0.38648084579663156, 'FD_Position': 'SS'}, 'Victor Martinez_batter': {'Salary': 3400.0, 'projected_FD_points': 2.9295860881801481, 'confidence': 0.028755467362491904, 'FD_Position': 'C'}, 'Miguel Cabrera_batter': {'Salary': 5300.0, 'projected_FD_points': 2.9577498504964712, 'confidence': -0.073700037207896862,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</si>
  <si>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'Carlos Ruiz_batter': {'Salary': 2400.0, 'projected_FD_points': 2.491282175595579, 'confidence': -0.011953623728704565, 'FD_Position': 'C'}, 'Odubel Herrera_batter': {'Salary': 3000.0, 'projected_FD_points': 3.3544504962128445, 'confidence': 0.20104264999358579, 'FD_Position': 'OF'}, 'Ian Desmond_batter': {'Salary': 3200.0, 'projected_FD_points': 2.6804558887503149, 'confidence': -1.113191101209634, 'FD_Position': 'SS'}, 'Felix Hernandez_pitcher': {'Salary': 11100.0, 'projected_FD_points': 18.588194979884413, 'confidence': 0.53679843674895722, 'FD_Position': 'P'}, 'Denard Span_batter': {'Salary': 2600.0, 'projected_FD_points': 2.8486735679348074, 'confidence': -0.021204709733908311, 'FD_Position': 'OF'}, 'Prince Fielder_batter': {'Salary': 3300.0, 'projected_FD_points': 4.9294115284714115, 'confidence': -0.61004914436321123, 'FD_Position': '1B'},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</si>
  <si>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{'Michael Brantley_batter': {'Salary': 3600.0, 'projected_FD_points': 3.4864120531991176, 'confidence': -0.11300424194203451, 'FD_Position': 'OF'}, 'Jose Bautista_batter': {'Salary': 4800.0, 'projected_FD_points': 3.6673436386963427, 'confidence': -0.099243714698678875, 'FD_Position': 'OF'}, 'Brandon Moss_batter': {'Salary': 3400.0, 'projected_FD_points': 3.6341178999689343, 'confidence': -0.15119233068739857, 'FD_Position': 'OF'}, 'Devon Travis_batter': {'Salary': 3400.0, 'projected_FD_points': 5.1786082312163799, 'confidence': -1.4445928851530776, 'FD_Position': '2B'}, 'Josh Donaldson_batter': {'Salary': 4000.0, 'projected_FD_points': 3.5990920532507213, 'confidence': -0.34194549121990492, 'FD_Position': '3B'}, 'Yordano Ventura_pitcher': {'Salary': 8000.0, 'projected_FD_points': 13.092724837264669, 'confidence': -0.54404496091868904, 'FD_Position': 'P'}, 'Jose Ramirez_batter': {'Salary': 2200.0, 'projected_FD_points': 1.589770469091391, 'confidence': -0.28954107735114776, 'FD_Position': 'SS'}, 'David Ortiz_batter': {'Salary': 3300.0, 'projected_FD_points': 3.4669184536857078, 'confidence': -0.20435057340397855, 'FD_Position': '1B'}, 'Ryan Hanigan_batter': {'Salary': 2200.0, 'projected_FD_points': 1.5744734815768859, 'confidence': -1.1879251312598909, 'FD_Position': 'C'}}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</si>
  <si>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'Rougned Odor_batter': {'Salary': 2300.0, 'projected_FD_points': 2.5294602581616257, 'confidence': -0.054393572505212706, 'FD_Position': '2B'}, 'Carlos Gonzalez_batter': {'Salary': 3200.0, 'projected_FD_points': 4.6732605856888467, 'confidence': -1.6353018847858287, 'FD_Position': 'OF'}, 'Clayton Kershaw_pitcher': {'Salary': 11500.0, 'projected_FD_points': 18.332439167160292, 'confidence': -0.90833632820791488, 'FD_Position': 'P'}, 'Prince Fielder_batter': {'Salary': 3300.0, 'projected_FD_points': 5.1521672846850191, 'confidence': -0.45982441459845336, 'FD_Position': '1B'},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'OF'}, 'Jose Iglesias_batter': {'Salary': 2400.0, 'projected_FD_points': 4.5766827936375432, 'confidence': 0.32655519060475813, 'FD_Position': 'SS'}}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</si>
  <si>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'Johnny Cueto_pitcher': {'Salary': 10400.0, 'projected_FD_points': 17.084985143220788, 'confidence': -1.7303596615011436, 'FD_Position': 'P'}, 'Aramis Ramirez_batter': {'Salary': 2400.0, 'projected_FD_points': 2.5355310313937878, 'confidence': -0.23173773627349492, 'FD_Position': '3B'}, 'Brandon Moss_batter': {'Salary': 3500.0, 'projected_FD_points': 2.8632650554425316, 'confidence': -0.41284127841814255, 'FD_Position': '1B'}, 'Mookie Betts_batter': {'Salary': 3000.0, 'projected_FD_points': 3.326660062753283, 'confidence': 0.028940402393813014, 'FD_Position': 'OF'}, 'Omar Infante_batter': {'Salary': 2200.0, 'projected_FD_points': 2.2962329027060973, 'confidence': -0.024216988174936338, 'FD_Position': '2B'}, 'Alcides Escobar_batter': {'Salary': 2500.0, 'projected_FD_points': 1.6572210716707692, 'confidence': -0.0068375066779826632, 'FD_Position': 'SS'}}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</si>
  <si>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'Victor Martinez_batter': {'Salary': 3400.0, 'projected_FD_points': 3.3737495551500096, 'confidence': -0.29215470024071699, 'FD_Position': 'C'}, 'Hanley Ramirez_batter': {'Salary': 3700.0, 'projected_FD_points': 3.7959341427631226, 'confidence': -0.27483594579315529, 'FD_Position': 'OF'},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</si>
  <si>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'Rougned Odor_batter': {'Salary': 2300.0, 'projected_FD_points': 2.810527988824211, 'confidence': -0.23824600518619388, 'FD_Position': '2B'},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</si>
  <si>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{'Russell Martin_batter': {'Salary': 3200.0, 'projected_FD_points': 2.6820085695181808, 'confidence': -0.1230490291298505, 'FD_Position': 'C'}, 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'David Ortiz_batter': {'Salary': 3300.0, 'projected_FD_points': 2.7014075527647816, 'confidence': -0.027009157451280075, 'FD_Position': '1B'},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</si>
  <si>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{'Anthony Rizzo_batter': {'Salary': 4200.0, 'projected_FD_points': 3.5240154011543612, 'confidence': -0.1186439979662981, 'FD_Position': '1B'}, 'Chris Owings_batter': {'Salary': 2400.0, 'projected_FD_points': 2.8528638434903111, 'confidence': 0.13231741878813219, 'FD_Position': 'SS'}, 'Devon Travis_batter': {'Salary': 3300.0, 'projected_FD_points': 6.9124553067327623, 'confidence': 0.54230835521921628, 'FD_Position': '2B'}, 'Paulo Orlando_batter': {'Salary': 3000.0, 'projected_FD_points': 13.099184621759314, 'confidence': 0, 'FD_Position': 'OF'}, 'Josh Donaldson_batter': {'Salary': 4100.0, 'projected_FD_points': 2.8024954964819351, 'confidence': -0.42315143425226709, 'FD_Position': '3B'}, 'Michael Saunders_batter': {'Salary': 2700.0, 'projected_FD_points': 3.7113887007920487, 'confidence': -0.28975723899408834, 'FD_Position': 'OF'},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'P'}, 'Jason Castro_batter': {'Salary': 2200.0, 'projected_FD_points': 3.0313343442545708, 'confidence': -0.070495225518122373, 'FD_Position': 'C'}}</t>
  </si>
  <si>
    <t>{'George Springer_batter': {'Salary': 3200.0, 'projected_FD_points': 3.2943743709881153, 'confidence': -0.056076770324292147, 'FD_Position': 'OF'}, 'Chase Headley_batter': {'Salary': 2800.0, 'projected_FD_points': 2.5315036761637408, 'confidence': -0.055545474188900101, 'FD_Position': '3B'}, 'Chris Owings_batter': {'Salary': 2400.0, 'projected_FD_points': 2.8528638434903111, 'confidence': 0.13231741878813219, 'FD_Position': 'SS'},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'Paul Goldschmidt_batter': {'Salary': 4700.0, 'projected_FD_points': 3.1755771552886856, 'confidence': -0.073067182613691495, 'FD_Position': '1B'}, 'Nelson Cruz_batter': {'Salary': 5000.0, 'projected_FD_points': 4.1626700742784966, 'confidence': -0.030880666681733393, 'FD_Position': 'OF'}, 'Jason Castro_batter': {'Salary': 2200.0, 'projected_FD_points': 3.0313343442545708, 'confidence': -0.070495225518122373, 'FD_Position': 'C'}, 'Andrew McCutchen_batter': {'Salary': 4000.0, 'projected_FD_points': 3.8421442882214278, 'confidence': -0.018773395139345617, 'FD_Position': 'OF'}}</t>
  </si>
  <si>
    <t>{'Robinson Chirinos_batter': {'Salary': 2400.0, 'projected_FD_points': 2.5968457568844738, 'confidence': -0.0017916960963442197, 'FD_Position': 'C'}, 'Chris Owings_batter': {'Salary': 2400.0, 'projected_FD_points': 3.5481866042555814, 'confidence': 0.0025938113886189162, 'FD_Position': 'SS'}, 'Ian Kennedy_pitcher': {'Salary': 7800.0, 'projected_FD_points': 14.27076692509833, 'confidence': -0.32700380457431244, 'FD_Position': 'P'},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'Paul Goldschmidt_batter': {'Salary': 4800.0, 'projected_FD_points': 3.7725334259863161, 'confidence': -0.015614841298153825, 'FD_Position': '1B'}, 'Joc Pederson_batter': {'Salary': 3000.0, 'projected_FD_points': 3.4261530022969091, 'confidence': 0.014650891616480477, 'FD_Position': 'OF'}, 'A.J. Pollock_batter': {'Salary': 3200.0, 'projected_FD_points': 3.5846499739192073, 'confidence': -0.070900181876819346, 'FD_Position': 'OF'},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</si>
  <si>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'Josh Donaldson_batter': {'Salary': 4200.0, 'projected_FD_points': 3.0281978053346954, 'confidence': -0.10877986738385448, 'FD_Position': '3B'}, 'CC Sabathia_pitcher': {'Salary': 7600.0, 'projected_FD_points': 11.597573486772177, 'confidence': 0, 'FD_Position': 'P'}, 'Lucas Duda_batter': {'Salary': 3700.0, 'projected_FD_points': 2.9201439991250635, 'confidence': -0.020446939417307242, 'FD_Position': '1B'}, 'Colby Rasmus_batter': {'Salary': 2500.0, 'projected_FD_points': 2.655939033634187, 'confidence': -0.04727146101752111, 'FD_Position': 'OF'}, 'Michael Saunders_batter': {'Salary': 2700.0, 'projected_FD_points': 2.7564123196335677, 'confidence': -0.29252314267406665, 'FD_Position': 'OF'}, 'Jose Altuve_batter': {'Salary': 3800.0, 'projected_FD_points': 2.9809244542680871, 'confidence': -0.030859384939072365, 'FD_Position': '2B'}, 'Giancarlo Stanton_batter': {'Salary': 4700.0, 'projected_FD_points': 3.4791964810335689, 'confidence': -0.040145683662774267, 'FD_Position': 'OF'}, 'Jason Castro_batter': {'Salary': 2200.0, 'projected_FD_points': 3.5678890584074479, 'confidence': -0.45548058768288602, 'FD_Position': 'C'}}</t>
  </si>
  <si>
    <t>{'Kris Bryant_batter': {'Salary': 3900.0, 'projected_FD_points': 5.0, 'confidence': 0, 'FD_Position': '3B'},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'Devon Travis_batter': {'Salary': 3100.0, 'projected_FD_points': 10.209781250843845, 'confidence': -0.77541707220762679, 'FD_Position': '2B'}}</t>
  </si>
  <si>
    <t>{'Neil Walker_batter': {'Salary': 3100.0, 'projected_FD_points': 2.7189379476756446, 'confidence': -0.1540633559463731, 'FD_Position': '2B'},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'Kyle Seager_batter': {'Salary': 3700.0, 'projected_FD_points': 3.0526345848543746, 'confidence': -0.390681744064312, 'FD_Position': '3B'}}</t>
  </si>
  <si>
    <t>{'Kolten Wong_batter': {'Salary': 3200.0, 'projected_FD_points': 2.0906227268398689, 'confidence': -0.12497117727322204, 'FD_Position': '2B'}, 'Adam Eaton_batter': {'Salary': 2500.0, 'projected_FD_points': 2.5545932022098796, 'confidence': -0.045125947948090994, 'FD_Position': 'OF'}, 'Melky Cabrera_batter': {'Salary': 2700.0, 'projected_FD_points': 2.524850923275296, 'confidence': -0.029991822522872358, 'FD_Position': 'OF'}, 'Paulo Orlando_batter': {'Salary': 3000.0, 'projected_FD_points': 3.3632884442670061, 'confidence': 0,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'Matt Carpenter_batter': {'Salary': 4400.0, 'projected_FD_points': 2.8517353355463189, 'confidence': -0.35387056079479517, 'FD_Position': '3B'}, 'Jose Abreu_batter': {'Salary': 4400.0, 'projected_FD_points': 3.203392055003774, 'confidence': -0.0537601750445591, 'FD_Position': '1B'}, 'Alexei Ramirez_batter': {'Salary': 3000.0, 'projected_FD_points': 2.1523188337085544, 'confidence': 0.034895378194993998, 'FD_Position': 'SS'}}</t>
  </si>
  <si>
    <t>{'Wil Nieves_batter': {'Salary': 2200.0, 'projected_FD_points': 2.1998956308182125, 'confidence': -3.7803903333069311, 'FD_Position': 'C'}, 'Yangervis Solarte_batter': {'Salary': 2700.0, 'projected_FD_points': 2.0330725695659302, 'confidence': -0.061605692421274894, 'FD_Position': '3B'}, 'Alexander Guerrero_batter': {'Salary': 2700.0, 'projected_FD_points': 2.6959726360228302, 'confidence': -2.7274513104370834, 'FD_Position': '2B'}, 'Corey Dickerson_batter': {'Salary': 4600.0, 'projected_FD_points': 3.1707251711342699, 'confidence': -0.40279545835714559, 'FD_Position': 'OF'}, 'Justin Maxwell_batter': {'Salary': 2600.0, 'projected_FD_points': 2.080135588895784, 'confidence': 0.3393829446496559, 'FD_Position': 'OF'}, 'Matt Holliday_batter': {'Salary': 3600.0, 'projected_FD_points': 2.5816080216245374, 'confidence': -0.18735275211120728, 'FD_Position': 'OF'}, 'Matt Adams_batter': {'Salary': 3000.0, 'projected_FD_points': 2.2979284843592915, 'confidence': -0.0044161064864887134, 'FD_Position': '1B'}, 'Troy Tulowitzki_batter': {'Salary': 5200.0, 'projected_FD_points': 3.4988390428363054, 'confidence': -0.045617417360166224, 'FD_Position': 'SS'},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</si>
  <si>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'Avisail Garcia_batter': {'Salary': 3200.0, 'projected_FD_points': 2.5909886257682082, 'confidence': 0.15259702013258658, 'FD_Position': 'OF'}, 'Melky Cabrera_batter': {'Salary': 2700.0, 'projected_FD_points': 2.4977194812306571, 'confidence': -0.039505885061604573, 'FD_Position': 'OF'}, 'Stephen Vogt_batter': {'Salary': 3500.0, 'projected_FD_points': 2.479189251132691, 'confidence': -0.0092237552788265731, 'FD_Position': 'C'}, 'Marcus Semien_batter': {'Salary': 2900.0, 'projected_FD_points': 2.5686291033251751, 'confidence': -0.11366435061954339, 'FD_Position': 'SS'}, 'Evan Longoria_batter': {'Salary': 3300.0, 'projected_FD_points': 2.6589568054429789, 'confidence': 0.0098516118013260989, 'FD_Position': '3B'}, 'Edwin Encarnacion_batter': {'Salary': 4300.0, 'projected_FD_points': 3.9401834402642075, 'confidence': -0.0021465908838635972, 'FD_Position': '1B'}, 'Johnny Giavotella_batter': {'Salary': 2700.0, 'projected_FD_points': 2.5730624297591924, 'confidence': -7.1970251130817555, 'FD_Position': '2B'}, 'Adam Jones_batter': {'Salary': 4900.0, 'projected_FD_points': 3.5523259346594065, 'confidence': -0.039961135316403995, 'FD_Position': 'OF'}}</t>
  </si>
  <si>
    <t>{'Robinson Chirinos_batter': {'Salary': 2700.0, 'projected_FD_points': 2.3621230724697933, 'confidence': 0.066516298503899285, 'FD_Position': 'C'}, 'Odubel Herrera_batter': {'Salary': 3000.0, 'projected_FD_points': 3.8174726164337436, 'confidence': 0.59183008309960461, 'FD_Position': 'OF'},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'Ryan Flaherty_batter': {'Salary': 2700.0, 'projected_FD_points': 2.7312764366890159, 'confidence': -0.10565239592937958, 'FD_Position': '2B'}, 'Juan Uribe_batter': {'Salary': 2300.0, 'projected_FD_points': 2.7087024704605129, 'confidence': -0.32270089860060991,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</si>
  <si>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{'Robinson Chirinos_batter': {'Salary': 2700.0, 'projected_FD_points': 2.3621230724697933, 'confidence': 0.066516298503899285, 'FD_Position': 'C'}, 'Chris Owings_batter': {'Salary': 2500.0, 'projected_FD_points': 2.3464366927536378, 'confidence': 0.30144773137714309, 'FD_Position': 'SS'}, 'A.J. Pollock_batter': {'Salary': 3500.0, 'projected_FD_points': 2.9656844379319378, 'confidence': -2.0989092067309914, 'FD_Position': 'OF'}, 'Prince Fielder_batter': {'Salary': 3600.0, 'projected_FD_points': 3.4442902308173178, 'confidence': -0.094045935095601108, 'FD_Position': '1B'}, 'Jake Smolinski_batter': {'Salary': 2900.0, 'projected_FD_points': 2.6059581331472002, 'confidence': -0.077935418287394143, 'FD_Position': 'OF'}, 'Juan Uribe_batter': {'Salary': 2300.0, 'projected_FD_points': 2.7087024704605129, 'confidence': -0.32270089860060991, 'FD_Position': '3B'}, 'Clayton Kershaw_pitcher': {'Salary': 12000.0, 'projected_FD_points': 15.453104315994292, 'confidence': -0.031692003952120906, 'FD_Position': 'P'}, 'Rougned Odor_batter': {'Salary': 2800.0, 'projected_FD_points': 2.3351894637816648, 'confidence': -0.011140588195204693, 'FD_Position': '2B'}, 'Chris Carter_batter': {'Salary': 2400.0, 'projected_FD_points': 2.1806220944743151, 'confidence': -0.69415649797683887, 'FD_Position': 'OF'}}</t>
  </si>
  <si>
    <t>{'Brian Dozier_batter': {'Salary': 3000.0, 'projected_FD_points': 2.6488526284422051, 'confidence': -0.01894509126592725, 'FD_Position': '2B'}, 'Trevor Plouffe_batter': {'Salary': 2600.0, 'projected_FD_points': 2.1302485224826149, 'confidence': -0.021539562397902667, 'FD_Position': '3B'}, 'Johnny Cueto_pitcher': {'Salary': 10600.0, 'projected_FD_points': 16.201459306637329, 'confidence': -0.037869975362688324, 'FD_Position': 'P'}, 'Torii Hunter_batter': {'Salary': 3000.0, 'projected_FD_points': 2.6531258156166659, 'confidence': -0.1773030931238142, 'FD_Position': 'OF'}, 'Kennys Vargas_batter': {'Salary': 2400.0, 'projected_FD_points': 2.3985792257573966, 'confidence': -0.025634813078917462, 'FD_Position': '1B'}, 'Oswaldo Arcia_batter': {'Salary': 3000.0, 'projected_FD_points': 2.7561742085308341, 'confidence': 0.065794809997293591, 'FD_Position': 'OF'}, 'Troy Tulowitzki_batter': {'Salary': 5300.0, 'projected_FD_points': 3.8846376615873597, 'confidence': 0.02189209616666199, 'FD_Position': 'SS'}, 'Khris Davis_batter': {'Salary': 2500.0, 'projected_FD_points': 1.9524705940013372, 'confidence': 0.039308709563269151, 'FD_Position': 'OF'}, 'Michael McKenry_batter': {'Salary': 2200.0, 'projected_FD_points': 2.0914840834435782, 'confidence': 5.1459207387138939e-05, 'FD_Position': 'C'}}</t>
  </si>
  <si>
    <t>{'Taijuan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'Paulo Orlando_batter': {'Salary': 3000.0, 'projected_FD_points': 3.5, 'confidence': 0, 'FD_Position': 'OF'}, 'Bobby Wilson_batter': {'Salary': 2200.0, 'projected_FD_points': 2.5322416285249538, 'confidence': 0, 'FD_Position': 'C'}, 'Adam Jones_batter': {'Salary': 5100.0, 'projected_FD_points': 4.1113710185124868, 'confidence': -0.38562827427472568, 'FD_Position': 'OF'},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'Alexei Ramirez_batter': {'Salary': 2900.0, 'projected_FD_points': 2.8721859807237777, 'confidence': -0.32406891550793504, 'FD_Position': 'SS'}}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</si>
  <si>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'Paulo Orlando_batter': {'Salary': 3000.0, 'projected_FD_points': 3.5, 'confidence': 0, 'FD_Position': 'OF'}, 'Todd Frazier_batter': {'Salary': 3400.0, 'projected_FD_points': 3.057673465583481, 'confidence': -0.10436532167898993, 'FD_Position': '3B'}, 'Salvador Perez_batter': {'Salary': 3600.0, 'projected_FD_points': 2.0433053472831251, 'confidence': -0.026422405622322565, 'FD_Position': 'C'},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</si>
  <si>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{'Michael Brantley_batter': {'Salary': 3900.0, 'projected_FD_points': 3.6063933037212896, 'confidence': -0.0072622725263171706, 'FD_Position': 'OF'}, 'Matt Shoemaker_pitcher': {'Salary': 8500.0, 'projected_FD_points': 14.434745570081482, 'confidence': -1.1564817248440828, 'FD_Position': 'P'}, 'J.D. Martinez_batter': {'Salary': 4000.0, 'projected_FD_points': 3.7086162500978834, 'confidence': -0.090833343930997845, 'FD_Position': 'OF'}, 'Mike Moustakas_batter': {'Salary': 3100.0, 'projected_FD_points': 2.6056435059262864, 'confidence': -0.0016595375046526417, 'FD_Position': '3B'}, 'Kris Negron_batter': {'Salary': 2400.0, 'projected_FD_points': 3.0632833620852686, 'confidence': -0.36010839681921913, 'FD_Position': '2B'}, 'Logan Morrison_batter': {'Salary': 2300.0, 'projected_FD_points': 2.7257469984479785, 'confidence': -0.76420283446284465, 'FD_Position': '1B'},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'Jose Iglesias_batter': {'Salary': 2900.0, 'projected_FD_points': 3.8062303558131809, 'confidence': -5.4665424229492716, 'FD_Position': 'SS'}}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</si>
  <si>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'Mike Moustakas_batter': {'Salary': 3100.0, 'projected_FD_points': 2.6056435059262864, 'confidence': -0.0016595375046526417, 'FD_Position': '3B'}, 'Geovany Soto_batter': {'Salary': 2300.0, 'projected_FD_points': 2.2532554370290478, 'confidence': -0.43901240748346115, 'FD_Position': 'C'},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</si>
  <si>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'Chris Owings_batter': {'Salary': 2400.0, 'projected_FD_points': 3.13107398820478, 'confidence': -0.22460358431986172, 'FD_Position': 'SS'},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</si>
  <si>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{'Alex Rodriguez_batter': {'Salary': 3700.0, 'projected_FD_points': 4.8825035246101436, 'confidence': 0, 'FD_Position': '3B'},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</si>
  <si>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4.4418164746731668, 'confidence': -0.65656132248442178,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'Victor Martinez_batter': {'Salary': 3600.0, 'projected_FD_points': 2.6909643471799374, 'confidence': -0.031540603831416103, 'FD_Position': 'C'}, 'Kyle Blanks_batter': {'Salary': 2800.0, 'projected_FD_points': 2.704673665991379, 'confidence': -4.9959997640717662, 'FD_Position': 'OF'}}</t>
  </si>
  <si>
    <t>{'Chris Owings_batter': {'Salary': 2400.0, 'projected_FD_points': 3.13107398820478, 'confidence': -0.22460358431986172, 'FD_Position': 'SS'}, 'Brandon McCarthy_pitcher': {'Salary': 7900.0, 'projected_FD_points': 14.453551871125129, 'confidence': 0.00062143631448263736, 'FD_Position': 'P'}, 'Rougned Odor_batter': {'Salary': 2900.0, 'projected_FD_points': 2.3289495638986644, 'confidence': -0.064671123863935476, 'FD_Position': '2B'}, 'Jake Smolinski_batter': {'Salary': 2700.0, 'projected_FD_points': 2.2511485066818313, 'confidence': 0.34085013023141442, 'FD_Position': 'OF'}, 'A.J. Pollock_batter': {'Salary': 3500.0, 'projected_FD_points': 3.8373057825339991, 'confidence': -1.495263809962939, 'FD_Position': 'OF'}, 'Paul Goldschmidt_batter': {'Salary': 5200.0, 'projected_FD_points': 3.576889381586843, 'confidence': -0.11020248463846194, 'FD_Position': '1B'}, 'Kyle Seager_batter': {'Salary': 3400.0, 'projected_FD_points': 2.7300572338316291, 'confidence': -0.13241595459634059, 'FD_Position': '3B'}, 'Nelson Cruz_batter': {'Salary': 4800.0, 'projected_FD_points': 3.5557459278478567, 'confidence': -0.14617263119352564, 'FD_Position': 'OF'}, 'Michael McKenry_batter': {'Salary': 2200.0, 'projected_FD_points': 2.6867594508758015, 'confidence': -0.47990323520308742,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</si>
  <si>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4.4418164746731668, 'confidence': -0.65656132248442178,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</si>
  <si>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{'Robinson Chirinos_batter': {'Salary': 2600.0, 'projected_FD_points': 2.4886107619637445, 'confidence': -0.027582096168881298, 'FD_Position': 'C'}, 'Alex Rodriguez_batter': {'Salary': 3300.0, 'projected_FD_points': 8.7812098569378652, 'confidence': 0, 'FD_Position': '3B'}, 'Robbie Grossman_batter': {'Salary': 2500.0, 'projected_FD_points': 2.3908905596698742, 'confidence': -0.18734556054394136, 'FD_Position': 'OF'}, 'Carlos Peguero_batter': {'Salary': 2400.0, 'projected_FD_points': 2.17083042460811, 'confidence': 0, 'FD_Position': 'OF'}, 'Prince Fielder_batter': {'Salary': 3600.0, 'projected_FD_points': 3.9361248368547499, 'confidence': 0.026371423997654353, 'FD_Position': '1B'}, 'Marcus Semien_batter': {'Salary': 2900.0, 'projected_FD_points': 3.7234989046069491, 'confidence': -0.27585444811057136, 'FD_Position': 'SS'}, 'Felix Hernandez_pitcher': {'Salary': 11400.0, 'projected_FD_points': 15.92541448398859, 'confidence': 0.24494426527485735, 'FD_Position': 'P'}, 'Rougned Odor_batter': {'Salary': 3000.0, 'projected_FD_points': 2.1022634774017837, 'confidence': -0.029951775126847435, 'FD_Position': '2B'}, 'Michael Cuddyer_batter': {'Salary': 3300.0, 'projected_FD_points': 3.1652146948405808, 'confidence': -0.61503738516106154, 'FD_Position': 'OF'}}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</si>
  <si>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15.657075924309829, 'confidence': -3.9168028731882556,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</si>
  <si>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{'Carlos Ruiz_batter': {'Salary': 2300.0, 'projected_FD_points': 2.8257897168562289, 'confidence': -0.86259493674956222, 'FD_Position': 'C'}, 'Alex Rodriguez_batter': {'Salary': 3300.0, 'projected_FD_points': 9.5769243042491503, 'confidence': 0, 'FD_Position': '3B'}, 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'Tim Beckham_batter': {'Salary': 2200.0, 'projected_FD_points': 19.132210216847284, 'confidence': 0, 'FD_Position': 'SS'}, 'Mookie Betts_batter': {'Salary': 3100.0, 'projected_FD_points': 3.2371161090160405, 'confidence': -0.47127668508831921, 'FD_Position': 'OF'}, 'Prince Fielder_batter': {'Salary': 3600.0, 'projected_FD_points': 4.0461076082171674, 'confidence': -0.54963409914460537, 'FD_Position': '1B'}, 'Kole Calhoun_batter': {'Salary': 3500.0, 'projected_FD_points': 4.3676043646793001, 'confidence': 0.065002927902885643, 'FD_Position': 'OF'}}</t>
  </si>
  <si>
    <t>{'Johnny Cueto_pitcher': {'Salary': 10500.0, 'projected_FD_points': 14.764822904450643, 'confidence': -0.03334496440773127,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3.0865405489925877, 'confidence': -2.8264661506129305,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</si>
  <si>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{'Robinson Chirinos_batter': {'Salary': 2600.0, 'projected_FD_points': 2.2519186743174391, 'confidence': 0.044494586464796981, 'FD_Position': 'C'}, 'Chris Owings_batter': {'Salary': 2300.0, 'projected_FD_points': 2.6764196658247554, 'confidence': -0.37282643530404003, 'FD_Position': 'SS'}, 'Seth Smith_batter': {'Salary': 2600.0, 'projected_FD_points': 2.1208895677213104, 'confidence': -0.27973194654805433, 'FD_Position': 'OF'}, 'Rougned Odor_batter': {'Salary': 3000.0, 'projected_FD_points': 2.2408300748018855, 'confidence': -0.04444831341184452, 'FD_Position': '2B'},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'Prince Fielder_batter': {'Salary': 3600.0, 'projected_FD_points': 4.0461076082171674, 'confidence': -0.54963409914460537, 'FD_Position': '1B'}, 'Austin Jackson_batter': {'Salary': 2600.0, 'projected_FD_points': 2.0154106545739832, 'confidence': -0.23650757992030846, 'FD_Position': 'OF'}, 'Kyle Seager_batter': {'Salary': 3500.0, 'projected_FD_points': 2.807411608710892, 'confidence': -0.096631460537811353, 'FD_Position': '3B'}}</t>
  </si>
  <si>
    <t>{'Phil Hughes_pitcher': {'Salary': 7900.0, 'projected_FD_points': 10.909346305381185, 'confidence': 0.16947157136351521,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</si>
  <si>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{'Corey Kluber_pitcher': {'Salary': 10700.0, 'projected_FD_points': 17.953319538448628, 'confidence': -0.67668693409431291, 'FD_Position': 'P'}, 'Kole Calhoun_batter': {'Salary': 3500.0, 'projected_FD_points': 4.3676043646793001, 'confidence': 0.065002927902885643,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'Mike Moustakas_batter': {'Salary': 3100.0, 'projected_FD_points': 2.205806036025491, 'confidence': -0.037461350792125314, 'FD_Position': '3B'}, 'Daniel Santana_batter': {'Salary': 3300.0, 'projected_FD_points': 3.3256188034551766, 'confidence': -0.19200482437579147, 'FD_Position': 'SS'}, 'Josh Reddick_batter': {'Salary': 3300.0, 'projected_FD_points': 3.2174496034704649, 'confidence': -0.27256765746229639, 'FD_Position': 'OF'}, 'Jason Castro_batter': {'Salary': 2500.0, 'projected_FD_points': 2.6028857636696197, 'confidence': 0.00097617641018643564, 'FD_Position': 'C'}, 'Brian Dozier_batter': {'Salary': 3100.0, 'projected_FD_points': 3.1294104288350431, 'confidence': -1.5098197999856984, 'FD_Position': '2B'}}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</si>
  <si>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3.6527233845265492, 'confidence': -2.7606911139482433, 'FD_Position': 'C'}, 'Devon Travis_batter': {'Salary': 3400.0, 'projected_FD_points': 4.3687612023834941, 'confidence': -0.6705554654258632, 'FD_Position': '2B'}, 'Josh Donaldson_batter': {'Salary': 3600.0, 'projected_FD_points': 2.9966921071880446, 'confidence': -0.0084414125129974593, 'FD_Position': '3B'}, 'Mike Pelfrey_pitcher': {'Salary': 6400.0, 'projected_FD_points': 100.74074091512026, 'confidence': 0, 'FD_Position': 'P'}, 'A.J. Pollock_batter': {'Salary': 3700.0, 'projected_FD_points': 3.7075102131631734, 'confidence': -0.082933957177450113, 'FD_Position': 'OF'}}</t>
  </si>
  <si>
    <t>{'Robinson Chirinos_batter': {'Salary': 2200.0, 'projected_FD_points': 2.094891513264336, 'confidence': -0.03838595801495126, 'FD_Position': 'C'}, 'Jimmy Paredes_batter': {'Salary': 3000.0, 'projected_FD_points': 2.9112264810886415, 'confidence': 0.44014932011979868, 'FD_Position': '2B'}, 'Chris Owings_batter': {'Salary': 2600.0, 'projected_FD_points': 2.3771488430962875, 'confidence': -0.27478491085429479, 'FD_Position': 'SS'}, 'Prince Fielder_batter': {'Salary': 3300.0, 'projected_FD_points': 3.387860841619359, 'confidence': 0.40366955927446402, 'FD_Position': '1B'}, 'Adrian Beltre_batter': {'Salary': 2800.0, 'projected_FD_points': 2.2873988856409886, 'confidence': -0.39796469763055087, 'FD_Position': '3B'}, 'Giancarlo Stanton_batter': {'Salary': 4700.0, 'projected_FD_points': 3.3977243761710993, 'confidence': -0.12057822565337428, 'FD_Position': 'OF'}, 'Andrew McCutchen_batter': {'Salary': 3700.0, 'projected_FD_points': 3.0568392788758745, 'confidence': -0.082895116356575427, 'FD_Position': 'OF'}, 'Collin McHugh_pitcher': {'Salary': 8400.0, 'projected_FD_points': 12.075418977321291, 'confidence': -0.063907017346909623, 'FD_Position': 'P'}, 'Starling Marte_batter': {'Salary': 4200.0, 'projected_FD_points': 3.1342566426379377, 'confidence': -0.34748525113940576, 'FD_Position': 'OF'}}</t>
  </si>
  <si>
    <t>{'Adrian Beltre_batter': {'Salary': 2800.0, 'projected_FD_points': 2.6890165999268434, 'confidence': -0.020678527608023911, 'FD_Position': '3B'}, 'Russell Martin_batter': {'Salary': 3500.0, 'projected_FD_points': 2.6877361446785168, 'confidence': -0.035875692419852001, 'FD_Position': 'C'}, 'J.D. Martinez_batter': {'Salary': 3200.0, 'projected_FD_points': 3.1650060027893843, 'confidence': -0.11460129072762881, 'FD_Position': 'OF'}, 'Devon Travis_batter': {'Salary': 3600.0, 'projected_FD_points': 4.1661152183165209, 'confidence': -0.89445794949965274, 'FD_Position': '2B'}, 'Mookie Betts_batter': {'Salary': 3000.0, 'projected_FD_points': 3.5621445364894813, 'confidence': -0.17130699675582117, 'FD_Position': 'OF'}, 'Jose Abreu_batter': {'Salary': 3600.0, 'projected_FD_points': 3.317956339280185, 'confidence': -0.040387777768837063, 'FD_Position': '1B'}, 'Kyle Blanks_batter': {'Salary': 2800.0, 'projected_FD_points': 3.2164502424140435, 'confidence': -4.1844119440428864, 'FD_Position': 'OF'}, 'Chris Sale_pitcher': {'Salary': 9800.0, 'projected_FD_points': 12.963284641198552, 'confidence': 0.095208225092716758, 'FD_Position': 'P'}, 'Jose Iglesias_batter': {'Salary': 2400.0, 'projected_FD_points': 2.5749235956831962, 'confidence': 0.3837702233377972, 'FD_Position': 'SS'}}</t>
  </si>
  <si>
    <t>{'Starlin Castro_batter': {'Salary': 3100.0, 'projected_FD_points': 2.4403009582850066, 'confidence': -0.045292784100757544, 'FD_Position': 'SS'}, 'Anthony Rizzo_batter': {'Salary': 4200.0, 'projected_FD_points': 3.4449412456729371, 'confidence': -0.019746555507309749, 'FD_Position': '1B'}, 'Devon Travis_batter': {'Salary': 3700.0, 'projected_FD_points': 4.5205294491847337, 'confidence': 0.13424268352054514, 'FD_Position': '2B'}, 'Mark Canha_batter': {'Salary': 3000.0, 'projected_FD_points': 3.4434171085101246, 'confidence': -0.096172217738813792, 'FD_Position': 'OF'}, 'Kyle Blanks_batter': {'Salary': 2900.0, 'projected_FD_points': 3.3375480815842269, 'confidence': -1.2562990570591634, 'FD_Position': 'OF'}, 'Brett Lawrie_batter': {'Salary': 2600.0, 'projected_FD_points': 2.7216767029971081, 'confidence': -0.18413356587291463, 'FD_Position': '3B'}, 'Giancarlo Stanton_batter': {'Salary': 4800.0, 'projected_FD_points': 3.7783082146030567, 'confidence': -0.513156014866476, 'FD_Position': 'OF'}, 'Michael Pineda_pitcher': {'Salary': 8500.0, 'projected_FD_points': 14.612098977376789, 'confidence': -1.2265284603700422, 'FD_Position': 'P'}, 'Jason Castro_batter': {'Salary': 2200.0, 'projected_FD_points': 2.5257905131537259, 'confidence': -0.12672394948388432, 'FD_Position': 'C'}}</t>
  </si>
  <si>
    <t>{'Robinson Chirinos_batter': {'Salary': 2300.0, 'projected_FD_points': 2.1899830266412703, 'confidence': 0.043383966106602334, 'FD_Position': 'C'}, 'Ian Desmond_batter': {'Salary': 2800.0, 'projected_FD_points': 2.408963235048585, 'confidence': -0.2819665644144338, 'FD_Position': 'SS'}, 'Devon Travis_batter': {'Salary': 3500.0, 'projected_FD_points': 8.1805374682301597, 'confidence': -0.13955435965695551,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'P'}, 'Kyle Blanks_batter': {'Salary': 2900.0, 'projected_FD_points': 3.1683760269007486, 'confidence': -3.4947961143144504, 'FD_Position': 'OF'}}</t>
  </si>
  <si>
    <t>{'Phil Hughes_pitcher': {'Salary': 7400.0, 'projected_FD_points': 10.620358877326586, 'confidence': 0.49932113586919846,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4.3425070531931738, 'confidence': 0, 'FD_Position': '2B'}, 'Kyle Blanks_batter': {'Salary': 2900.0, 'projected_FD_points': 3.1683760269007486, 'confidence': -3.4947961143144504, 'FD_Position': 'OF'}, 'Matt Carpenter_batter': {'Salary': 4200.0, 'projected_FD_points': 2.7738111867760895, 'confidence': 0.0019278984775433772, 'FD_Position': '3B'}}</t>
  </si>
  <si>
    <t>{'Albert Pujols_batter': {'Salary': 3100.0, 'projected_FD_points': 2.6585550435167402, 'confidence': -0.05869108068155815, 'FD_Position': '1B'}, 'Matt Kemp_batter': {'Salary': 3600.0, 'projected_FD_points': 2.9996869147567136, 'confidence': -0.20364632892701362, 'FD_Position': 'OF'}, 'Seth Smith_batter': {'Salary': 2200.0, 'projected_FD_points': 1.942045654972901, 'confidence': -0.10519320482684713, 'FD_Position': 'OF'}, 'Chris Iannetta_batter': {'Salary': 2200.0, 'projected_FD_points': 1.7285753225247174, 'confidence': -0.016951591421660916, 'FD_Position': 'C'}, 'Robinson Cano_batter': {'Salary': 3600.0, 'projected_FD_points': 2.601151619891656, 'confidence': 0.0054907414667106913, 'FD_Position': '2B'}, 'Felix Hernandez_pitcher': {'Salary': 11000.0, 'projected_FD_points': 15.653069909629345, 'confidence': 0.75140090929270653, 'FD_Position': 'P'}, 'Kyle Seager_batter': {'Salary': 2800.0, 'projected_FD_points': 2.5219612099878903, 'confidence': -0.019463595342193996, 'FD_Position': '3B'}, 'Justin Upton_batter': {'Salary': 4000.0, 'projected_FD_points': 2.9510892696627371, 'confidence': -0.21077997728517217, 'FD_Position': 'OF'}, 'Brandon Crawford_batter': {'Salary': 2500.0, 'projected_FD_points': 2.0899877810181104, 'confidence': -0.10462770268273225, 'FD_Position': 'SS'}}</t>
  </si>
  <si>
    <t>{'Joe Kelly_pitcher': {'Salary': 6900.0, 'projected_FD_points': 10.533905379228896, 'confidence': -0.42508827025672469, 'FD_Position': 'P'}, 'Albert Pujols_batter': {'Salary': 3000.0, 'projected_FD_points': 2.7493493625740579, 'confidence': -0.0074212997133245029, 'FD_Position': '1B'},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'Corey Dickerson_batter': {'Salary': 4200.0, 'projected_FD_points': 3.2000021160491543, 'confidence': -0.13115531386406243, 'FD_Position': 'OF'}, 'Cory Spangenberg_batter': {'Salary': 2200.0, 'projected_FD_points': 2.2687912980296883, 'confidence': -7.228237001881288, 'FD_Position': '2B'}, 'Buster Posey_batter': {'Salary': 3500.0, 'projected_FD_points': 2.5134625404500812, 'confidence': -0.018563213399586997, 'FD_Position': 'C'}, 'Mike Trout_batter': {'Salary': 5500.0, 'projected_FD_points': 4.6232860252381816, 'confidence': -0.058957898775920947, 'FD_Position': 'OF'}, 'Nolan Arenado_batter': {'Salary': 3700.0, 'projected_FD_points': 2.5211864406779663, 'confidence': -0.16836959791758521, 'FD_Position': '3B'}}</t>
  </si>
  <si>
    <t>{'Corey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2.5009468758186459, 'confidence': -2.982056485336221,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</si>
  <si>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</si>
  <si>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{'Josh Phegley_batter': {'Salary': 2200.0, 'projected_FD_points': 2.5009468758186459, 'confidence': -2.982056485336221, 'FD_Position': 'C'}, 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'Evan Longoria_batter': {'Salary': 3100.0, 'projected_FD_points': 2.4784514378863989, 'confidence': 0.044710809751218994, 'FD_Position': '3B'}, 'David Price_pitcher': {'Salary': 10900.0, 'projected_FD_points': 14.365596072555089, 'confidence': -0.12519041467769854, 'FD_Position': 'P'}, 'Justin Upton_batter': {'Salary': 3700.0, 'projected_FD_points': 3.0497800297389395, 'confidence': -0.35033513239823111, 'FD_Position': 'OF'}, 'Jose Iglesias_batter': {'Salary': 2600.0, 'projected_FD_points': 2.2647914689006954, 'confidence': 0.1676309218304457, 'FD_Position': 'SS'}}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</si>
  <si>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</si>
  <si>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4.0464066248771973, 'confidence': -6.6363113282303559, 'FD_Position': 'OF'}, 'Ian Kennedy_pitcher': {'Salary': 7300.0, 'projected_FD_points': 13.385155956266594, 'confidence': -1.5078160587546452,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'OF'}, 'Asdrubal Cabrera_batter': {'Salary': 2700.0, 'projected_FD_points': 2.5613810811106359, 'confidence': 0.052543410303046101, 'FD_Position': 'SS'}}</t>
  </si>
  <si>
    <t>{'Robinson Chirinos_batter': {'Salary': 2300.0, 'projected_FD_points': 2.477357553106899, 'confidence': -0.11147128111933235, 'FD_Position': 'C'}, 'Scott Kazmir_pitcher': {'Salary': 9200.0, 'projected_FD_points': 12.389251571041868, 'confidence': 0.0057896915039077346, 'FD_Position': 'P'}, 'Brian Dozier_batter': {'Salary': 2900.0, 'projected_FD_points': 3.062347787533501, 'confidence': -0.1821768221961293, 'FD_Position': '2B'}, 'J.D. Martinez_batter': {'Salary': 3500.0, 'projected_FD_points': 3.2024228448515704, 'confidence': -0.096852543036654026, 'FD_Position': 'OF'}, 'Matt Holliday_batter': {'Salary': 3500.0, 'projected_FD_points': 2.8723899243481874, 'confidence': -0.33635021991442016, 'FD_Position': 'OF'},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'Kyle Seager_batter': {'Salary': 3000.0, 'projected_FD_points': 2.5973269679688316, 'confidence': -0.054256617255580286, 'FD_Position': '3B'}, 'Andrew McCutchen_batter': {'Salary': 4100.0, 'projected_FD_points': 3.4091034911407219, 'confidence': 0.0040926831003359476, 'FD_Position': 'OF'}}</t>
  </si>
  <si>
    <t>{'Kris Bryant_batter': {'Salary': 3800.0, 'projected_FD_points': 3.1661602969126164, 'confidence': 0, 'FD_Position': '3B'}, 'Carlos Ruiz_batter': {'Salary': 2400.0, 'projected_FD_points': 2.3045314334375799, 'confidence': 0.02897031758940205, 'FD_Position': 'C'}, 'Odubel Herrera_batter': {'Salary': 3000.0, 'projected_FD_points': 3.7249111267192596, 'confidence': 0.26418950442694156, 'FD_Position': 'OF'}, 'Ian Desmond_batter': {'Salary': 3200.0, 'projected_FD_points': 2.7012882194054484, 'confidence': -1.0646823611297398, 'FD_Position': 'SS'}, 'Felix Hernandez_pitcher': {'Salary': 11100.0, 'projected_FD_points': 18.13183066685599, 'confidence': 0.50173475067039675,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</si>
  <si>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13.362019816123148, 'confidence': -0.25840465068772756,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</si>
  <si>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{'Carlos Ruiz_batter': {'Salary': 2200.0, 'projected_FD_points': 2.2404490027465771, 'confidence': -0.03474518462134002, 'FD_Position': 'C'}, 'Kole Calhoun_batter': {'Salary': 3400.0, 'projected_FD_points': 4.0895804351757139, 'confidence': -1.1909205180595768, 'FD_Position': 'OF'}, 'Aramis Ramirez_batter': {'Salary': 2400.0, 'projected_FD_points': 2.6273033470962526, 'confidence': -0.20872564174250052, 'FD_Position': '3B'}, 'Rougned Odor_batter': {'Salary': 2300.0, 'projected_FD_points': 2.092128009342245, 'confidence': -0.086221192039003025, 'FD_Position': '2B'}, 'Clayton Kershaw_pitcher': {'Salary': 11500.0, 'projected_FD_points': 18.404578787284102, 'confidence': -0.53263365581830446,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'Andrew McCutchen_batter': {'Salary': 3900.0, 'projected_FD_points': 3.5686868366257762, 'confidence': -0.14391009510612274,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</si>
  <si>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16.563746671940642, 'confidence': -1.5483663117596946,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</si>
  <si>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'Devon Travis_batter': {'Salary': 3300.0, 'projected_FD_points': 5.6149083900940688, 'confidence': -0.40406251984448649, 'FD_Position': '2B'}, 'Freddie Freeman_batter': {'Salary': 3100.0, 'projected_FD_points': 2.4609215873213097, 'confidence': -0.057806526510105094,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</si>
  <si>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'Jayson Werth_batter': {'Salary': 2800.0, 'projected_FD_points': 2.7313306262038761, 'confidence': -0.42503153790478443, 'FD_Position': 'OF'}}</t>
  </si>
  <si>
    <t>{'Russell Martin_batter': {'Salary': 3200.0, 'projected_FD_points': 2.6389732185763854, 'confidence': -0.12506503248036172, 'FD_Position': 'C'}, 'Corey Kluber_pitcher': {'Salary': 9800.0, 'projected_FD_points': 14.581190784886129, 'confidence': -3.7432033480433837, 'FD_Position': 'P'}, 'Devon Travis_batter': {'Salary': 3300.0, 'projected_FD_points': 5.6149083900940688, 'confidence': -0.40406251984448649, 'FD_Position': '2B'}, 'Tim Beckham_batter': {'Salary': 2400.0, 'projected_FD_points': 2.9710113566162568, 'confidence': -3.3162976788204173, 'FD_Position': 'SS'}, 'Todd Frazier_batter': {'Salary': 3400.0, 'projected_FD_points': 2.6799453126163773, 'confidence': -0.064849691357879546, 'FD_Position': '3B'}, 'Edwin Encarnacion_batter': {'Salary': 3600.0, 'projected_FD_points': 3.1563300469798303, 'confidence': -0.23246157439089932, 'FD_Position': '1B'}, 'Michael Cuddyer_batter': {'Salary': 2800.0, 'projected_FD_points': 2.5110810807348729, 'confidence': -0.5936292295871215, 'FD_Position': 'OF'},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</si>
  <si>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7.3408467864071918, 'confidence': 0.38293396011788361, 'FD_Position': '2B'}, 'Paulo Orlando_batter': {'Salary': 3000.0, 'projected_FD_points': 14.233220276301303, 'confidence': 0, 'FD_Position': 'OF'}, 'Anthony Rizzo_batter': {'Salary': 4200.0, 'projected_FD_points': 3.4121009661758119, 'confidence': -0.075075552825066838, 'FD_Position': '1B'},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</si>
  <si>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11.819360162133549, 'confidence': -0.32497933420761282,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3.3218283842260008, 'confidence': 0.11248730270006468, 'FD_Position': 'OF'}, 'Jason Castro_batter': {'Salary': 2200.0, 'projected_FD_points': 2.8420217149227742, 'confidence': -0.074510386572811838, 'FD_Position': 'C'}}</t>
  </si>
  <si>
    <t>{'Mike Trout_batter': {'Salary': 5100.0, 'projected_FD_points': 3.3433073321871993, 'confidence': -0.0057649244969890656, 'FD_Position': 'OF'}, 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</si>
  <si>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{'Ian Desmond_batter': {'Salary': 3500.0, 'projected_FD_points': 2.4170386434229041, 'confidence': -0.0064294032452099081, 'FD_Position': 'SS'}, 'Jose Altuve_batter': {'Salary': 3800.0, 'projected_FD_points': 2.7053606757903461, 'confidence': -0.012047913638506103, 'FD_Position': '2B'}, 'CC Sabathia_pitcher': {'Salary': 7600.0, 'projected_FD_points': 12.349668556527533, 'confidence': 0,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'Giancarlo Stanton_batter': {'Salary': 4700.0, 'projected_FD_points': 3.4882995853004108, 'confidence': -0.050052664511440081,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</si>
  <si>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'Jacoby Ellsbury_batter': {'Salary': 3800.0, 'projected_FD_points': 3.6492673602501839, 'confidence': -0.026939002666515499, 'FD_Position': 'OF'}, 'Michael Cuddyer_batter': {'Salary': 3200.0, 'projected_FD_points': 4.6940961518085311, 'confidence': 0.051472636675264138, 'FD_Position': 'OF'}, 'Miguel Gonzalez_pitcher': {'Salary': 8000.0, 'projected_FD_points': 13.816837103507975, 'confidence': -1.2383569586550176, 'FD_Position': 'P'}, 'Jose Iglesias_batter': {'Salary': 2800.0, 'projected_FD_points': 2.845003434676022, 'confidence': -0.50739101086846938, 'FD_Position': 'SS'}}</t>
  </si>
  <si>
    <t>{'Trevor Plouffe_batter': {'Salary': 2600.0, 'projected_FD_points': 2.5180252941212586, 'confidence': -0.29799005164322123, 'FD_Position': '3B'}, 'Robbie Grossman_batter': {'Salary': 2500.0, 'projected_FD_points': 2.293826404265618, 'confidence': -0.48175146967787597,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'Johnny Giavotella_batter': {'Salary': 2600.0, 'projected_FD_points': 2.0558576729487243, 'confidence': -1.6006029681135692, 'FD_Position': '2B'}, 'Chris Carter_batter': {'Salary': 2700.0, 'projected_FD_points': 2.4019672936447356, 'confidence': -0.032787809814881497, 'FD_Position': 'OF'}, 'Andrew McCutchen_batter': {'Salary': 4300.0, 'projected_FD_points': 3.4442161411793117, 'confidence': -0.051908816273867897,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</si>
  <si>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11.287150263416144, 'confidence': -4.3675704153895962,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</si>
  <si>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2.4054735012637356, 'confidence': -7.4777898416410693,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3.2994753144047815, 'confidence': -0.11915320573913424,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3.4938878656534444, 'confidence': -0.03786879366776863, 'FD_Position': 'SS'}, 'Tyson Ross_pitcher': {'Salary': 8400.0, 'projected_FD_points': 13.64528749718303, 'confidence': -0.11351745034856764, 'FD_Position': 'P'}}</t>
  </si>
  <si>
    <t>{'Jimmy Paredes_batter': {'Salary': 2700.0, 'projected_FD_points': 2.1366717286330901, 'confidence': -0.19787253079554201, 'FD_Position': '2B'}, 'Adam Eaton_batter': {'Salary': 2500.0, 'projected_FD_points': 2.4589586929816964, 'confidence': -0.071909063628498915, 'FD_Position': 'OF'}, 'Melky Cabrera_batter': {'Salary': 2700.0, 'projected_FD_points': 2.4916202569866588, 'confidence': -0.011272039436543757, 'FD_Position': 'OF'}, 'Russell Martin_batter': {'Salary': 3300.0, 'projected_FD_points': 2.412387368043901, 'confidence': -0.24310798422601931, 'FD_Position': 'C'}, 'Paulo Orlando_batter': {'Salary': 3000.0, 'projected_FD_points': 3.1263454635657819, 'confidence': 0, 'FD_Position': 'OF'}, 'Marcus Semien_batter': {'Salary': 2900.0, 'projected_FD_points': 2.6219736101331779, 'confidence': -0.13704402981256747, 'FD_Position': 'SS'}, 'Evan Longoria_batter': {'Salary': 3300.0, 'projected_FD_points': 2.3981324102763169, 'confidence': 0.0062990744880828675, 'FD_Position': '3B'}, 'Edwin Encarnacion_batter': {'Salary': 4300.0, 'projected_FD_points': 3.7517119793437952, 'confidence': -0.05059661171895069, 'FD_Position': '1B'}, 'Chris Sale_pitcher': {'Salary': 10200.0, 'projected_FD_points': 14.531807308116218, 'confidence': 0.20965823815977402,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</si>
  <si>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15.725612359263767, 'confidence': 0.13393749130708088,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3.9788434133368589, 'confidence': -0.0058049606286685318, 'FD_Position': 'OF'}, 'Michael McKenry_batter': {'Salary': 2200.0, 'projected_FD_points': 2.069751148186334, 'confidence': 0.012069334563028278, 'FD_Position': 'C'}}</t>
  </si>
  <si>
    <t>{'Adrian Beltre_batter': {'Salary': 3400.0, 'projected_FD_points': 2.7429729614085314, 'confidence': -0.11718406118307545, 'FD_Position': '3B'}, 'Aaron Hill_batter': {'Salary': 2300.0, 'projected_FD_points': 1.7533514886516848, 'confidence': -0.0029096040488343355, 'FD_Position': '2B'}, 'Chris Iannetta_batter': {'Salary': 2200.0, 'projected_FD_points': 2.067393282597652, 'confidence': -0.0089720350021680328, 'FD_Position': 'C'}, 'Prince Fielder_batter': {'Salary': 3600.0, 'projected_FD_points': 2.9714809576746006, 'confidence': -0.11785344138942744, 'FD_Position': '1B'}, 'Jake Smolinski_batter': {'Salary': 2900.0, 'projected_FD_points': 2.7659125477693105, 'confidence': 0.080356298997132813, 'FD_Position': 'OF'}, 'A.J. Pollock_batter': {'Salary': 3500.0, 'projected_FD_points': 2.9144503293662423, 'confidence': -2.1382586320417887, 'FD_Position': 'OF'}, 'Clayton Kershaw_pitcher': {'Salary': 12000.0, 'projected_FD_points': 15.905306359981754, 'confidence': 0.026144974291911094, 'FD_Position': 'P'}, 'Chris Owings_batter': {'Salary': 2500.0, 'projected_FD_points': 2.3688339066860493, 'confidence': 0.29837740522558498, 'FD_Position': 'SS'}, 'Chris Carter_batter': {'Salary': 2400.0, 'projected_FD_points': 2.2538821159417073, 'confidence': -0.62551943706424606, 'FD_Position': 'OF'}}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</si>
  <si>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15.725612359263767, 'confidence': 0.13393749130708088,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3.89562644448108, 'confidence': 0.020024840688967371,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</si>
  <si>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48.991213259374618, 'confidence': 0, 'FD_Position': 'P'}, 'Alex Rodriguez_batter': {'Salary': 3800.0, 'projected_FD_points': 4.1530415552404607, 'confidence': -0.51153711663973245, 'FD_Position': '3B'}, 'Howie Kendrick_batter': {'Salary': 3800.0, 'projected_FD_points': 3.0681302819984118, 'confidence': 0.036238948427799178, 'FD_Position': '2B'}, 'Paulo Orlando_batter': {'Salary': 3000.0, 'projected_FD_points': 3.5, 'confidence': 0, 'FD_Position': 'OF'}, 'Marcus Semien_batter': {'Salary': 2900.0, 'projected_FD_points': 2.548577252871322, 'confidence': -0.40814361590538062, 'FD_Position': 'SS'}, 'Josh Phegley_batter': {'Salary': 2200.0, 'projected_FD_points': 3.6468115445646307, 'confidence': -2.3364459267548749, 'FD_Position': 'C'}, 'Dexter Fowler_batter': {'Salary': 3800.0, 'projected_FD_points': 3.9428260798024115, 'confidence': -0.24682634605594433, 'FD_Position': 'OF'}, 'Carlos Santana_batter': {'Salary': 3300.0, 'projected_FD_points': 3.1691141330788914, 'confidence': -0.075766814966049534, 'FD_Position': '1B'}, 'Giancarlo Stanton_batter': {'Salary': 4900.0, 'projected_FD_points': 3.7977547401231391, 'confidence': -0.05150493436181125,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</si>
  <si>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3.3296784863545383, 'confidence': -0.15045701728731053, 'FD_Position': 'SS'}, 'Tyler Matzek_pitcher': {'Salary': 6100.0, 'projected_FD_points': 11.516801064560802, 'confidence': -5.603413282774822, 'FD_Position': 'P'}}</t>
  </si>
  <si>
    <t>{'Matt Shoemaker_pitcher': {'Salary': 8500.0, 'projected_FD_points': 14.711686362314204, 'confidence': -1.137108260560975,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2.9400195232235351, 'confidence': 0.14316423133820699,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</si>
  <si>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{'Michael Brantley_batter': {'Salary': 3900.0, 'projected_FD_points': 3.1654752098886978, 'confidence': 0.096093178487907216, 'FD_Position': 'OF'}, 'Brian Dozier_batter': {'Salary': 3100.0, 'projected_FD_points': 2.8532178271193329, 'confidence': -0.16235850031311716, 'FD_Position': '2B'}, 'Trevor Bauer_pitcher': {'Salary': 8800.0, 'projected_FD_points': 12.471973071592977, 'confidence': 0.41486414142758454, 'FD_Position': 'P'}, 'Mike Moustakas_batter': {'Salary': 3100.0, 'projected_FD_points': 2.4182648286945696, 'confidence': 0.0051059403665708603, 'FD_Position': '3B'}, 'Kurt Suzuki_batter': {'Salary': 2600.0, 'projected_FD_points': 1.6344286974109303, 'confidence': -0.17893263744154431, 'FD_Position': 'C'}, 'Carlos Santana_batter': {'Salary': 3200.0, 'projected_FD_points': 2.8932397473902727, 'confidence': 0.031171768939918243, 'FD_Position': '1B'}, 'Justin Upton_batter': {'Salary': 4600.0, 'projected_FD_points': 3.2727042996797837, 'confidence': -0.18950687209031125, 'FD_Position': 'OF'}, 'Alexei Ramirez_batter': {'Salary': 2900.0, 'projected_FD_points': 2.3972202135300278, 'confidence': -0.1291098125635024, 'FD_Position': 'SS'}, 'Melky Cabrera_batter': {'Salary': 2700.0, 'projected_FD_points': 2.8678637993952294, 'confidence': -0.090158222958083956, 'FD_Position': 'OF'}}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</si>
  <si>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</si>
  <si>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2.4717986204274229, 'confidence': -0.16817364075658081,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</si>
  <si>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12.60332627069949, 'confidence': -0.27000136482366122,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</si>
  <si>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16.188070969969168, 'confidence': 0.16086774725969233, 'FD_Position': 'P'}, 'Michael Cuddyer_batter': {'Salary': 3300.0, 'projected_FD_points': 3.3715386097901581, 'confidence': -0.42352928371999132,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</si>
  <si>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7.3800157754037485,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</si>
  <si>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{'Robinson Chirinos_batter': {'Salary': 2600.0, 'projected_FD_points': 2.1350844720167386, 'confidence': -0.044927958191083306, 'FD_Position': 'C'}, 'Chris Owings_batter': {'Salary': 2300.0, 'projected_FD_points': 3.0291848436640487, 'confidence': -0.3793459950299749, 'FD_Position': 'SS'}, 'Casey McGehee_batter': {'Salary': 2800.0, 'projected_FD_points': 2.1984827970151368, 'confidence': 0.042248051720017221, 'FD_Position': '3B'}, 'Rougned Odor_batter': {'Salary': 3000.0, 'projected_FD_points': 2.1192992472466767, 'confidence': 0.024014345623855737, 'FD_Position': '2B'}, 'A.J. Pollock_batter': {'Salary': 3000.0, 'projected_FD_points': 3.0993268221264851, 'confidence': -0.041096820713800053, 'FD_Position': 'OF'}, 'Clayton Kershaw_pitcher': {'Salary': 11800.0, 'projected_FD_points': 17.080816535153669, 'confidence': -0.01832909198302346, 'FD_Position': 'P'}, 'Prince Fielder_batter': {'Salary': 3600.0, 'projected_FD_points': 3.7562390681103266, 'confidence': -0.23149002457368595, 'FD_Position': '1B'}, 'Carl Crawford_batter': {'Salary': 2900.0, 'projected_FD_points': 2.3501066486660402, 'confidence': -0.014456923657130138, 'FD_Position': 'OF'}, 'David Peralta_batter': {'Salary': 2800.0, 'projected_FD_points': 2.5362175210365834, 'confidence': -2.0091381569807321, 'FD_Position': 'OF'}}</t>
  </si>
  <si>
    <t>{'Corey Kluber_pitcher': {'Salary': 10700.0, 'projected_FD_points': 16.50197601612615, 'confidence': -0.46396750691797295, 'FD_Position': 'P'}, 'Kole Calhoun_batter': {'Salary': 3500.0, 'projected_FD_points': 4.3337355761532885, 'confidence': 0.043491235313867893, 'FD_Position': 'OF'}, 'Mark Canha_batter': {'Salary': 3000.0, 'projected_FD_points': 10.653333052773334, 'confidence': 0, 'FD_Position': 'OF'}, 'Kennys Vargas_batter': {'Salary': 2400.0, 'projected_FD_points': 2.701521801298679, 'confidence': -0.15130385711409611, 'FD_Position': '1B'}, 'Mike Moustakas_batter': {'Salary': 3100.0, 'projected_FD_points': 2.2316033208186488, 'confidence': -0.033771230425055254, 'FD_Position': '3B'}, 'Daniel Santana_batter': {'Salary': 3300.0, 'projected_FD_points': 3.083001965298064, 'confidence': -0.11771751857557256, 'FD_Position': 'SS'}, 'Josh Reddick_batter': {'Salary': 3300.0, 'projected_FD_points': 3.1151332169901891, 'confidence': -0.25523770931100587, 'FD_Position': 'OF'}, 'Jason Castro_batter': {'Salary': 2500.0, 'projected_FD_points': 2.4712494853773208, 'confidence': 0.0030597102973730639, 'FD_Position': 'C'}, 'Brian Dozier_batter': {'Salary': 3100.0, 'projected_FD_points': 2.9103148380733979, 'confidence': -1.3579454470408887, 'FD_Position': '2B'}}</t>
  </si>
  <si>
    <t>FD Median, Wind Speed (doesn’t account for domed stads. Still has zero values.)</t>
  </si>
  <si>
    <t>FD Median, Wind Speed, Wind Dir (doesn’t account for domed stads. Still has zero values.)</t>
  </si>
  <si>
    <t>FD Median, Batting order &lt;=5, Wind Speed, Wind Dir, (doesn’t account for domed stads. Still has zero values.)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</si>
  <si>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'Jose Bautista_batter': {'Salary': 4600.0, 'projected_FD_points': 3.1978935048048815, 'confidence': 0.042910389997203535,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</si>
  <si>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'Delino Deshields Jr._batter': {'Salary': 3100.0, 'projected_FD_points': 3.0313852584109822, 'confidence': -0.96882215786618331,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</si>
  <si>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{'Jose Bautista_batter': {'Salary': 4600.0, 'projected_FD_points': 3.1978935048048815, 'confidence': 0.042910389997203535, 'FD_Position': 'OF'}, 'Johnny Cueto_pitcher': {'Salary': 10500.0, 'projected_FD_points': 16.063690545484903, 'confidence': 0.071834620703541852,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2.4596736369995624, 'confidence': 0.1893656670408097, 'FD_Position': 'OF'}, 'Brock Holt_batter': {'Salary': 2200.0, 'projected_FD_points': 2.8586041645787654, 'confidence': -0.21402006544958674, 'FD_Position': '3B'}, 'Troy Tulowitzki_batter': {'Salary': 4300.0, 'projected_FD_points': 2.8835064629815461, 'confidence': -0.01047184870245621,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</si>
  <si>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9.4289419814957025, 'confidence': 0.15980518031168589,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</si>
  <si>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3900.0, 'projected_FD_points': 5.3047926522721678, 'confidence': -0.71156950066447866, 'FD_Position': '3B'}, 'Shane Victorino_batter': {'Salary': 2200.0, 'projected_FD_points': 2.6588297743444169, 'confidence': -0.13683689828058965,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'Dexter Fowler_batter': {'Salary': 3100.0, 'projected_FD_points': 3.882107794698701, 'confidence': -0.0052660425580599579, 'FD_Position': 'OF'}, 'Welington Castillo_batter': {'Salary': 2200.0, 'projected_FD_points': 2.4070882458674081, 'confidence': -0.39395611894020721, 'FD_Position': 'C'}}</t>
  </si>
  <si>
    <t>{'Shane Victorino_batter': {'Salary': 2200.0, 'projected_FD_points': 2.6588297743444169, 'confidence': -0.13683689828058965, 'FD_Position': 'OF'}, 'J.D. Martinez_batter': {'Salary': 3100.0, 'projected_FD_points': 3.1094772005274542, 'confidence': -0.082927948647095739,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'Brett Lawrie_batter': {'Salary': 2200.0, 'projected_FD_points': 2.7737610206204648, 'confidence': -0.18504892043955756, 'FD_Position': '3B'}, 'Russell Martin_batter': {'Salary': 3600.0, 'projected_FD_points': 2.701171875, 'confidence': -2.2881827543841382e-07, 'FD_Position': 'C'}}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</si>
  <si>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2.5405090990094137, 'confidence': -0.44634473814411235, 'FD_Position': 'OF'}}</t>
  </si>
  <si>
    <t>{'Yoenis Cespedes_batter': {'Salary': 2800.0, 'projected_FD_points': 2.5815417027574399, 'confidence': 0.0060571989925928271, 'FD_Position': 'OF'}, 'Kris Bryant_batter': {'Salary': 3800.0, 'projected_FD_points': 4.0159484055896897, 'confidence': -1.968349697703947, 'FD_Position': '3B'}, 'Anthony Rizzo_batter': {'Salary': 4500.0, 'projected_FD_points': 3.4197563489789378, 'confidence': -0.10036367662723156, 'FD_Position': '1B'}, 'Gerrit Cole_pitcher': {'Salary': 9300.0, 'projected_FD_points': 15.05602063898084, 'confidence': -1.289393299102338, 'FD_Position': 'P'}, 'Neil Walker_batter': {'Salary': 2900.0, 'projected_FD_points': 2.5532344460439691, 'confidence': -0.24061607852048916, 'FD_Position': '2B'}, 'Daniel Santana_batter': {'Salary': 2700.0, 'projected_FD_points': 2.6459545225474947, 'confidence': -0.034817170958434174, 'FD_Position': 'SS'}, 'Dexter Fowler_batter': {'Salary': 3400.0, 'projected_FD_points': 3.9191858539797213, 'confidence': -0.14935097419073107, 'FD_Position': 'OF'}, 'Marcell Ozuna_batter': {'Salary': 3100.0, 'projected_FD_points': 2.8255722355898176, 'confidence': 0.018605381176943658, 'FD_Position': 'OF'}, 'Rene Rivera_batter': {'Salary': 2500.0, 'projected_FD_points': 2.0040173060045987, 'confidence': -0.40497129524682762, 'FD_Position': 'C'}}</t>
  </si>
  <si>
    <t>{'Jimmy Paredes_batter': {'Salary': 3500.0, 'projected_FD_points': 3.2385999828183216, 'confidence': -0.13621369619294654, 'FD_Position': '2B'}, 'Alex Rodriguez_batter': {'Salary': 3400.0, 'projected_FD_points': 3.2170401314048256, 'confidence': -4.0093384841949149, 'FD_Position': '3B'}, 'Chris Owings_batter': {'Salary': 3200.0, 'projected_FD_points': 3.423739716956447, 'confidence': -2.3800228370406082, 'FD_Position': 'SS'}, 'Melky Cabrera_batter': {'Salary': 2500.0, 'projected_FD_points': 2.4919552195701118, 'confidence': -0.0017336769383666795, 'FD_Position': 'OF'},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'Chris Colabello_batter': {'Salary': 2300.0, 'projected_FD_points': 2.5405090990094137, 'confidence': -0.44634473814411235, 'FD_Position': 'OF'}, 'Jose Abreu_batter': {'Salary': 3500.0, 'projected_FD_points': 3.1075592436120067, 'confidence': -0.24834606013758309, 'FD_Position': '1B'}}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</si>
  <si>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</si>
  <si>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</si>
  <si>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</si>
  <si>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2.1213006860045533, 'confidence': -0.10623489067119896,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</si>
  <si>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'Lucas Duda_batter': {'Salary': 3000.0, 'projected_FD_points': 3.0758851359689641, 'confidence': -0.0959275421770176, 'FD_Position': '1B'}, 'J.D. Martinez_batter': {'Salary': 3300.0, 'projected_FD_points': 2.8812891136002206, 'confidence': -0.034018172805510671, 'FD_Position': 'OF'}, 'Josh Donaldson_batter': {'Salary': 3700.0, 'projected_FD_points': 2.8980865489955789, 'confidence': -0.079082500082911622, 'FD_Position': '3B'}, 'Chris Iannetta_batter': {'Salary': 2300.0, 'projected_FD_points': 2.3685859484804821, 'confidence': -0.086198017566934571, 'FD_Position': 'C'}, 'Chris Colabello_batter': {'Salary': 2300.0, 'projected_FD_points': 2.7031329075175741, 'confidence': -0.1239457831190629, 'FD_Position': 'OF'}, 'Chris Sale_pitcher': {'Salary': 10000.0, 'projected_FD_points': 19.76588334971661, 'confidence': -0.014564257478886011, 'FD_Position': 'P'}}</t>
  </si>
  <si>
    <t>{'Ben Revere_batter': {'Salary': 3000.0, 'projected_FD_points': 2.6663925349545923, 'confidence': 0.00079827002554622162, 'FD_Position': 'OF'}, 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'J.D. Martinez_batter': {'Salary': 3300.0, 'projected_FD_points': 2.8812891136002206, 'confidence': -0.034018172805510671, 'FD_Position': 'OF'}, 'Lucas Duda_batter': {'Salary': 3000.0, 'projected_FD_points': 3.0758851359689641, 'confidence': -0.0959275421770176, 'FD_Position': '1B'}, 'Conor Gillaspie_batter': {'Salary': 2400.0, 'projected_FD_points': 2.3735112212838647, 'confidence': -0.47656088456247736, 'FD_Position': '3B'}, 'Victor Martinez_batter': {'Salary': 3300.0, 'projected_FD_points': 2.4238975252943415, 'confidence': -0.15803801222498159, 'FD_Position': 'C'}, 'Chris Sale_pitcher': {'Salary': 10000.0, 'projected_FD_points': 19.76588334971661, 'confidence': -0.014564257478886011, 'FD_Position': 'P'}}</t>
  </si>
  <si>
    <t>{'Matt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'James Shields_pitcher': {'Salary': 8700.0, 'projected_FD_points': 11.200216656931115, 'confidence': -0.67513693806423158, 'FD_Position': 'P'}, 'Kyle Seager_batter': {'Salary': 3000.0, 'projected_FD_points': 2.775200116641269, 'confidence': 0.034004707025311665, 'FD_Position': '3B'}, 'Wilin Rosario_batter': {'Salary': 3000.0, 'projected_FD_points': 2.0262198867758658, 'confidence': -0.074071507544565263, 'FD_Position': 'C'}, 'Johnny Giavotella_batter': {'Salary': 2200.0, 'projected_FD_points': 2.1398218424318731, 'confidence': -2.0011122584936731, 'FD_Position': '2B'}, 'Justin Morneau_batter': {'Salary': 3400.0, 'projected_FD_points': 2.8266328690337081, 'confidence': -0.13058629347805106, 'FD_Position': '1B'},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</si>
  <si>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</si>
  <si>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'Robinson Chirinos_batter': {'Salary': 2500.0, 'projected_FD_points': 2.4164105145491854, 'confidence': -0.66879957430585879, 'FD_Position': 'C'},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'Jose Abreu_batter': {'Salary': 3400.0, 'projected_FD_points': 3.229911460951278, 'confidence': 0.064984836597351436,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</si>
  <si>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3.2967938669916803, 'confidence': 0.055197517816787056,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</si>
  <si>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13.510785177209019, 'confidence': -2.9034733240498833, 'FD_Position': 'P'}, 'Wilin Rosario_batter': {'Salary': 3000.0, 'projected_FD_points': 2.1526213087534716, 'confidence': -0.41835186959560122,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2.8283286772758904, 'confidence': -0.34036426732966762,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</si>
  <si>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4.1742328613860815, 'confidence': 0.15183992973348892, 'FD_Position': '3B'}, 'Delino Deshields Jr._batter': {'Salary': 2800.0, 'projected_FD_points': 2.7092410419926951, 'confidence': -0.84608117994249077,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</si>
  <si>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5.2437025117348561, 'confidence': -0.30475345560076783,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</si>
  <si>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{'Ian Desmond_batter': {'Salary': 2900.0, 'projected_FD_points': 2.252762617046753, 'confidence': -0.016277132323329058, 'FD_Position': 'SS'}, 'Jacob Realmuto_batter': {'Salary': 2200.0, 'projected_FD_points': 1.8437603186228548, 'confidence': -4.3412854751377745, 'FD_Position': 'C'}, 'Zack Greinke_pitcher': {'Salary': 10300.0, 'projected_FD_points': 12.972932012783234, 'confidence': -2.0363973768873684, 'FD_Position': 'P'}, 'Mookie Betts_batter': {'Salary': 3300.0, 'projected_FD_points': 3.2525460048698855, 'confidence': -0.16373078558335341, 'FD_Position': 'OF'}, 'Brett Lawrie_batter': {'Salary': 2400.0, 'projected_FD_points': 2.5663219211250707, 'confidence': -0.14826625178946373, 'FD_Position': '3B'}, 'Billy Butler_batter': {'Salary': 2600.0, 'projected_FD_points': 2.2681576769242815, 'confidence': -0.16482455474060553, 'FD_Position': '1B'}, 'Giancarlo Stanton_batter': {'Salary': 4500.0, 'projected_FD_points': 4.5660158320143651, 'confidence': -1.018237730298547, 'FD_Position': 'OF'}, 'Hanley Ramirez_batter': {'Salary': 3900.0, 'projected_FD_points': 3.4489714185347138, 'confidence': -0.049296103243986256, 'FD_Position': 'OF'}, 'Dustin Pedroia_batter': {'Salary': 2900.0, 'projected_FD_points': 2.3484981201837138, 'confidence': -0.0076187945893151365, 'FD_Position': '2B'}}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</si>
  <si>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3.2122851318540286, 'confidence': -0.69781770281371935, 'FD_Position': 'OF'}, 'Jon Lester_pitcher': {'Salary': 9100.0, 'projected_FD_points': 12.870105601507285, 'confidence': -0.81468671740657439, 'FD_Position': 'P'}}</t>
  </si>
  <si>
    <t>FD Median, HR Factor, Wind Speed (doesn’t account for domed stads. Still has zero values.)</t>
  </si>
  <si>
    <t>{'Jose Bautista_batter': {'Salary': 4600.0, 'projected_FD_points': 3.1978935048048815, 'confidence': 0.042910389997203535, 'FD_Position': 'OF'}, 'Johnny Cueto_pitcher': {'Salary': 10500.0, 'projected_FD_points': 17.531677317811926, 'confidence': -0.1213887270703069,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2.7312854747437569, 'confidence': 0.23720271336138499, 'FD_Position': 'OF'}, 'Brock Holt_batter': {'Salary': 2200.0, 'projected_FD_points': 2.8586041645787654, 'confidence': -0.21402006544958674, 'FD_Position': '3B'}, 'Troy Tulowitzki_batter': {'Salary': 4300.0, 'projected_FD_points': 2.8331373622922893, 'confidence': -0.026724845930957697,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</si>
  <si>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10.017500274568576, 'confidence': -0.28601287254471042,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</si>
  <si>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2.8546938550468344, 'confidence': -0.44648723584812777, 'FD_Position': 'OF'}}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</si>
  <si>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</si>
  <si>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</si>
  <si>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</si>
  <si>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2.1213005408859944, 'confidence': -0.10623488838985651,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</si>
  <si>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{'Albert Pujols_batter': {'Salary': 2900.0, 'projected_FD_points': 2.6939681799357746, 'confidence': -0.19099822049097814, 'FD_Position': '1B'}, 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'Robinson Cano_batter': {'Salary': 3400.0, 'projected_FD_points': 2.5629954504299945, 'confidence': 0.011068328176192077, 'FD_Position': '2B'}, 'James Shields_pitcher': {'Salary': 8700.0, 'projected_FD_points': 11.035721707884418, 'confidence': -0.48136240804042663, 'FD_Position': 'P'}, 'Mike Zunino_batter': {'Salary': 2200.0, 'projected_FD_points': 1.5839787312909892, 'confidence': -0.13946802474092435, 'FD_Position': 'C'}, 'Kyle Seager_batter': {'Salary': 3000.0, 'projected_FD_points': 2.775200116641269, 'confidence': 0.034004707025311665, 'FD_Position': '3B'},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</si>
  <si>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</si>
  <si>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'Victor Martinez_batter': {'Salary': 3500.0, 'projected_FD_points': 2.7913728170115135, 'confidence': 0.12983603293777102, 'FD_Position': 'C'},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'Brandon Crawford_batter': {'Salary': 2200.0, 'projected_FD_points': 2.2528581692214225, 'confidence': -0.26938199698508014, 'FD_Position': 'SS'}, 'Hanley Ramirez_batter': {'Salary': 3900.0, 'projected_FD_points': 3.8937582890789564, 'confidence': 0.00087857748753961129, 'FD_Position': 'OF'}, 'Joey Votto_batter': {'Salary': 3800.0, 'projected_FD_points': 3.4452296937464704, 'confidence': -1.2679998011707068,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</si>
  <si>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3.3078988919642334, 'confidence': 0.067954911132527274,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</si>
  <si>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13.687201137626339, 'confidence': -2.5367175595542433, 'FD_Position': 'P'}, 'Derek Norris_batter': {'Salary': 2900.0, 'projected_FD_points': 2.0245510225276249, 'confidence': -0.048964392636112963,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2.8179161241703783, 'confidence': -0.33714490363489791,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</si>
  <si>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3.6161945772764277, 'confidence': -0.019295316465801848, 'FD_Position': '3B'}, 'Delino Deshields Jr._batter': {'Salary': 2800.0, 'projected_FD_points': 2.7092464978730888, 'confidence': -0.84609976687762667,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</si>
  <si>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FD Median, HR Factor,  Wind Speed, Temp, Humidity (doesn’t account for domed stads. Still has zero values.)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</si>
  <si>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5.5236102517483525, 'confidence': -0.29474242825578223,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</si>
  <si>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3.2122851753460622, 'confidence': -0.69781769378002556, 'FD_Position': 'OF'}, 'Jon Lester_pitcher': {'Salary': 9100.0, 'projected_FD_points': 12.3616706954151, 'confidence': -0.70940910704374938,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</si>
  <si>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4.3847002026912447, 'confidence': -0.57452987747580364,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'Chris Colabello_batter': {'Salary': 2300.0, 'projected_FD_points': 3.1654864154651436, 'confidence': -0.042595225765473588, 'FD_Position': 'OF'}, 'Victor Martinez_batter': {'Salary': 3600.0, 'projected_FD_points': 2.6909643471799374, 'confidence': -0.031540603831416103,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</si>
  <si>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4.3847002026912447, 'confidence': -0.57452987747580364,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</si>
  <si>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15.707533384437866, 'confidence': -3.950401998444133,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</si>
  <si>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{'Johnny Cueto_pitcher': {'Salary': 10500.0, 'projected_FD_points': 15.241074820623563, 'confidence': 0.069480484138622178,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2.9833281512547227, 'confidence': -3.4106422742596516,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</si>
  <si>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{'Phil Hughes_pitcher': {'Salary': 7900.0, 'projected_FD_points': 11.803333524826755, 'confidence': 0.13773098385304283,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</si>
  <si>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7.6988199501378105, 'confidence': -6.5952913758339493, 'FD_Position': 'C'}, 'Devon Travis_batter': {'Salary': 3400.0, 'projected_FD_points': 4.3607361805256497, 'confidence': -0.67220526490595534, 'FD_Position': '2B'}, 'Josh Donaldson_batter': {'Salary': 3600.0, 'projected_FD_points': 2.9966921071880446, 'confidence': -0.0084414125129974593, 'FD_Position': '3B'}, 'Mike Pelfrey_pitcher': {'Salary': 6400.0, 'projected_FD_points': 112.02008371079995, 'confidence': 0, 'FD_Position': 'P'}, 'A.J. Pollock_batter': {'Salary': 3700.0, 'projected_FD_points': 3.7075102131631734, 'confidence': -0.082933957177450113, 'FD_Position': 'OF'}}</t>
  </si>
  <si>
    <t>{'Dexter Fowler_batter': {'Salary': 3300.0, 'projected_FD_points': 3.1922988359358784, 'confidence': -0.025607295858459223, 'FD_Position': 'OF'}, 'Kevin Plawecki_batter': {'Salary': 2200.0, 'projected_FD_points': 3.9608335206660668, 'confidence': 0, 'FD_Position': 'C'}, 'Devon Travis_batter': {'Salary': 3700.0, 'projected_FD_points': 4.5205294491847337, 'confidence': 0.13424268352054514, 'FD_Position': '2B'}, 'Mark Canha_batter': {'Salary': 3000.0, 'projected_FD_points': 3.4434143052157458, 'confidence': -0.096169945158614878, 'FD_Position': 'OF'}, 'Daniel Santana_batter': {'Salary': 2800.0, 'projected_FD_points': 2.3780365390682436, 'confidence': -0.038811286004724721, 'FD_Position': 'SS'}, 'Josh Donaldson_batter': {'Salary': 3900.0, 'projected_FD_points': 3.1441789724023401, 'confidence': -0.13028968673226049, 'FD_Position': '3B'}, 'Danny Salazar_pitcher': {'Salary': 7700.0, 'projected_FD_points': 14.364721673503464, 'confidence': 0.62837302902320791, 'FD_Position': 'P'}, 'Giancarlo Stanton_batter': {'Salary': 4800.0, 'projected_FD_points': 3.7783082146030567, 'confidence': -0.513156014866476, 'FD_Position': 'OF'}, 'Jose Abreu_batter': {'Salary': 3600.0, 'projected_FD_points': 3.1595132486313955, 'confidence': -0.019011264055856403, 'FD_Position': '1B'}}</t>
  </si>
  <si>
    <t>{'Robinson Chirinos_batter': {'Salary': 2300.0, 'projected_FD_points': 2.1899830266412703, 'confidence': 0.043383966106602334, 'FD_Position': 'C'}, 'Odubel Herrera_batter': {'Salary': 3000.0, 'projected_FD_points': 3.3691569313236664, 'confidence': -0.58874078248679251, 'FD_Position': 'OF'}, 'Ian Desmond_batter': {'Salary': 2800.0, 'projected_FD_points': 2.408963235048585, 'confidence': -0.2819665644144338, 'FD_Position': 'SS'}, 'Devon Travis_batter': {'Salary': 3500.0, 'projected_FD_points': 8.1805374747880784, 'confidence': -0.13955435895445412,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'P'}}</t>
  </si>
  <si>
    <t>{'Phil Hughes_pitcher': {'Salary': 7400.0, 'projected_FD_points': 10.035141948518019, 'confidence': 0.55217742016527072,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4.3425063976241427, 'confidence': 0, 'FD_Position': '2B'}, 'Kyle Blanks_batter': {'Salary': 2900.0, 'projected_FD_points': 3.0187115566091451, 'confidence': -3.2440262749016329, 'FD_Position': 'OF'}, 'Matt Carpenter_batter': {'Salary': 4200.0, 'projected_FD_points': 2.7738111867760895, 'confidence': 0.0019278984775433772, 'FD_Position': '3B'}}</t>
  </si>
  <si>
    <t>{'Joe Kelly_pitcher': {'Salary': 6900.0, 'projected_FD_points': 10.533905379228896, 'confidence': -0.42508827025672469, 'FD_Position': 'P'}, 'Alex Rodriguez_batter': {'Salary': 3500.0, 'projected_FD_points': 3.6288541275209418, 'confidence': 0.24947914978746111, 'FD_Position': '3B'}, 'Matt Kemp_batter': {'Salary': 3700.0, 'projected_FD_points': 2.8285613545973658, 'confidence': -0.089049188236700161, 'FD_Position': 'OF'},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'Paul Goldschmidt_batter': {'Salary': 5100.0, 'projected_FD_points': 3.4287512867551153, 'confidence': -0.037251918631050263, 'FD_Position': '1B'}, 'Cory Spangenberg_batter': {'Salary': 2200.0, 'projected_FD_points': 2.2687912980296883, 'confidence': -7.228237001881288, 'FD_Position': '2B'}, 'Mike Trout_batter': {'Salary': 5500.0, 'projected_FD_points': 4.6232860252381816, 'confidence': -0.058957898775920947, 'FD_Position': 'OF'}, 'Michael McKenry_batter': {'Salary': 2200.0, 'projected_FD_points': 2.1779743138303593, 'confidence': -0.037431526996833497, 'FD_Position': 'C'}}</t>
  </si>
  <si>
    <t>{'Corey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2.5009607399079297, 'confidence': -2.9820357361426915,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</si>
  <si>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</si>
  <si>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'Josh Phegley_batter': {'Salary': 2200.0, 'projected_FD_points': 2.5009607399079297, 'confidence': -2.9820357361426915, 'FD_Position': 'C'}, 'Troy Tulowitzki_batter': {'Salary': 4300.0, 'projected_FD_points': 2.9997673711819783, 'confidence': -0.09158336829720759, 'FD_Position': 'SS'}, 'Justin Upton_batter': {'Salary': 3700.0, 'projected_FD_points': 3.0497800297389395, 'confidence': -0.35033513239823111, 'FD_Position': 'OF'}, 'Nolan Arenado_batter': {'Salary': 3700.0, 'projected_FD_points': 2.4870857167789739, 'confidence': -0.051372299808725153, 'FD_Position': '3B'}, 'Collin McHugh_pitcher': {'Salary': 8400.0, 'projected_FD_points': 12.808398522189025, 'confidence': -0.24702111658759573, 'FD_Position': 'P'}}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</si>
  <si>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</si>
  <si>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5.0166495364296644, 'confidence': -6.0969524161234947, 'FD_Position': 'OF'}, 'Ian Kennedy_pitcher': {'Salary': 7300.0, 'projected_FD_points': 13.410681458857471, 'confidence': -1.3690667217689367,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'OF'}}</t>
  </si>
  <si>
    <t>{'Kris Bryant_batter': {'Salary': 3800.0, 'projected_FD_points': 3.3402027391922027, 'confidence': 0, 'FD_Position': '3B'}, 'Carlos Ruiz_batter': {'Salary': 2400.0, 'projected_FD_points': 2.3045314334375799, 'confidence': 0.02897031758940205, 'FD_Position': 'C'}, 'Odubel Herrera_batter': {'Salary': 3000.0, 'projected_FD_points': 4.3151639021888961, 'confidence': 0.39172566770662043, 'FD_Position': 'OF'}, 'Ian Desmond_batter': {'Salary': 3200.0, 'projected_FD_points': 2.7012882194054484, 'confidence': -1.0646823611297398, 'FD_Position': 'SS'}, 'Felix Hernandez_pitcher': {'Salary': 11100.0, 'projected_FD_points': 18.281641021456593, 'confidence': 0.52914345078101666,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</si>
  <si>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13.462006273436081, 'confidence': -0.23090845911876712,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</si>
  <si>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{'Kris Bryant_batter': {'Salary': 3500.0, 'projected_FD_points': 5.4236927101523023, 'confidence': 0, 'FD_Position': '3B'}, 'Carlos Ruiz_batter': {'Salary': 2200.0, 'projected_FD_points': 2.2404490027465771, 'confidence': -0.03474518462134002, 'FD_Position': 'C'}, 'Odubel Herrera_batter': {'Salary': 3000.0, 'projected_FD_points': 3.833745008399374, 'confidence': 0.96720472584131456, 'FD_Position': 'OF'}, 'Kole Calhoun_batter': {'Salary': 3400.0, 'projected_FD_points': 4.0895804351757139, 'confidence': -1.1909205180595768, 'FD_Position': 'OF'}, 'Rougned Odor_batter': {'Salary': 2300.0, 'projected_FD_points': 2.092128009342245, 'confidence': -0.086221192039003025, 'FD_Position': '2B'}, 'Clayton Kershaw_pitcher': {'Salary': 11500.0, 'projected_FD_points': 18.610636764593821, 'confidence': -0.99615211142879079,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</si>
  <si>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17.338886120846166, 'confidence': -1.5522169898871101,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</si>
  <si>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'Odubel Herrera_batter': {'Salary': 3000.0, 'projected_FD_points': 3.6362498848740135, 'confidence': -1.842992732218601, 'FD_Position': 'OF'}, 'Devon Travis_batter': {'Salary': 3300.0, 'projected_FD_points': 5.6149083900940688, 'confidence': -0.40406251984448649, 'FD_Position': '2B'}, 'Ben Revere_batter': {'Salary': 2400.0, 'projected_FD_points': 2.7395827301129101, 'confidence': -0.46821453694377557, 'FD_Position': 'OF'}, 'Tim Beckham_batter': {'Salary': 2400.0, 'projected_FD_points': 2.8282647797501141, 'confidence': -3.3145936534079468, 'FD_Position': 'SS'}, 'Edwin Encarnacion_batter': {'Salary': 3600.0, 'projected_FD_points': 3.1563300469798303, 'confidence': -0.23246157439089932, 'FD_Position': '1B'}, 'David Price_pitcher': {'Salary': 11000.0, 'projected_FD_points': 15.54231774357614, 'confidence': 0.17195813437163898, 'FD_Position': 'P'},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</si>
  <si>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2.8282647797501141, 'confidence': -3.3145936534079468,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'Odubel Herrera_batter': {'Salary': 3000.0, 'projected_FD_points': 3.6362498848740135, 'confidence': -1.842992732218601, 'FD_Position': 'OF'}, 'Victor Martinez_batter': {'Salary': 3400.0, 'projected_FD_points': 3.3475757077003085, 'confidence': -0.23840457031784057, 'FD_Position': 'C'}}</t>
  </si>
  <si>
    <t>{'Russell Martin_batter': {'Salary': 3200.0, 'projected_FD_points': 2.6389732185763854, 'confidence': -0.12506503248036172, 'FD_Position': 'C'}, 'Corey Kluber_pitcher': {'Salary': 9800.0, 'projected_FD_points': 14.573546623057421, 'confidence': -3.6460548191331297, 'FD_Position': 'P'}, 'Devon Travis_batter': {'Salary': 3300.0, 'projected_FD_points': 5.6149083900940688, 'confidence': -0.40406251984448649, 'FD_Position': '2B'}, 'Tim Beckham_batter': {'Salary': 2400.0, 'projected_FD_points': 2.8282647797501141, 'confidence': -3.3145936534079468, 'FD_Position': 'SS'}, 'Mookie Betts_batter': {'Salary': 3100.0, 'projected_FD_points': 2.9460520276039093, 'confidence': -0.22994911203565027, 'FD_Position': 'OF'}, 'Brock Holt_batter': {'Salary': 2400.0, 'projected_FD_points': 2.1101371052645481, 'confidence': -0.49838279578887112, 'FD_Position': '3B'},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'OF'}, 'Joey Votto_batter': {'Salary': 4200.0, 'projected_FD_points': 3.4822690655032855, 'confidence': 0.037618566796068342, 'FD_Position': '1B'}}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</si>
  <si>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7.3408479291033943, 'confidence': 0.38293032348884692, 'FD_Position': '2B'}, 'Paulo Orlando_batter': {'Salary': 3000.0, 'projected_FD_points': 14.695826320050887, 'confidence': 0, 'FD_Position': 'OF'},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'Joey Votto_batter': {'Salary': 4200.0, 'projected_FD_points': 3.4661798768037069, 'confidence': -0.47003193144409972, 'FD_Position': '1B'},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</si>
  <si>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12.985321457032585, 'confidence': -2.037194656067542,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3.5035934088432574, 'confidence': 0.03064736770608345, 'FD_Position': 'OF'}, 'Jason Castro_batter': {'Salary': 2200.0, 'projected_FD_points': 2.8420217149227742, 'confidence': -0.074510386572811838, 'FD_Position': 'C'}}</t>
  </si>
  <si>
    <t>{'Chris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'Corey Dickerson_batter': {'Salary': 4800.0, 'projected_FD_points': 3.3550032892846975, 'confidence': -0.18325913483238065,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</si>
  <si>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{'Jose Altuve_batter': {'Salary': 3800.0, 'projected_FD_points': 2.7053606757903461, 'confidence': -0.012047913638506103, 'FD_Position': '2B'}, 'Stephen Strasburg_pitcher': {'Salary': 9600.0, 'projected_FD_points': 13.022805941946949, 'confidence': -0.082217495759917991,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'Jose Reyes_batter': {'Salary': 3200.0, 'projected_FD_points': 2.2295682339963188, 'confidence': -0.10325094787729383, 'FD_Position': 'SS'}, 'Michael Cuddyer_batter': {'Salary': 3000.0, 'projected_FD_points': 3.1691013077003811, 'confidence': -0.24910605508072492,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</si>
  <si>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'Jacoby Ellsbury_batter': {'Salary': 3800.0, 'projected_FD_points': 3.6492673602501839, 'confidence': -0.026939002666515499, 'FD_Position': 'OF'}, 'Michael Cuddyer_batter': {'Salary': 3200.0, 'projected_FD_points': 4.9083949946783303, 'confidence': 0.10284972392941283, 'FD_Position': 'OF'}, 'Miguel Gonzalez_pitcher': {'Salary': 8000.0, 'projected_FD_points': 13.638043852498228, 'confidence': -1.2695797654866108, 'FD_Position': 'P'}, 'Jose Iglesias_batter': {'Salary': 2800.0, 'projected_FD_points': 2.845003434676022, 'confidence': -0.50739101086846938, 'FD_Position': 'SS'}}</t>
  </si>
  <si>
    <t>{'George Springer_batter': {'Salary': 3500.0, 'projected_FD_points': 2.9714234080440063, 'confidence': -0.17996465321317068, 'FD_Position': 'OF'}, 'Trevor Plouffe_batter': {'Salary': 2600.0, 'projected_FD_points': 2.5180252941212586, 'confidence': -0.29799005164322123, 'FD_Position': '3B'}, 'Seth Smith_batter': {'Salary': 2300.0, 'projected_FD_points': 2.2729900008936639, 'confidence': -1.865221950081962,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'Ben Zobrist_batter': {'Salary': 3600.0, 'projected_FD_points': 2.5805315199651142, 'confidence': -0.092207469779203688, 'FD_Position': '2B'}, 'Chris Carter_batter': {'Salary': 2700.0, 'projected_FD_points': 2.4019672936447356, 'confidence': -0.032787809814881497,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</si>
  <si>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12.064109583512909, 'confidence': -1.215311225195415,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</si>
  <si>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2.4054735777477703, 'confidence': -7.4777907940643171,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3.4773588491001752, 'confidence': -0.072166205941776473,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3.6315169079647935, 'confidence': -0.041413193847516405, 'FD_Position': 'SS'}, 'Tyson Ross_pitcher': {'Salary': 8400.0, 'projected_FD_points': 13.763087940003643, 'confidence': -0.11353357929729047,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</si>
  <si>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15.381365366960924, 'confidence': -0.090927338887960341,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4.0600712228503655, 'confidence': 0.08762850052171689, 'FD_Position': 'OF'}, 'Michael McKenry_batter': {'Salary': 2200.0, 'projected_FD_points': 2.069751148186334, 'confidence': 0.012069334563028278, 'FD_Position': 'C'}}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</si>
  <si>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15.381365366960924, 'confidence': -0.090927338887960341,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3.9384774040123882, 'confidence': 0.040570166981703015,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</si>
  <si>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48.991211644067967, 'confidence': 0, 'FD_Position': 'P'}, 'Alex Rodriguez_batter': {'Salary': 3800.0, 'projected_FD_points': 4.4870399045818399, 'confidence': -0.32231644515667246, 'FD_Position': '3B'}, 'Zack Cozart_batter': {'Salary': 2300.0, 'projected_FD_points': 2.2709268745831936, 'confidence': 0.066472161139167096, 'FD_Position': 'SS'}, 'Howie Kendrick_batter': {'Salary': 3800.0, 'projected_FD_points': 3.0681302819984118, 'confidence': 0.036238948427799178, 'FD_Position': '2B'}, 'Paulo Orlando_batter': {'Salary': 3000.0, 'projected_FD_points': 3.5, 'confidence': 0, 'FD_Position': 'OF'}, 'Paul Goldschmidt_batter': {'Salary': 5300.0, 'projected_FD_points': 3.6455494848269301, 'confidence': -0.011373350727157616, 'FD_Position': '1B'}, 'Josh Phegley_batter': {'Salary': 2200.0, 'projected_FD_points': 3.1317867228484992, 'confidence': -4.3999924217988866, 'FD_Position': 'C'}, 'Jorge Soler_batter': {'Salary': 3800.0, 'projected_FD_points': 4.3140446502298726, 'confidence': -0.089082049009019615, 'FD_Position': 'OF'}, 'Dexter Fowler_batter': {'Salary': 3800.0, 'projected_FD_points': 3.9428260798024115, 'confidence': -0.24682634605594433,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</si>
  <si>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3.4299933241356158, 'confidence': -0.1276895834677918, 'FD_Position': 'SS'}, 'Tyler Matzek_pitcher': {'Salary': 6100.0, 'projected_FD_points': 11.483161994801321, 'confidence': -5.5286870209138561, 'FD_Position': 'P'}}</t>
  </si>
  <si>
    <t>{'Matt Shoemaker_pitcher': {'Salary': 8500.0, 'projected_FD_points': 14.593817873752037, 'confidence': -1.2033078075195078,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2.7783330668092612, 'confidence': 0.010076521003408723,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</si>
  <si>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'Victor Martinez_batter': {'Salary': 4000.0, 'projected_FD_points': 2.7163231746205039, 'confidence': -0.077941603901509726,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</si>
  <si>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2.4687255363617613, 'confidence': -0.16883698318580809, 'FD_Position': '3B'}, 'Rene Rivera_batter': {'Salary': 2200.0, 'projected_FD_points': 2.6088973355687672, 'confidence': -0.078131954834885553,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</si>
  <si>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12.704113295586595, 'confidence': -0.2778975689916845,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</si>
  <si>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16.208838544659415, 'confidence': 0.16680830503295208, 'FD_Position': 'P'}, 'Michael Cuddyer_batter': {'Salary': 3300.0, 'projected_FD_points': 3.4426215022444162, 'confidence': -0.35435255815987077,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</si>
  <si>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7.3800199661116714,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</si>
  <si>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{'Nick Castellanos_batter': {'Salary': 2200.0, 'projected_FD_points': 37.305760948453816, 'confidence': -0.038451342061272431, 'FD_Position': '3B'}, 'Brian Dozier_batter': {'Salary': 3500.0, 'projected_FD_points': 281.40325524919496, 'confidence': 0.076910293829596466, 'FD_Position': '2B'}, 'Mike Pelfrey_pitcher': {'Salary': 6400.0, 'projected_FD_points': 4499.7492747899896, 'confidence': 0, 'FD_Position': 'P'}, 'Kennys Vargas_batter': {'Salary': 2700.0, 'projected_FD_points': 208.76933978723528, 'confidence': -0.33673126345912485, 'FD_Position': '1B'}, 'Kurt Suzuki_batter': {'Salary': 2300.0, 'projected_FD_points': 12.69909252178998, 'confidence': 0.021957477693126171, 'FD_Position': 'C'}, 'Dexter Fowler_batter': {'Salary': 3200.0, 'projected_FD_points': 4.054527890474148, 'confidence': 0.022042117548270235, 'FD_Position': 'OF'}, 'Michael Cuddyer_batter': {'Salary': 2500.0, 'projected_FD_points': 3.4984414622934246, 'confidence': -2.083724259823784, 'FD_Position': 'OF'}, 'Aaron Hicks_batter': {'Salary': 2200.0, 'projected_FD_points': 48.207041698477759, 'confidence': -1.146941661300843, 'FD_Position': 'OF'}, 'Jose Iglesias_batter': {'Salary': 2400.0, 'projected_FD_points': 422.7261088089291, 'confidence': -0.19365395456442469, 'FD_Position': 'SS'}}</t>
  </si>
  <si>
    <t>{'Johnny Cueto_pitcher': {'Salary': 10500.0, 'projected_FD_points': 18.560755997070068, 'confidence': -0.2465725362697655, 'FD_Position': 'P'}, 'Robinson Cano_batter': {'Salary': 3400.0, 'projected_FD_points': 2.6524149193022235, 'confidence': -0.15990431293802732, 'FD_Position': '2B'}, 'Xander Bogaerts_batter': {'Salary': 2200.0, 'projected_FD_points': 1.7982980503745676, 'confidence': -0.06701388489336102, 'FD_Position': 'SS'}, 'Brian McCann_batter': {'Salary': 3100.0, 'projected_FD_points': 2.3797376938426842, 'confidence': 0.027441689534230762, 'FD_Position': 'C'}, 'Brock Holt_batter': {'Salary': 2200.0, 'projected_FD_points': 3.822009807348496, 'confidence': 0.090323512323309818, 'FD_Position': '3B'}, 'Chris Colabello_batter': {'Salary': 2400.0, 'projected_FD_points': 3.3804359265452684, 'confidence': 0.12005086556308886, 'FD_Position': 'OF'}, 'Nelson Cruz_batter': {'Salary': 5000.0, 'projected_FD_points': 3.4008085441050611, 'confidence': 0.011795293728932621, 'FD_Position': 'OF'}, 'Hanley Ramirez_batter': {'Salary': 3700.0, 'projected_FD_points': 2.9263305863593398, 'confidence': 0.054661860154248676, 'FD_Position': 'OF'}, 'Mike Napoli_batter': {'Salary': 2500.0, 'projected_FD_points': 2.5972103367984101, 'confidence': -0.40066648749289202, 'FD_Position': '1B'}}</t>
  </si>
  <si>
    <t>{'Kris Bryant_batter': {'Salary': 4000.0, 'projected_FD_points': 4.3367404709555526, 'confidence': -8.7160016485148386, 'FD_Position': '3B'}, 'Anthony Rizzo_batter': {'Salary': 4500.0, 'projected_FD_points': 3.3289708555715256, 'confidence': -0.28946037947824954, 'FD_Position': '1B'}, 'Dexter Fowler_batter': {'Salary': 3200.0, 'projected_FD_points': 4.054527890474148, 'confidence': 0.022042117548270235, 'FD_Position': 'OF'}, 'Elvis Andrus_batter': {'Salary': 2600.0, 'projected_FD_points': 1.7907199226582637, 'confidence': -0.0024569958928930546, 'FD_Position': 'SS'}, 'Delino Deshields Jr._batter': {'Salary': 3100.0, 'projected_FD_points': 2.8014831223895795, 'confidence': -0.087830812399654068, 'FD_Position': 'OF'}, 'Alex Gordon_batter': {'Salary': 3500.0, 'projected_FD_points': 2.5485491471890249, 'confidence': 0.0036470678099354004, 'FD_Position': 'OF'}, 'Jon Niese_pitcher': {'Salary': 8400.0, 'projected_FD_points': 9.9882526787776076, 'confidence': -0.40155650115235542, 'FD_Position': 'P'}, 'Welington Castillo_batter': {'Salary': 2200.0, 'projected_FD_points': 1.9384064619766144, 'confidence': -0.43293642223446938, 'FD_Position': 'C'}, 'Omar Infante_batter': {'Salary': 2300.0, 'projected_FD_points': 1.5175608839900132, 'confidence': -0.063032081273801444, 'FD_Position': '2B'}}</t>
  </si>
  <si>
    <t>{'Kris Bryant_batter': {'Salary': 3900.0, 'projected_FD_points': 4.6700030497725997, 'confidence': -0.96826835580409454, 'FD_Position': '3B'},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'Prince Fielder_batter': {'Salary': 3300.0, 'projected_FD_points': 3.6410095004346963, 'confidence': -0.86730168874930791, 'FD_Position': '1B'}, 'Clayton Kershaw_pitcher': {'Salary': 11000.0, 'projected_FD_points': 18.750275470893129, 'confidence': -0.62119342329657634, 'FD_Position': 'P'}, 'Dexter Fowler_batter': {'Salary': 3100.0, 'projected_FD_points': 4.0371193316769425, 'confidence': 0.0087815775719326528, 'FD_Position': 'OF'}, 'Welington Castillo_batter': {'Salary': 2200.0, 'projected_FD_points': 2.3519328911988535, 'confidence': -0.42852247951195732, 'FD_Position': 'C'}, 'Chase Utley_batter': {'Salary': 2400.0, 'projected_FD_points': 2.4672573990623552, 'confidence': -0.15249939749229036, 'FD_Position': '2B'}, 'Alexei Ramirez_batter': {'Salary': 2600.0, 'projected_FD_points': 2.7206339798141963, 'confidence': -0.18025948142269299, 'FD_Position': 'SS'}}</t>
  </si>
  <si>
    <t>{'Alex Rodriguez_batter': {'Salary': 3300.0, 'projected_FD_points': 3.3172840786042501, 'confidence': -0.62187766371178355, 'FD_Position': '3B'}, 'Chris Owings_batter': {'Salary': 3200.0, 'projected_FD_points': 2.7812496299486753, 'confidence': 0.12431971690672461, 'FD_Position': 'SS'},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'Derek Norris_batter': {'Salary': 2900.0, 'projected_FD_points': 2.4123518953832184, 'confidence': 0.026091567753143918, 'FD_Position': 'C'}, 'Clayton Kershaw_pitcher': {'Salary': 11000.0, 'projected_FD_points': 18.750275470893129, 'confidence': -0.62119342329657634, 'FD_Position': 'P'}, 'Chris Colabello_batter': {'Salary': 2300.0, 'projected_FD_points': 3.3330373321244098, 'confidence': -0.043279704171704791, 'FD_Position': 'OF'}, 'Jose Abreu_batter': {'Salary': 3500.0, 'projected_FD_points': 3.7500894785927792, 'confidence': 0.025328634105921344, 'FD_Position': '1B'}, 'Chase Utley_batter': {'Salary': 2400.0, 'projected_FD_points': 2.4672573990623552, 'confidence': -0.15249939749229036, 'FD_Position': '2B'}}</t>
  </si>
  <si>
    <t>{'Kris Bryant_batter': {'Salary': 3800.0, 'projected_FD_points': 5.0270128440068778, 'confidence': -2.6083183200893547, 'FD_Position': '3B'}, 'Salvador Perez_batter': {'Salary': 2400.0, 'projected_FD_points': 2.1355906950010697, 'confidence': -0.022275450661342733, 'FD_Position': 'C'},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'Jacob deGrom_pitcher': {'Salary': 9100.0, 'projected_FD_points': 17.416686579897224, 'confidence': -1.218713411967943, 'FD_Position': 'P'}}</t>
  </si>
  <si>
    <t>{'Yoenis Cespedes_batter': {'Salary': 2800.0, 'projected_FD_points': 2.8305499170270889, 'confidence': -0.0035901846102337487, 'FD_Position': 'OF'}, 'Kris Bryant_batter': {'Salary': 3800.0, 'projected_FD_points': 5.0270128440068778, 'confidence': -2.6083183200893547, 'FD_Position': '3B'}, 'Anthony Rizzo_batter': {'Salary': 4500.0, 'projected_FD_points': 3.5972368579487588, 'confidence': -0.064913927906572244, 'FD_Position': '1B'}, 'Gerrit Cole_pitcher': {'Salary': 9300.0, 'projected_FD_points': 17.170289122798209, 'confidence': -2.5424602131526486, 'FD_Position': 'P'}, 'Neil Walker_batter': {'Salary': 2900.0, 'projected_FD_points': 2.4400940993018621, 'confidence': -0.2382380793893073, 'FD_Position': '2B'}, 'J.D. Martinez_batter': {'Salary': 3100.0, 'projected_FD_points': 3.3679353085050008, 'confidence': -0.20414295160476015,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'Rene Rivera_batter': {'Salary': 2500.0, 'projected_FD_points': 1.9825815617004958, 'confidence': -0.46296551681257236, 'FD_Position': 'C'}}</t>
  </si>
  <si>
    <t>{'Alex Rodriguez_batter': {'Salary': 3400.0, 'projected_FD_points': 4.3878343342932977, 'confidence': -4.2110517708075692, 'FD_Position': '3B'},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'Salvador Perez_batter': {'Salary': 2400.0, 'projected_FD_points': 2.1355906950010697, 'confidence': -0.022275450661342733, 'FD_Position': 'C'}, 'Adam Jones_batter': {'Salary': 3600.0, 'projected_FD_points': 3.0681834073084642, 'confidence': -1.0559165970722111,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'Marcus Semien_batter': {'Salary': 3500.0, 'projected_FD_points': 2.5681056512176692, 'confidence': -0.15994084924087693, 'FD_Position': 'SS'}, 'Jacob deGrom_pitcher': {'Salary': 9100.0, 'projected_FD_points': 17.416686579897224, 'confidence': -1.218713411967943, 'FD_Position': 'P'}}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</si>
  <si>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'Mike Trout_batter': {'Salary': 5100.0, 'projected_FD_points': 4.2104122935725137, 'confidence': -0.066606926581270764, 'FD_Position': 'OF'}, 'Chris Heston_pitcher': {'Salary': 7400.0, 'projected_FD_points': 21.963002660310551, 'confidence': 0, 'FD_Position': 'P'}, 'Brock Holt_batter': {'Salary': 2300.0, 'projected_FD_points': 3.6183508269978937, 'confidence': -0.058968112014033958, 'FD_Position': '3B'}, 'Brandon Crawford_batter': {'Salary': 2400.0, 'projected_FD_points': 2.7390783594770545, 'confidence': -0.041482535297173717, 'FD_Position': 'SS'},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</si>
  <si>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'Pedro Alvarez_batter': {'Salary': 2900.0, 'projected_FD_points': 3.4955312773374523, 'confidence': -0.50558494151996314, 'FD_Position': '1B'}, 'Eddie Rosario_batter': {'Salary': 2600.0, 'projected_FD_points': 13.74601266392127, 'confidence': 0, 'FD_Position': 'OF'}, 'Jorge Soler_batter': {'Salary': 3000.0, 'projected_FD_points': 3.6346765788973689, 'confidence': -0.87117591468287481, 'FD_Position': 'OF'}, 'Daniel Santana_batter': {'Salary': 2800.0, 'projected_FD_points': 2.5150341607696882, 'confidence': -0.5716675136705851, 'FD_Position': 'SS'}, 'Dexter Fowler_batter': {'Salary': 3500.0, 'projected_FD_points': 4.5303009596399715, 'confidence': -0.023842481997313758, 'FD_Position': 'OF'}, 'Jake Arrieta_pitcher': {'Salary': 9900.0, 'projected_FD_points': 15.174309804269029, 'confidence': -0.80104284004147797, 'FD_Position': 'P'},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</si>
  <si>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'Chris Heston_pitcher': {'Salary': 7400.0, 'projected_FD_points': 21.963002660310551, 'confidence': 0, 'FD_Position': 'P'}, 'Mike Trout_batter': {'Salary': 5100.0, 'projected_FD_points': 4.2104122935725137, 'confidence': -0.066606926581270764, 'FD_Position': 'OF'}, 'Brandon Crawford_batter': {'Salary': 2400.0, 'projected_FD_points': 2.7390783594770545, 'confidence': -0.041482535297173717, 'FD_Position': 'SS'},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</si>
  <si>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{'Adam Eaton_batter': {'Salary': 2700.0, 'projected_FD_points': 2.9835457282519258, 'confidence': -0.80223967642723748, 'FD_Position': 'OF'}, 'J.D. Martinez_batter': {'Salary': 3300.0, 'projected_FD_points': 3.5299308612291518, 'confidence': -0.12067045427441392, 'FD_Position': 'OF'}, 'Stephen Vogt_batter': {'Salary': 4000.0, 'projected_FD_points': 2.4756332317496561, 'confidence': -0.091148847060455562, 'FD_Position': 'C'}, 'Robinson Cano_batter': {'Salary': 3200.0, 'projected_FD_points': 2.6826517819794766, 'confidence': -0.10599590682340865, 'FD_Position': '2B'}, 'Brock Holt_batter': {'Salary': 2300.0, 'projected_FD_points': 3.6183508269978937, 'confidence': -0.058968112014033958, 'FD_Position': '3B'}, 'James Paxton_pitcher': {'Salary': 7000.0, 'projected_FD_points': 15.156206579442053, 'confidence': -5.4416577655433658, 'FD_Position': 'P'}, 'Nelson Cruz_batter': {'Salary': 4800.0, 'projected_FD_points': 2.9143439601562244, 'confidence': -0.10958640305446044, 'FD_Position': 'OF'}, 'Jose Abreu_batter': {'Salary': 3600.0, 'projected_FD_points': 3.4331164214833496, 'confidence': -0.12355519827657835, 'FD_Position': '1B'}, 'Alexei Ramirez_batter': {'Salary': 2500.0, 'projected_FD_points': 2.2817130268648, 'confidence': -0.0014991830690991303, 'FD_Position': 'SS'}}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</si>
  <si>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'Dee Gordon_batter': {'Salary': 3900.0, 'projected_FD_points': 2.6362108881318522, 'confidence': -0.60925686673811885, 'FD_Position': '2B'},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'Chris Colabello_batter': {'Salary': 2300.0, 'projected_FD_points': 3.0776765370614707, 'confidence': -0.026132118279040606, 'FD_Position': 'OF'}, 'Victor Martinez_batter': {'Salary': 3300.0, 'projected_FD_points': 2.6730304794408553, 'confidence': -0.26088059089407989, 'FD_Position': 'C'}, 'Chris Sale_pitcher': {'Salary': 10000.0, 'projected_FD_points': 21.171836775629984, 'confidence': 0.0041738476279044034, 'FD_Position': 'P'}}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</si>
  <si>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'J.D. Martinez_batter': {'Salary': 3300.0, 'projected_FD_points': 3.0022255507734297, 'confidence': -0.048815114871414433, 'FD_Position': 'OF'},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'Victor Martinez_batter': {'Salary': 3300.0, 'projected_FD_points': 2.6730304794408553, 'confidence': -0.26088059089407989, 'FD_Position': 'C'}, 'Chase Utley_batter': {'Salary': 3000.0, 'projected_FD_points': 2.2703065843572938, 'confidence': -0.11135595873202275, 'FD_Position': '2B'}, 'Chris Sale_pitcher': {'Salary': 10000.0, 'projected_FD_points': 21.171836775629984, 'confidence': 0.0041738476279044034, 'FD_Position': 'P'}}</t>
  </si>
  <si>
    <t>{'Matt Kemp_batter': {'Salary': 3100.0, 'projected_FD_points': 2.6596261061161006, 'confidence': -0.064586237530325441, 'FD_Position': 'OF'}, 'James Shields_pitcher': {'Salary': 8700.0, 'projected_FD_points': 13.142532373166706, 'confidence': -0.50980637666361428, 'FD_Position': 'P'}, 'Kyle Seager_batter': {'Salary': 3000.0, 'projected_FD_points': 3.0470140946112743, 'confidence': 0.0049383604995765218, 'FD_Position': '3B'}, 'Wilin Rosario_batter': {'Salary': 3000.0, 'projected_FD_points': 1.9585545077571354, 'confidence': -0.10546636606253035, 'FD_Position': 'C'}, 'Dustin Ackley_batter': {'Salary': 2300.0, 'projected_FD_points': 2.1197144352936972, 'confidence': 0.017356400431356889, 'FD_Position': 'OF'}, 'Johnny Giavotella_batter': {'Salary': 2200.0, 'projected_FD_points': 2.1936985488177334, 'confidence': -1.7403679944767925, 'FD_Position': '2B'}, 'Justin Morneau_batter': {'Salary': 3400.0, 'projected_FD_points': 2.7812018393020481, 'confidence': -0.10642568238087846, 'FD_Position': '1B'}, 'Troy Tulowitzki_batter': {'Salary': 4400.0, 'projected_FD_points': 2.2990469862221472, 'confidence': -0.22456909207286002, 'FD_Position': 'SS'}, 'Nelson Cruz_batter': {'Salary': 4800.0, 'projected_FD_points': 3.1825044291966935, 'confidence': -0.23614160521499383, 'FD_Position': 'OF'}}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</si>
  <si>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'Nick Swisher_batter': {'Salary': 2300.0, 'projected_FD_points': 3.8062082249885938, 'confidence': -0.6577714030056101,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</si>
  <si>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'Ryan Zimmerman_batter': {'Salary': 3000.0, 'projected_FD_points': 3.3652372908275368, 'confidence': 0.11834083795527317,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</si>
  <si>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{'Michael Brantley_batter': {'Salary': 4300.0, 'projected_FD_points': 3.3087564072819342, 'confidence': 0.0069851204984836546, 'FD_Position': 'OF'}, 'Russell Martin_batter': {'Salary': 3800.0, 'projected_FD_points': 3.0133328197218159, 'confidence': 0.021762271892230123,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'Jose Bautista_batter': {'Salary': 4800.0, 'projected_FD_points': 3.8316251210914753, 'confidence': -0.028347477558176459, 'FD_Position': 'OF'}, 'J.D. Martinez_batter': {'Salary': 3000.0, 'projected_FD_points': 3.0913807375466469, 'confidence': -2.8796235463479647e-05, 'FD_Position': 'OF'}, 'Nick Swisher_batter': {'Salary': 2300.0, 'projected_FD_points': 3.8062082249885938, 'confidence': -0.6577714030056101, 'FD_Position': '1B'}, 'J.J. Hardy_batter': {'Salary': 2500.0, 'projected_FD_points': 2.4217319902224426, 'confidence': 0.031314885904598078, 'FD_Position': 'SS'}, 'Alfredo Simon_pitcher': {'Salary': 7800.0, 'projected_FD_points': 12.343784959060288, 'confidence': 0.16519054558218549, 'FD_Position': 'P'}}</t>
  </si>
  <si>
    <t>{'Ian Desmond_batter': {'Salary': 2900.0, 'projected_FD_points': 2.6168648156853536, 'confidence': -0.20744488431395536, 'FD_Position': 'SS'}, 'Ryan Zimmerman_batter': {'Salary': 3000.0, 'projected_FD_points': 3.3652372908275368, 'confidence': 0.11834083795527317, 'FD_Position': '1B'}, 'Derek Norris_batter': {'Salary': 2900.0, 'projected_FD_points': 2.2938632834569699, 'confidence': -0.00048746449850312068, 'FD_Position': 'C'}, 'Cory Spangenberg_batter': {'Salary': 2500.0, 'projected_FD_points': 2.4986116577119035, 'confidence': -1.055323973440689, 'FD_Position': '2B'}, 'Mookie Betts_batter': {'Salary': 3400.0, 'projected_FD_points': 4.2205194132619219, 'confidence': 0.34299467001221429, 'FD_Position': 'OF'}, 'Stephen Strasburg_pitcher': {'Salary': 9100.0, 'projected_FD_points': 12.961000004040894, 'confidence': -1.1211757987794466, 'FD_Position': 'P'}, 'Kyle Seager_batter': {'Salary': 3000.0, 'projected_FD_points': 2.7723577844703735, 'confidence': -0.10098358925810236, 'FD_Position': '3B'}, 'Giancarlo Stanton_batter': {'Salary': 4500.0, 'projected_FD_points': 4.0251867688803102, 'confidence': -0.044158773273118568, 'FD_Position': 'OF'}, 'Coco Crisp_batter': {'Salary': 2200.0, 'projected_FD_points': 2.8544091072816862, 'confidence': -0.7623896997118782, 'FD_Position': 'OF'}}</t>
  </si>
  <si>
    <t>{'Robinson Chirinos_batter': {'Salary': 2500.0, 'projected_FD_points': 2.9812264607296841, 'confidence': -0.6929306102230246, 'FD_Position': 'C'}, 'Starlin Castro_batter': {'Salary': 3100.0, 'projected_FD_points': 2.1694138675885997, 'confidence': -0.0035388271561827001, 'FD_Position': 'SS'}, 'Delino Deshields Jr._batter': {'Salary': 2800.0, 'projected_FD_points': 2.9520902311608905, 'confidence': -1.3721927992624234, 'FD_Position': 'OF'}, 'Jose Altuve_batter': {'Salary': 4600.0, 'projected_FD_points': 2.4332723445106725, 'confidence': -0.13534262235628836, 'FD_Position': '2B'}, 'Kris Bryant_batter': {'Salary': 3500.0, 'projected_FD_points': 3.6643693842745217, 'confidence': -0.0093050846710958091, 'FD_Position': '3B'}, 'Dexter Fowler_batter': {'Salary': 3300.0, 'projected_FD_points': 4.2054775453340261, 'confidence': -0.1976920735493255, 'FD_Position': 'OF'}, 'Jose Abreu_batter': {'Salary': 3400.0, 'projected_FD_points': 3.5374984755783698, 'confidence': 0.031906954421933253, 'FD_Position': '1B'}, 'Kyle Blanks_batter': {'Salary': 2700.0, 'projected_FD_points': 3.0083647049623359, 'confidence': -0.22665684593452484, 'FD_Position': 'OF'}, 'Collin McHugh_pitcher': {'Salary': 8800.0, 'projected_FD_points': 16.189705081052669, 'confidence': -1.0371354059044711, 'FD_Position': 'P'}}</t>
  </si>
  <si>
    <t>{'Jeff Samardzija_pitcher': {'Salary': 8900.0, 'projected_FD_points': 15.957800159276239, 'confidence': -1.5773119364103554, 'FD_Position': 'P'}, 'Alex Rodriguez_batter': {'Salary': 3400.0, 'projected_FD_points': 4.2421189713727783, 'confidence': 0.0, 'FD_Position': '3B'}, 'Adam Lind_batter': {'Salary': 3400.0, 'projected_FD_points': 3.5519911803327529, 'confidence': 0.027218547617333111, 'FD_Position': '1B'}, 'Steve Pearce_batter': {'Salary': 2900.0, 'projected_FD_points': 3.7590646525492057, 'confidence': -0.18869435071142671, 'FD_Position': 'OF'}, 'Alexei Ramirez_batter': {'Salary': 2700.0, 'projected_FD_points': 2.9344056955603985, 'confidence': -0.046243057739925542, 'FD_Position': 'SS'}, 'Dexter Fowler_batter': {'Salary': 3300.0, 'projected_FD_points': 4.144369113226853, 'confidence': -0.06810064510186975, 'FD_Position': 'OF'}, 'Devon Travis_batter': {'Salary': 3400.0, 'projected_FD_points': 5.4223067771050335, 'confidence': -0.78801990782769504, 'FD_Position': '2B'}, 'Giancarlo Stanton_batter': {'Salary': 4500.0, 'projected_FD_points': 4.6184333488576303, 'confidence': -1.0441921050850862, 'FD_Position': 'OF'}, 'Martin Maldonado_batter': {'Salary': 2200.0, 'projected_FD_points': 2.5481376117902625, 'confidence': -0.047637949036640315, 'FD_Position': 'C'}}</t>
  </si>
  <si>
    <t>{'Ian Desmond_batter': {'Salary': 2900.0, 'projected_FD_points': 2.4547820387506487, 'confidence': 0.0015112352555727293, 'FD_Position': 'SS'}, 'Stephen Vogt_batter': {'Salary': 3500.0, 'projected_FD_points': 2.3733040856862715, 'confidence': -2.7402782483500241, 'FD_Position': 'C'}, 'Ryan Zimmerman_batter': {'Salary': 2900.0, 'projected_FD_points': 3.3786919699786759, 'confidence': 0.25765262504149555, 'FD_Position': '1B'}, 'Justin Turner_batter': {'Salary': 2700.0, 'projected_FD_points': 2.3343651325022963, 'confidence': -0.5915871718992991, 'FD_Position': '2B'}, 'Zack Greinke_pitcher': {'Salary': 10300.0, 'projected_FD_points': 13.164773341125663, 'confidence': -0.43704256643209294, 'FD_Position': 'P'}, 'Brett Lawrie_batter': {'Salary': 2400.0, 'projected_FD_points': 2.503528364300613, 'confidence': -0.1338764732015183, 'FD_Position': '3B'}, 'Giancarlo Stanton_batter': {'Salary': 4500.0, 'projected_FD_points': 4.6184333488576303, 'confidence': -1.0441921050850862, 'FD_Position': 'OF'}, 'Coco Crisp_batter': {'Salary': 2300.0, 'projected_FD_points': 2.7514067086029024, 'confidence': -0.13174196760537038, 'FD_Position': 'OF'}, 'Jayson Werth_batter': {'Salary': 3100.0, 'projected_FD_points': 2.8412690016678277, 'confidence': -0.41571069868830834, 'FD_Position': 'OF'}}</t>
  </si>
  <si>
    <t>{'Robinson Chirinos_batter': {'Salary': 2500.0, 'projected_FD_points': 2.3041371114557032, 'confidence': 0.07142496681944277, 'FD_Position': 'C'}, 'Starlin Castro_batter': {'Salary': 3200.0, 'projected_FD_points': 2.0285896534137091, 'confidence': -0.048476154335002741, 'FD_Position': 'SS'}, 'Prince Fielder_batter': {'Salary': 3100.0, 'projected_FD_points': 2.5956370666790578, 'confidence': -0.69041203754973801, 'FD_Position': '1B'}, 'Alex Gordon_batter': {'Salary': 3200.0, 'projected_FD_points': 2.5494870590718031, 'confidence': -0.12547158374234035, 'FD_Position': 'OF'}, 'Adrian Beltre_batter': {'Salary': 2700.0, 'projected_FD_points': 2.3206446812400472, 'confidence': 0.11717971324215393, 'FD_Position': '3B'}, 'Dexter Fowler_batter': {'Salary': 3300.0, 'projected_FD_points': 4.144369113226853, 'confidence': -0.06810064510186975, 'FD_Position': 'OF'}, 'Michael Cuddyer_batter': {'Salary': 2600.0, 'projected_FD_points': 3.0314337509211908, 'confidence': -0.90661491607475475, 'FD_Position': 'OF'}, 'Omar Infante_batter': {'Salary': 2500.0, 'projected_FD_points': 1.659301496887267, 'confidence': -0.66039572534942703, 'FD_Position': '2B'}, 'Jon Lester_pitcher': {'Salary': 9100.0, 'projected_FD_points': 12.404158595149365, 'confidence': -0.56642240759787499, 'FD_Position': 'P'}}</t>
  </si>
  <si>
    <t>{'Alex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'Alexander Guerrero_batter': {'Salary': 3700.0, 'projected_FD_points': 5.033921778538331, 'confidence': -1.2210291883900908, 'FD_Position': 'OF'}, 'Colby Rasmus_batter': {'Salary': 2800.0, 'projected_FD_points': 3.6631550091042615, 'confidence': -0.65012626997664746, 'FD_Position': 'OF'}, 'Daniel Santana_batter': {'Salary': 2900.0, 'projected_FD_points': 3.2236500873442289, 'confidence': -1.0203834099898876, 'FD_Position': 'SS'}, 'Clayton Kershaw_pitcher': {'Salary': 11200.0, 'projected_FD_points': 19.998380706022001, 'confidence': -5.1001600073280189, 'FD_Position': 'P'}, 'Chris Colabello_batter': {'Salary': 2300.0, 'projected_FD_points': 3.1823597491388989, 'confidence': -0.0051032066112204344, 'FD_Position': 'OF'}, 'Jose Abreu_batter': {'Salary': 3500.0, 'projected_FD_points': 3.8526028489558488, 'confidence': -0.042657696808477752, 'FD_Position': '1B'}, 'Addison Russell_batter': {'Salary': 2900.0, 'projected_FD_points': 5.7559188399484054, 'confidence': 0.0, 'FD_Position': '2B'}}</t>
  </si>
  <si>
    <t>{'Michael Brantley_batter': {'Salary': 4300.0, 'projected_FD_points': 3.4966604578087965, 'confidence': -0.011880544161040785, 'FD_Position': 'OF'}, 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'Jose Abreu_batter': {'Salary': 3500.0, 'projected_FD_points': 3.8526028489558488, 'confidence': -0.042657696808477752, 'FD_Position': '1B'}, 'Matt Holliday_batter': {'Salary': 3700.0, 'projected_FD_points': 3.6894535759256764, 'confidence': -0.39974237740675922, 'FD_Position': 'OF'}, 'Daniel Santana_batter': {'Salary': 2900.0, 'projected_FD_points': 3.2236500873442289, 'confidence': -1.0203834099898876, 'FD_Position': 'SS'}, 'Michael Pineda_pitcher': {'Salary': 8800.0, 'projected_FD_points': 12.394515148186784, 'confidence': 0.23016453651017965, 'FD_Position': 'P'}, 'Addison Russell_batter': {'Salary': 2900.0, 'projected_FD_points': 5.7559188399484054, 'confidence': 0.0, 'FD_Position': '2B'}, 'Kyle Blanks_batter': {'Salary': 2800.0, 'projected_FD_points': 4.7643007001478388, 'confidence': -3.9205131461922367, 'FD_Position': 'OF'}}</t>
  </si>
  <si>
    <t>{'Mike Morse_batter': {'Salary': 2400.0, 'projected_FD_points': 2.1119526802017141, 'confidence': -0.021357604142044462, 'FD_Position': '1B'}, 'J.D. Martinez_batter': {'Salary': 3000.0, 'projected_FD_points': 3.8900034266257864, 'confidence': -0.074587157889229427, 'FD_Position': 'OF'}, 'Alexander Guerrero_batter': {'Salary': 3700.0, 'projected_FD_points': 5.033921778538331, 'confidence': -1.2210291883900908, 'FD_Position': 'OF'}, 'James McCann_batter': {'Salary': 2400.0, 'projected_FD_points': 2.02613943576555, 'confidence': 0.87545565731425601, 'FD_Position': 'C'}, 'Joc Pederson_batter': {'Salary': 4800.0, 'projected_FD_points': 5.8697051840279215, 'confidence': -1.6565385525010945, 'FD_Position': 'OF'}, 'Cory Spangenberg_batter': {'Salary': 2600.0, 'projected_FD_points': 2.3133773416004613, 'confidence': -1.2399573288111148, 'FD_Position': '2B'}, 'Clayton Kershaw_pitcher': {'Salary': 11200.0, 'projected_FD_points': 19.998380706022001, 'confidence': -5.1001600073280189, 'FD_Position': 'P'}, 'Brett Lawrie_batter': {'Salary': 2500.0, 'projected_FD_points': 2.2702884311835536, 'confidence': -0.59925379234912679, 'FD_Position': '3B'}, 'Alcides Escobar_batter': {'Salary': 2400.0, 'projected_FD_points': 2.4168679797288006, 'confidence': -0.089075310295909871, 'FD_Position': 'SS'}}</t>
  </si>
  <si>
    <t>{'Kolten Wong_batter': {'Salary': 2800.0, 'projected_FD_points': 2.8579238089810937, 'confidence': -0.31724464780352402, 'FD_Position': '2B'}, 'Johnny Cueto_pitcher': {'Salary': 10500.0, 'projected_FD_points': 17.74141374049524, 'confidence': 0.012723137480995406, 'FD_Position': 'P'}, 'Mark Canha_batter': {'Salary': 2800.0, 'projected_FD_points': 3.6080458103219115, 'confidence': -0.54438814743650354, 'FD_Position': 'OF'}, 'Josh Phegley_batter': {'Salary': 2200.0, 'projected_FD_points': 4.5742661252864707, 'confidence': -3.5182013044724929, 'FD_Position': 'C'}, 'Martin Prado_batter': {'Salary': 3000.0, 'projected_FD_points': 2.8184869313312348, 'confidence': -0.083771880484123207, 'FD_Position': '3B'}, 'Dexter Fowler_batter': {'Salary': 2900.0, 'projected_FD_points': 3.2753268534806983, 'confidence': 0.12486454461940533, 'FD_Position': 'OF'}, 'Nelson Cruz_batter': {'Salary': 4900.0, 'projected_FD_points': 3.9485361950043245, 'confidence': -0.068716074671997696, 'FD_Position': 'OF'}, 'Jose Abreu_batter': {'Salary': 3500.0, 'projected_FD_points': 4.0364517338812593, 'confidence': -0.07112627163010643, 'FD_Position': '1B'}, 'Alexei Ramirez_batter': {'Salary': 2400.0, 'projected_FD_points': 2.2272790510255818, 'confidence': -0.037263944867231613, 'FD_Position': 'SS'}}</t>
  </si>
  <si>
    <t>{'Roberto Perez_batter': {'Salary': 2300.0, 'projected_FD_points': 2.4802679712559867, 'confidence': -1.4316291059463224, 'FD_Position': 'C'}, 'Jason Kipnis_batter': {'Salary': 3500.0, 'projected_FD_points': 2.8270302717069495, 'confidence': 0.18064085291293908, 'FD_Position': '2B'}, 'Doug Fister_pitcher': {'Salary': 8000.0, 'projected_FD_points': 12.409316654711587, 'confidence': -0.50802748968655087, 'FD_Position': 'P'}, 'Daniel Santana_batter': {'Salary': 2900.0, 'projected_FD_points': 3.1343006290020803, 'confidence': 0.049501703989131784, 'FD_Position': 'SS'}, 'Michael Brantley_batter': {'Salary': 4200.0, 'projected_FD_points': 3.9316409149804534, 'confidence': -0.24381125212261434, 'FD_Position': 'OF'}, 'Adrian Beltre_batter': {'Salary': 2900.0, 'projected_FD_points': 2.7772012629758045, 'confidence': -0.25281395404307494, 'FD_Position': '3B'}, 'Carlos Santana_batter': {'Salary': 3500.0, 'projected_FD_points': 3.8023888964526469, 'confidence': 0.061575964774202019, 'FD_Position': '1B'}, 'Jayson Werth_batter': {'Salary': 2900.0, 'projected_FD_points': 2.7758819541565178, 'confidence': -0.11403260744640198, 'FD_Position': 'OF'}, 'Kyle Blanks_batter': {'Salary': 2900.0, 'projected_FD_points': 3.7091106731689045, 'confidence': -0.016357896988485887, 'FD_Position': 'OF'}}</t>
  </si>
  <si>
    <t>{'Michael Brantley_batter': {'Salary': 4200.0, 'projected_FD_points': 3.6689252082349664, 'confidence': -0.34156252816177024, 'FD_Position': 'OF'}, 'Alex Rodriguez_batter': {'Salary': 3200.0, 'projected_FD_points': 3.2057205626654857, 'confidence': -0.7585230681629398, 'FD_Position': '3B'}, 'Matt Kemp_batter': {'Salary': 3500.0, 'projected_FD_points': 3.7783209229556101, 'confidence': -0.14269344646813087, 'FD_Position': 'OF'}, 'Stephen Vogt_batter': {'Salary': 3800.0, 'projected_FD_points': 4.2033706754871663, 'confidence': -0.48286033964188513, 'FD_Position': 'C'}, 'Mike Pelfrey_pitcher': {'Salary': 6400.0, 'projected_FD_points': 26.206552492222791, 'confidence': 0, 'FD_Position': 'P'}, 'Paul Goldschmidt_batter': {'Salary': 5100.0, 'projected_FD_points': 3.7072122163460772, 'confidence': -0.01809428279456804, 'FD_Position': '1B'}, 'Devon Travis_batter': {'Salary': 3400.0, 'projected_FD_points': 4.3885566226563251, 'confidence': -0.78074721103500866, 'FD_Position': '2B'}, 'Jose Pirela_batter': {'Salary': 2200.0, 'projected_FD_points': 10.942937500000001, 'confidence': 0, 'FD_Position': 'SS'}, 'Kyle Blanks_batter': {'Salary': 2900.0, 'projected_FD_points': 4.810912038721094, 'confidence': -0.40119785531710028, 'FD_Position': 'OF'}}</t>
  </si>
  <si>
    <t>{'Jimmy Paredes_batter': {'Salary': 3000.0, 'projected_FD_points': 3.1795259981625801, 'confidence': 0.15957946593930583, 'FD_Position': '2B'}, 'Matt Kemp_batter': {'Salary': 3500.0, 'projected_FD_points': 3.1461119940540483, 'confidence': -0.094291597110843117, 'FD_Position': 'OF'}, 'Prince Fielder_batter': {'Salary': 3300.0, 'projected_FD_points': 3.3585955649633421, 'confidence': 0.39312621019303784, 'FD_Position': '1B'}, 'Derek Norris_batter': {'Salary': 3000.0, 'projected_FD_points': 2.137530768062367, 'confidence': -0.12079588607252267, 'FD_Position': 'C'}, 'Todd Frazier_batter': {'Salary': 3800.0, 'projected_FD_points': 2.905591743347165, 'confidence': -0.10637004884620405, 'FD_Position': '3B'}, 'Jacob Elmore_batter': {'Salary': 2200.0, 'projected_FD_points': 3.4806060264566359, 'confidence': 0, 'FD_Position': 'SS'}, 'Giancarlo Stanton_batter': {'Salary': 4700.0, 'projected_FD_points': 3.895018559592387, 'confidence': -0.13799436826109202, 'FD_Position': 'OF'}, 'Kyle Blanks_batter': {'Salary': 3000.0, 'projected_FD_points': 3.6527805186781546, 'confidence': 0.55194786695717057, 'FD_Position': 'OF'}, 'Collin McHugh_pitcher': {'Salary': 8400.0, 'projected_FD_points': 12.872051378939336, 'confidence': 0.39918984674249158, 'FD_Position': 'P'}}</t>
  </si>
  <si>
    <t>{'Jean Segura_batter': {'Salary': 2700.0, 'projected_FD_points': 33.81533865068198, 'confidence': 0.063509620220569607, 'FD_Position': 'SS'}, 'Carlos Gomez_batter': {'Salary': 4100.0, 'projected_FD_points': 47.027051099289245, 'confidence': -0.076616785436473878, 'FD_Position': 'OF'}, 'Andre Ethier_batter': {'Salary': 2800.0, 'projected_FD_points': 59.578233954822778, 'confidence': -0.085099753642660092, 'FD_Position': 'OF'}, 'Josh Donaldson_batter': {'Salary': 3900.0, 'projected_FD_points': 3.5292292836755266, 'confidence': -0.0047513955732823021, 'FD_Position': '3B'}, 'Adam Lind_batter': {'Salary': 3100.0, 'projected_FD_points': 65.88505482879259, 'confidence': -1.9756068917032255, 'FD_Position': '1B'}, 'Roenis Elias_pitcher': {'Salary': 6800.0, 'projected_FD_points': 12.278325725922585, 'confidence': -1.0347296191966935, 'FD_Position': 'P'}, 'Joc Pederson_batter': {'Salary': 3800.0, 'projected_FD_points': 263.94814266337846, 'confidence': 0.18842063592392666, 'FD_Position': 'OF'}, 'Howie Kendrick_batter': {'Salary': 3000.0, 'projected_FD_points': 59.781744718141987, 'confidence': -0.12979624059656669, 'FD_Position': '2B'}, 'Martin Maldonado_batter': {'Salary': 2200.0, 'projected_FD_points': 31.988855507560867, 'confidence': -0.19601107803136708, 'FD_Position': 'C'}}</t>
  </si>
  <si>
    <t>{'Starlin Castro_batter': {'Salary': 3100.0, 'projected_FD_points': 2.3107534756753862, 'confidence': -0.044996477564747561, 'FD_Position': 'SS'}, 'Kevin Plawecki_batter': {'Salary': 2200.0, 'projected_FD_points': 3.769753485486703, 'confidence': 0, 'FD_Position': 'C'}, 'Devon Travis_batter': {'Salary': 3700.0, 'projected_FD_points': 4.649786080707524, 'confidence': 0.21393496297004266, 'FD_Position': '2B'}, 'Brett Lawrie_batter': {'Salary': 2600.0, 'projected_FD_points': 2.621112436024764, 'confidence': -0.17723195116141799, 'FD_Position': '3B'}, 'Kyle Blanks_batter': {'Salary': 2900.0, 'projected_FD_points': 4.960589437438264, 'confidence': -4.9335765730680041, 'FD_Position': 'OF'}, 'Dexter Fowler_batter': {'Salary': 3300.0, 'projected_FD_points': 3.9081806953002518, 'confidence': -0.024963176451384239, 'FD_Position': 'OF'}, 'Giancarlo Stanton_batter': {'Salary': 4800.0, 'projected_FD_points': 4.227515593233294, 'confidence': -0.62424814338738965, 'FD_Position': 'OF'}, 'Michael Pineda_pitcher': {'Salary': 8500.0, 'projected_FD_points': 15.449046645309487, 'confidence': -2.8057097790873189, 'FD_Position': 'P'}, 'Jose Abreu_batter': {'Salary': 3600.0, 'projected_FD_points': 4.0650696990570108, 'confidence': -0.075343888430271067, 'FD_Position': '1B'}}</t>
  </si>
  <si>
    <t>{'Anthony Rizzo_batter': {'Salary': 4200.0, 'projected_FD_points': 3.8843780740120506, 'confidence': -0.014525726136236372, 'FD_Position': '1B'}, 'Hanley Ramirez_batter': {'Salary': 4100.0, 'projected_FD_points': 4.8161985883541973, 'confidence': 0.032137034595279057, 'FD_Position': 'OF'}, 'Ian Desmond_batter': {'Salary': 2800.0, 'projected_FD_points': 2.4492393985894556, 'confidence': -0.32426425902318545, 'FD_Position': 'SS'}, 'Stephen Vogt_batter': {'Salary': 3000.0, 'projected_FD_points': 3.3361030455110368, 'confidence': -0.015044079909930952, 'FD_Position': 'C'}, 'Joc Pederson_batter': {'Salary': 3900.0, 'projected_FD_points': 4.6508568258484377, 'confidence': -4.2364060371872441, 'FD_Position': 'OF'}, 'Mookie Betts_batter': {'Salary': 3000.0, 'projected_FD_points': 5.6542939446013571, 'confidence': 0.19720305227974622, 'FD_Position': 'OF'}, 'Brock Holt_batter': {'Salary': 2200.0, 'projected_FD_points': 2.8191773912601104, 'confidence': -0.40334359729459646, 'FD_Position': '3B'}, 'Addison Russell_batter': {'Salary': 2900.0, 'projected_FD_points': 21.828130013449567, 'confidence': 0, 'FD_Position': '2B'}, 'Tyson Ross_pitcher': {'Salary': 8300.0, 'projected_FD_points': 16.099172784117929, 'confidence': 0.46008730972210377, 'FD_Position': 'P'}}</t>
  </si>
  <si>
    <t>{'Anthony Rizzo_batter': {'Salary': 4200.0, 'projected_FD_points': 3.8843780740120506, 'confidence': -0.014525726136236372, 'FD_Position': '1B'}, 'Stephen Vogt_batter': {'Salary': 3000.0, 'projected_FD_points': 3.3361030455110368, 'confidence': -0.015044079909930952, 'FD_Position': 'C'}, 'Mark Canha_batter': {'Salary': 3000.0, 'projected_FD_points': 3.9387251181635374, 'confidence': -2.1780027326821361, 'FD_Position': 'OF'}, 'Marcus Semien_batter': {'Salary': 3000.0, 'projected_FD_points': 2.2772166793926996, 'confidence': -0.89519805711133915, 'FD_Position': 'SS'}, 'Dexter Fowler_batter': {'Salary': 3300.0, 'projected_FD_points': 4.0602782956128936, 'confidence': -0.005632030533196497, 'FD_Position': 'OF'}, 'Dallas Keuchel_pitcher': {'Salary': 8500.0, 'projected_FD_points': 9.4559365073207537, 'confidence': -0.61509341101576509, 'FD_Position': 'P'}, 'Addison Russell_batter': {'Salary': 2900.0, 'projected_FD_points': 21.828130013449567, 'confidence': 0, 'FD_Position': '2B'}, 'Kyle Blanks_batter': {'Salary': 2900.0, 'projected_FD_points': 3.5934842518318679, 'confidence': -1.6668685760541644, 'FD_Position': 'OF'}, 'Matt Carpenter_batter': {'Salary': 4200.0, 'projected_FD_points': 3.0587519222575601, 'confidence': -0.0022975972020931046, 'FD_Position': '3B'}}</t>
  </si>
  <si>
    <t>{'Albert Pujols_batter': {'Salary': 3100.0, 'projected_FD_points': 2.5417738975519324, 'confidence': -0.022810039709091789, 'FD_Position': '1B'}, 'Matt Kemp_batter': {'Salary': 3600.0, 'projected_FD_points': 2.7387669992534915, 'confidence': -0.30516527046278963, 'FD_Position': 'OF'}, 'Robinson Cano_batter': {'Salary': 3600.0, 'projected_FD_points': 2.1261381340309131, 'confidence': -0.078583035424189873, 'FD_Position': '2B'}, 'Justin Maxwell_batter': {'Salary': 2800.0, 'projected_FD_points': 2.57476832068863, 'confidence': -3.2608584365332831, 'FD_Position': 'OF'}, 'Derek Norris_batter': {'Salary': 3000.0, 'projected_FD_points': 2.7155114155203171, 'confidence': 0.022172725135787275, 'FD_Position': 'C'}, 'Clint Barmes_batter': {'Salary': 2200.0, 'projected_FD_points': 1.8906747299708933, 'confidence': -0.36756024835209877, 'FD_Position': 'SS'}, 'Mike Trout_batter': {'Salary': 5600.0, 'projected_FD_points': 2.9144191612818711, 'confidence': -0.12444984001446846, 'FD_Position': 'OF'}, 'Kyle Seager_batter': {'Salary': 2800.0, 'projected_FD_points': 2.5384473109999535, 'confidence': -0.016469348454155375, 'FD_Position': '3B'}, 'Tyson Ross_pitcher': {'Salary': 8300.0, 'projected_FD_points': 16.099172784117929, 'confidence': 0.46008730972210377, 'FD_Position': 'P'}}</t>
  </si>
  <si>
    <t>{'Mark Teixeira_batter': {'Salary': 3500.0, 'projected_FD_points': 3.3782934324396736, 'confidence': 0.015967112636748215, 'FD_Position': '1B'}, 'Alex Rodriguez_batter': {'Salary': 3500.0, 'projected_FD_points': 3.2456675945328666, 'confidence': -0.5194198624469657, 'FD_Position': '3B'}, 'Erick Aybar_batter': {'Salary': 2400.0, 'projected_FD_points': 2.3547988238022013, 'confidence': -0.018205374421991438, 'FD_Position': 'SS'}, 'Brett Anderson_pitcher': {'Salary': 5800.0, 'projected_FD_points': 13.593935514464478, 'confidence': 0, 'FD_Position': 'P'}, 'DJ LeMahieu_batter': {'Salary': 3000.0, 'projected_FD_points': 1.9054713324173078, 'confidence': -0.019059816156676845, 'FD_Position': '2B'}, 'Buster Posey_batter': {'Salary': 3500.0, 'projected_FD_points': 2.618405549555777, 'confidence': -0.036338399933316445, 'FD_Position': 'C'}, 'Kole Calhoun_batter': {'Salary': 3500.0, 'projected_FD_points': 3.9948282169766389, 'confidence': -0.35257300712840323, 'FD_Position': 'OF'}, 'Mike Trout_batter': {'Salary': 5500.0, 'projected_FD_points': 4.5314723404077224, 'confidence': -0.042780434149451541, 'FD_Position': 'OF'}, 'Hanley Ramirez_batter': {'Salary': 4200.0, 'projected_FD_points': 3.222990359719919, 'confidence': 0.13359519571683043, 'FD_Position': 'OF'}}</t>
  </si>
  <si>
    <t>{'Corey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'Paulo Orlando_batter': {'Salary': 3000.0, 'projected_FD_points': 6.1586890495840905, 'confidence': 0.0, 'FD_Position': 'OF'}, 'Josh Donaldson_batter': {'Salary': 3900.0, 'projected_FD_points': 4.1899001993120502, 'confidence': -0.019626771511371821, 'FD_Position': '3B'}, 'Freddie Freeman_batter': {'Salary': 3500.0, 'projected_FD_points': 3.4936283125643399, 'confidence': 0.11351569646261805, 'FD_Position': '1B'},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</si>
  <si>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{'Michael Brantley_batter': {'Salary': 3600.0, 'projected_FD_points': 3.8673811727293188, 'confidence': 0.011366651413612483, 'FD_Position': 'OF'}, 'Corey Kluber_pitcher': {'Salary': 9500.0, 'projected_FD_points': 16.376183530605775, 'confidence': -2.5611509154840117, 'FD_Position': 'P'}, 'Devon Travis_batter': {'Salary': 3400.0, 'projected_FD_points': 5.585501394823126, 'confidence': -0.45049980285027735, 'FD_Position': '2B'}, 'Adam LaRoche_batter': {'Salary': 2600.0, 'projected_FD_points': 3.1839950689168637, 'confidence': 0.097435939310503983, 'FD_Position': '1B'}, 'Josh Donaldson_batter': {'Salary': 3900.0, 'projected_FD_points': 4.1899001993120502, 'confidence': -0.019626771511371821, 'FD_Position': '3B'}, 'Daniel Santana_batter': {'Salary': 2800.0, 'projected_FD_points': 2.5818263753128652, 'confidence': -0.56769897375977552, 'FD_Position': 'SS'},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</si>
  <si>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{'Jimmy Paredes_batter': {'Salary': 3200.0, 'projected_FD_points': 3.7324108781134697, 'confidence': 0.66319255557116685, 'FD_Position': '2B'}, 'Christian Colon_batter': {'Salary': 2300.0, 'projected_FD_points': 2.2892831884275227, 'confidence': -6.8269085397519733, 'FD_Position': 'SS'}, 'Manny Machado_batter': {'Salary': 3600.0, 'projected_FD_points': 2.9925868014253751, 'confidence': -0.19735333017533296, 'FD_Position': '3B'}, 'Paulo Orlando_batter': {'Salary': 3000.0, 'projected_FD_points': 6.1586890495840905, 'confidence': 0.0, 'FD_Position': 'OF'}, 'Freddie Freeman_batter': {'Salary': 3500.0, 'projected_FD_points': 3.4936283125643399, 'confidence': 0.11351569646261805, 'FD_Position': '1B'}, 'Josh Phegley_batter': {'Salary': 2200.0, 'projected_FD_points': 2.7231864685079148, 'confidence': -0.93999412084458034, 'FD_Position': 'C'}, 'David Price_pitcher': {'Salary': 10900.0, 'projected_FD_points': 14.942229374829134, 'confidence': -0.015149850104394957, 'FD_Position': 'P'}, 'Justin Upton_batter': {'Salary': 3700.0, 'projected_FD_points': 3.0058951728141245, 'confidence': -0.36039089886016251, 'FD_Position': 'OF'}, 'Michael Taylor_batter': {'Salary': 2400.0, 'projected_FD_points': 2.5948047622193431, 'confidence': -0.02516550962594355, 'FD_Position': 'OF'}}</t>
  </si>
  <si>
    <t>{'Roberto Perez_batter': {'Salary': 2500.0, 'projected_FD_points': 2.6195525129783945, 'confidence': -5.6230154633401979, 'FD_Position': 'C'}, 'Michael Brantley_batter': {'Salary': 3600.0, 'projected_FD_points': 3.8673811727293188, 'confidence': 0.011366651413612483, 'FD_Position': 'OF'}, 'Ryan Howard_batter': {'Salary': 2700.0, 'projected_FD_points': 1.9955381504078797, 'confidence': -0.19590023730061712, 'FD_Position': '1B'}, 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'Josh Donaldson_batter': {'Salary': 3900.0, 'projected_FD_points': 4.1899001993120502, 'confidence': -0.019626771511371821, 'FD_Position': '3B'}, 'Brandon Moss_batter': {'Salary': 3300.0, 'projected_FD_points': 3.5407166841016182, 'confidence': -0.22100590832925415, 'FD_Position': 'OF'}, 'Kole Calhoun_batter': {'Salary': 3400.0, 'projected_FD_points': 4.0635927762463773, 'confidence': -0.13396586221557838, 'FD_Position': 'OF'}}</t>
  </si>
  <si>
    <t>{'Michael Brantley_batter': {'Salary': 3500.0, 'projected_FD_points': 2.9402106111867781, 'confidence': 0.079097840822554333, 'FD_Position': 'OF'}, 'Jimmy Paredes_batter': {'Salary': 3200.0, 'projected_FD_points': 5.5279648595395949, 'confidence': -3.8339623799714033, 'FD_Position': '2B'}, 'Odubel Herrera_batter': {'Salary': 3000.0, 'projected_FD_points': 5.7248917112099473, 'confidence': -6.248225635067417, 'FD_Position': 'OF'}, 'Mark Teixeira_batter': {'Salary': 3500.0, 'projected_FD_points': 3.8059643107847849, 'confidence': 0.046998082406425334, 'FD_Position': '1B'}, 'Max Scherzer_pitcher': {'Salary': 10500.0, 'projected_FD_points': 14.3800889397933, 'confidence': -0.36785972138410061, 'FD_Position': 'P'}, 'Todd Frazier_batter': {'Salary': 3800.0, 'projected_FD_points': 2.9545610120455472, 'confidence': -0.0026309835749307453, 'FD_Position': '3B'}, 'Ryan Hanigan_batter': {'Salary': 2200.0, 'projected_FD_points': 2.7272594197242905, 'confidence': 0.025455123409967806, 'FD_Position': 'C'}, 'Dalton Pompey_batter': {'Salary': 2500.0, 'projected_FD_points': 2.3161896183383162, 'confidence': 0.29140685324839399, 'FD_Position': 'OF'}, 'Asdrubal Cabrera_batter': {'Salary': 2700.0, 'projected_FD_points': 2.5826377678014683, 'confidence': 0.063073909915480342, 'FD_Position': 'SS'}}</t>
  </si>
  <si>
    <t>{'Brian Dozier_batter': {'Salary': 2900.0, 'projected_FD_points': 3.056376100294846, 'confidence': -0.10719824812841461, 'FD_Position': '2B'}, 'Mike Moustakas_batter': {'Salary': 3000.0, 'projected_FD_points': 2.6359637826136071, 'confidence': -0.075779289901684255, 'FD_Position': '3B'}, 'Matt Holliday_batter': {'Salary': 3500.0, 'projected_FD_points': 3.2326120181362556, 'confidence': -0.44250488173099756, 'FD_Position': 'OF'}, 'Alex Gordon_batter': {'Salary': 3200.0, 'projected_FD_points': 2.9907860733593203, 'confidence': -0.026879075408405173, 'FD_Position': 'OF'}, 'Daniel Santana_batter': {'Salary': 2800.0, 'projected_FD_points': 2.7192791182191769, 'confidence': -0.30942096161496879, 'FD_Position': 'SS'}, 'Lance Lynn_pitcher': {'Salary': 8100.0, 'projected_FD_points': 13.024615476053375, 'confidence': 0.0035349896252370172, 'FD_Position': 'P'}, 'Jose Abreu_batter': {'Salary': 4000.0, 'projected_FD_points': 3.5942842542295406, 'confidence': -0.084483051981044444, 'FD_Position': '1B'}, 'Victor Martinez_batter': {'Salary': 3400.0, 'projected_FD_points': 2.8727130683548285, 'confidence': 0.072738820408153271, 'FD_Position': 'C'}, 'Andrew McCutchen_batter': {'Salary': 4100.0, 'projected_FD_points': 3.1011306463920851, 'confidence': -0.044181342435315463, 'FD_Position': 'OF'}}</t>
  </si>
  <si>
    <t>{'Carlos Ruiz_batter': {'Salary': 2400.0, 'projected_FD_points': 2.274745834252192, 'confidence': -0.01643844017493068, 'FD_Position': 'C'}, 'Odubel Herrera_batter': {'Salary': 3000.0, 'projected_FD_points': 4.1240234290392586, 'confidence': 0.81518696725787732, 'FD_Position': 'OF'}, 'Chris Johnson_batter': {'Salary': 2300.0, 'projected_FD_points': 1.7338539785697606, 'confidence': -0.60845024939922276, 'FD_Position': '3B'}, 'Felix Hernandez_pitcher': {'Salary': 11100.0, 'projected_FD_points': 18.793222875956467, 'confidence': 0.66187688822637458, 'FD_Position': 'P'}, 'Denard Span_batter': {'Salary': 2600.0, 'projected_FD_points': 3.1700834817283292, 'confidence': -0.12923119131153737, 'FD_Position': 'OF'}, 'Dexter Fowler_batter': {'Salary': 3400.0, 'projected_FD_points': 3.7382195960258002, 'confidence': -0.099176941193232171, 'FD_Position': 'OF'}, 'Justin Morneau_batter': {'Salary': 3400.0, 'projected_FD_points': 3.4728672535448588, 'confidence': 0.085646598476388114, 'FD_Position': '1B'}, 'Troy Tulowitzki_batter': {'Salary': 4600.0, 'projected_FD_points': 4.9704809949239053, 'confidence': -0.04563750993944482, 'FD_Position': 'SS'}, 'Rickie Weeks_batter': {'Salary': 2200.0, 'projected_FD_points': 1.8800765270949955, 'confidence': -0.2209825022933094, 'FD_Position': '2B'}}</t>
  </si>
  <si>
    <t>{'Michael Brantley_batter': {'Salary': 3600.0, 'projected_FD_points': 3.5171489916999965, 'confidence': -0.062153543465910621, 'FD_Position': 'OF'}, 'George Springer_batter': {'Salary': 3600.0, 'projected_FD_points': 2.9949775626461923, 'confidence': -0.070703465275341326, 'FD_Position': 'OF'}, 'Brandon Moss_batter': {'Salary': 3400.0, 'projected_FD_points': 3.4904041858437655, 'confidence': -0.0051233027032320244, 'FD_Position': 'OF'}, 'Devon Travis_batter': {'Salary': 3400.0, 'projected_FD_points': 7.9090984121053491, 'confidence': -9.0912662722380002, 'FD_Position': '2B'}, 'Josh Donaldson_batter': {'Salary': 4000.0, 'projected_FD_points': 3.2505807803603131, 'confidence': -0.36219296739885509, 'FD_Position': '3B'}, 'Wil Nieves_batter': {'Salary': 2200.0, 'projected_FD_points': 1.717182289453862, 'confidence': -0.26823185147285322, 'FD_Position': 'C'}, 'Xander Bogaerts_batter': {'Salary': 3000.0, 'projected_FD_points': 2.2902732841832614, 'confidence': -0.045190383467071493, 'FD_Position': 'SS'}, 'Yordano Ventura_pitcher': {'Salary': 8000.0, 'projected_FD_points': 13.468507160738049, 'confidence': -0.066023211967362272, 'FD_Position': 'P'}, 'Edwin Encarnacion_batter': {'Salary': 3500.0, 'projected_FD_points': 3.2954124036777741, 'confidence': -0.012717920450213915, 'FD_Position': '1B'}}</t>
  </si>
  <si>
    <t>{'Kris Bryant_batter': {'Salary': 3500.0, 'projected_FD_points': 5.7607897583149423, 'confidence': 0, 'FD_Position': '3B'}, 'Carlos Ruiz_batter': {'Salary': 2200.0, 'projected_FD_points': 2.353240350944561, 'confidence': -0.056047379209269277, 'FD_Position': 'C'}, 'Johnny Cueto_pitcher': {'Salary': 10400.0, 'projected_FD_points': 18.544879012118031, 'confidence': -0.34441012131964865, 'FD_Position': 'P'}, 'Prince Fielder_batter': {'Salary': 3300.0, 'projected_FD_points': 4.3108598547266297, 'confidence': -0.58218937490957168, 'FD_Position': '1B'}, 'A.J. Pollock_batter': {'Salary': 3100.0, 'projected_FD_points': 3.5600853006900746, 'confidence': 0.024589005694669264, 'FD_Position': 'OF'}, 'Carlos Beltran_batter': {'Salary': 2400.0, 'projected_FD_points': 2.7164864916771094, 'confidence': -0.43683913679867992, 'FD_Position': 'OF'}, 'Rougned Odor_batter': {'Salary': 2300.0, 'projected_FD_points': 3.1530778955416183, 'confidence': -0.089867422838221689, 'FD_Position': '2B'}, 'Dexter Fowler_batter': {'Salary': 3300.0, 'projected_FD_points': 3.3776937205268531, 'confidence': 0.1674252658824823, 'FD_Position': 'OF'}, 'Troy Tulowitzki_batter': {'Salary': 4300.0, 'projected_FD_points': 4.4959417229301177, 'confidence': 0.28612552255383961, 'FD_Position': 'SS'}}</t>
  </si>
  <si>
    <t>{'Russell Martin_batter': {'Salary': 3100.0, 'projected_FD_points': 2.7902218709931157, 'confidence': -0.045618476294760901, 'FD_Position': 'C'}, 'Danny Valencia_batter': {'Salary': 2400.0, 'projected_FD_points': 2.7532520972365502, 'confidence': -0.36299421690491696, 'FD_Position': '3B'}, 'Johnny Cueto_pitcher': {'Salary': 10400.0, 'projected_FD_points': 18.544879012118031, 'confidence': -0.34441012131964865, 'FD_Position': 'P'}, 'Kendrys Morales_batter': {'Salary': 2300.0, 'projected_FD_points': 2.7554844737378246, 'confidence': -1.175494684713231, 'FD_Position': '1B'}, 'Xander Bogaerts_batter': {'Salary': 3000.0, 'projected_FD_points': 1.8522235436011036, 'confidence': -0.13724538453825352, 'FD_Position': 'SS'}, 'Michael Saunders_batter': {'Salary': 2500.0, 'projected_FD_points': 2.8001010022233555, 'confidence': -1.7148054094650207, 'FD_Position': 'OF'}, 'Omar Infante_batter': {'Salary': 2200.0, 'projected_FD_points': 2.4123860127123637, 'confidence': -0.044626125602053923, 'FD_Position': '2B'}, 'Hanley Ramirez_batter': {'Salary': 4200.0, 'projected_FD_points': 4.6555872329098387, 'confidence': 0.13438878902965457, 'FD_Position': 'OF'}, 'Giancarlo Stanton_batter': {'Salary': 4900.0, 'projected_FD_points': 4.2781806322391152, 'confidence': -0.14181240369201698, 'FD_Position': 'OF'}}</t>
  </si>
  <si>
    <t>{'Mark Teixeira_batter': {'Salary': 4000.0, 'projected_FD_points': 4.1681144702066248, 'confidence': -0.35638756489215906, 'FD_Position': '1B'}, 'Devon Travis_batter': {'Salary': 3300.0, 'projected_FD_points': 8.1833263623915009, 'confidence': 0.66038720529114703,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'Hanley Ramirez_batter': {'Salary': 3700.0, 'projected_FD_points': 3.9495583696365042, 'confidence': -0.33462379414640342, 'FD_Position': 'OF'}, 'Andrew Susac_batter': {'Salary': 2400.0, 'projected_FD_points': 2.5306220820719014, 'confidence': -0.021757671483519481, 'FD_Position': 'C'}}</t>
  </si>
  <si>
    <t>{'Mark Teixeira_batter': {'Salary': 4000.0, 'projected_FD_points': 4.1681144702066248, 'confidence': -0.35638756489215906, 'FD_Position': '1B'}, 'Brian Dozier_batter': {'Salary': 2900.0, 'projected_FD_points': 3.7075848433428749, 'confidence': 0.078807503378690247,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'Dexter Fowler_batter': {'Salary': 3400.0, 'projected_FD_points': 3.3942194596957935, 'confidence': -0.56192475273564035, 'FD_Position': 'OF'}, 'Victor Martinez_batter': {'Salary': 3400.0, 'projected_FD_points': 3.1693616421604593, 'confidence': -0.21708769547590978, 'FD_Position': 'C'}}</t>
  </si>
  <si>
    <t>{'Mark Teixeira_batter': {'Salary': 4000.0, 'projected_FD_points': 4.1681144702066248, 'confidence': -0.35638756489215906, 'FD_Position': '1B'}, 'Alex Rodriguez_batter': {'Salary': 3200.0, 'projected_FD_points': 4.2806508350756971, 'confidence': -2.1560826687005283, 'FD_Position': '3B'}, 'Jose Bautista_batter': {'Salary': 4700.0, 'projected_FD_points': 3.6303591105238393, 'confidence': -0.26813133161869707, 'FD_Position': 'OF'}, 'Devon Travis_batter': {'Salary': 3300.0, 'projected_FD_points': 8.1833263623915009, 'confidence': 0.66038720529114703, 'FD_Position': '2B'}, 'Tim Beckham_batter': {'Salary': 2400.0, 'projected_FD_points': 3.6249886101658415, 'confidence': -6.9839170979767431, 'FD_Position': 'SS'}, 'Jason Vargas_pitcher': {'Salary': 6500.0, 'projected_FD_points': 9.187204366675978, 'confidence': -0.20772698568283432, 'FD_Position': 'P'}, 'Ryan Hanigan_batter': {'Salary': 2200.0, 'projected_FD_points': 2.3755210520694323, 'confidence': -0.036113735980743744, 'FD_Position': 'C'}, 'Giancarlo Stanton_batter': {'Salary': 4800.0, 'projected_FD_points': 3.5218513630009829, 'confidence': -0.06217541662591497, 'FD_Position': 'OF'}, 'Hanley Ramirez_batter': {'Salary': 3700.0, 'projected_FD_points': 3.9495583696365042, 'confidence': -0.33462379414640342, 'FD_Position': 'OF'}}</t>
  </si>
  <si>
    <t>{'Juan Centeno_batter': {'Salary': 2200.0, 'projected_FD_points': 4.7536333176502783, 'confidence': 0, 'FD_Position': 'C'}, 'Mark Teixeira_batter': {'Salary': 3800.0, 'projected_FD_points': 4.1418221668568673, 'confidence': 0.16908618643624718, 'FD_Position': '1B'}, 'Ian Desmond_batter': {'Salary': 3500.0, 'projected_FD_points': 2.84906661022828, 'confidence': -0.14024055392441337, 'FD_Position': 'SS'}, 'Devon Travis_batter': {'Salary': 3300.0, 'projected_FD_points': 5.9436023026294489, 'confidence': -1.9130389941164028, 'FD_Position': '2B'}, 'Paulo Orlando_batter': {'Salary': 3000.0, 'projected_FD_points': 23.141478098371355, 'confidence': 0, 'FD_Position': 'OF'}, 'Dexter Fowler_batter': {'Salary': 3400.0, 'projected_FD_points': 4.3497249042776183, 'confidence': -0.3008876859567684, 'FD_Position': 'OF'}, 'Brock Holt_batter': {'Salary': 2400.0, 'projected_FD_points': 4.4874935447352584, 'confidence': -0.16878480408616636, 'FD_Position': '3B'}, 'Lance Lynn_pitcher': {'Salary': 8400.0, 'projected_FD_points': 15.534005554925697, 'confidence': -2.4568893462954717, 'FD_Position': 'P'}, 'Hanley Ramirez_batter': {'Salary': 3700.0, 'projected_FD_points': 4.3279791773713541, 'confidence': 0.01373751296553738, 'FD_Position': 'OF'}}</t>
  </si>
  <si>
    <t>{'Mark Teixeira_batter': {'Salary': 3800.0, 'projected_FD_points': 4.1418221668568673, 'confidence': 0.16908618643624718, 'FD_Position': '1B'}, 'Chris Owings_batter': {'Salary': 2400.0, 'projected_FD_points': 2.8246390557096483, 'confidence': 0.17904709730441815, 'FD_Position': 'SS'}, 'Brian Dozier_batter': {'Salary': 2700.0, 'projected_FD_points': 2.9271103940155765, 'confidence': -0.048087794622114544, 'FD_Position': '2B'}, 'Francisco Liriano_pitcher': {'Salary': 8000.0, 'projected_FD_points': 13.304932348281877, 'confidence': -2.0429077123708992, 'FD_Position': 'P'}, 'A.J. Pollock_batter': {'Salary': 3100.0, 'projected_FD_points': 3.2833968120519881, 'confidence': -2.0731845157614668, 'FD_Position': 'OF'}, 'Kyle Seager_batter': {'Salary': 3400.0, 'projected_FD_points': 2.9755863983278457, 'confidence': -0.11827760659499242, 'FD_Position': '3B'}, 'Nelson Cruz_batter': {'Salary': 5000.0, 'projected_FD_points': 3.632011813442217, 'confidence': 0.0040645006931248062, 'FD_Position': 'OF'}, 'Michael Cuddyer_batter': {'Salary': 2900.0, 'projected_FD_points': 4.1414461223689507, 'confidence': -0.23062059186516826, 'FD_Position': 'OF'}, 'Jason Castro_batter': {'Salary': 2200.0, 'projected_FD_points': 2.9815870278743701, 'confidence': -0.1130697985675484, 'FD_Position': 'C'}}</t>
  </si>
  <si>
    <t>{'Adam Wainwright_pitcher': {'Salary': 9600.0, 'projected_FD_points': 19.669941609624512, 'confidence': -1.4888646146907698, 'FD_Position': 'P'}, 'Chris Owings_batter': {'Salary': 2400.0, 'projected_FD_points': 3.6658044217073131, 'confidence': -0.011366057868779311, 'FD_Position': 'SS'}, 'Brian Dozier_batter': {'Salary': 2800.0, 'projected_FD_points': 3.6392681487812579, 'confidence': -0.34035380701558648, 'FD_Position': '2B'}, 'A.J. Pollock_batter': {'Salary': 3200.0, 'projected_FD_points': 3.7689405061225716, 'confidence': 0.11450928039964348, 'FD_Position': 'OF'}, 'Charlie Blackmon_batter': {'Salary': 4000.0, 'projected_FD_points': 3.3307964299721267, 'confidence': -0.87937365845314108, 'FD_Position': 'OF'}, 'Freddie Freeman_batter': {'Salary': 3300.0, 'projected_FD_points': 3.5854711885627006, 'confidence': -0.12237206333100792, 'FD_Position': '1B'}, 'Juan Uribe_batter': {'Salary': 2200.0, 'projected_FD_points': 3.1268376399786044, 'confidence': -0.18674399718035595, 'FD_Position': '3B'}, 'Ryan Hanigan_batter': {'Salary': 2200.0, 'projected_FD_points': 3.1358588252977553, 'confidence': -0.15392011608694633, 'FD_Position': 'C'}, 'Nelson Cruz_batter': {'Salary': 4900.0, 'projected_FD_points': 3.9517848913660449, 'confidence': -0.26176720064682635, 'FD_Position': 'OF'}}</t>
  </si>
  <si>
    <t>{'Mark Teixeira_batter': {'Salary': 3600.0, 'projected_FD_points': 4.2214485258342309, 'confidence': 0.20294214553312084, 'FD_Position': '1B'}, 'Asdrubal Cabrera_batter': {'Salary': 2200.0, 'projected_FD_points': 2.4773073000190893, 'confidence': 0.0052879898284977633, 'FD_Position': 'SS'}, 'Stephen Strasburg_pitcher': {'Salary': 9600.0, 'projected_FD_points': 13.187680553569631, 'confidence': -0.43851935146474474, 'FD_Position': 'P'}, 'Eric Campbell_batter': {'Salary': 2600.0, 'projected_FD_points': 2.4977259558486709, 'confidence': -0.83105084687427078, 'FD_Position': '3B'}, 'Jose Altuve_batter': {'Salary': 3800.0, 'projected_FD_points': 2.5385058209922664, 'confidence': 0.037595310483364175, 'FD_Position': '2B'}, 'Giancarlo Stanton_batter': {'Salary': 4700.0, 'projected_FD_points': 3.1508856342124356, 'confidence': -0.09436966770066646, 'FD_Position': 'OF'}, 'Jayson Werth_batter': {'Salary': 2900.0, 'projected_FD_points': 3.2446400113294538, 'confidence': -0.17367925285426145, 'FD_Position': 'OF'}, 'Michael Cuddyer_batter': {'Salary': 3000.0, 'projected_FD_points': 4.4804790811509951, 'confidence': -0.32290647793923033, 'FD_Position': 'OF'}, 'Jason Castro_batter': {'Salary': 2200.0, 'projected_FD_points': 3.0163540837120362, 'confidence': -0.37282034460115931, 'FD_Position': 'C'}}</t>
  </si>
  <si>
    <t>{'Kris Bryant_batter': {'Salary': 3900.0, 'projected_FD_points': 5.0, 'confidence': 0, 'FD_Position': '3B'}, 'Mark Teixeira_batter': {'Salary': 4000.0, 'projected_FD_points': 4.1413136930286196, 'confidence': 0.24012594429243905, 'FD_Position': '1B'}, 'Devon Travis_batter': {'Salary': 3100.0, 'projected_FD_points': 8.2349061089678059, 'confidence': 0.56795925000119007, 'FD_Position': '2B'}, 'Mark Canha_batter': {'Salary': 3100.0, 'projected_FD_points': 4.920208924291698, 'confidence': -0.42597466342700607, 'FD_Position': 'OF'}, 'Miguel Gonzalez_pitcher': {'Salary': 8000.0, 'projected_FD_points': 17.921377681324095, 'confidence': -1.0441117757345553, 'FD_Position': 'P'}, 'Michael Cuddyer_batter': {'Salary': 3200.0, 'projected_FD_points': 4.7269874145331858, 'confidence': 0.035000611620251254, 'FD_Position': 'OF'}, 'Hanley Ramirez_batter': {'Salary': 4000.0, 'projected_FD_points': 4.6944157575446352, 'confidence': -0.31683213308006208, 'FD_Position': 'OF'}, 'Martin Maldonado_batter': {'Salary': 2300.0, 'projected_FD_points': 2.8923139061878986, 'confidence': -1.1514597933417683, 'FD_Position': 'C'}, 'Jose Iglesias_batter': {'Salary': 2800.0, 'projected_FD_points': 3.2983148680554759, 'confidence': 0.6017546896831083, 'FD_Position': 'SS'}}</t>
  </si>
  <si>
    <t>{'Scott Kazmir_pitcher': {'Salary': 9100.0, 'projected_FD_points': 14.040747281621751, 'confidence': -1.3462597602188406, 'FD_Position': 'P'}, 'Neil Walker_batter': {'Salary': 3100.0, 'projected_FD_points': 2.6246168513826484, 'confidence': -0.028880937341725144, 'FD_Position': '2B'}, 'Seth Smith_batter': {'Salary': 2300.0, 'projected_FD_points': 2.5931227581616199, 'confidence': -1.6825772321983949, 'FD_Position': 'OF'}, 'Mark Canha_batter': {'Salary': 3100.0, 'projected_FD_points': 4.920208924291698, 'confidence': -0.42597466342700607, 'FD_Position': 'OF'}, 'Prince Fielder_batter': {'Salary': 3700.0, 'projected_FD_points': 3.2991804352077261, 'confidence': -0.043006030565119202, 'FD_Position': '1B'}, 'Marcus Semien_batter': {'Salary': 3000.0, 'projected_FD_points': 2.7335677956667368, 'confidence': -0.15945447702246485, 'FD_Position': 'SS'}, 'Josh Phegley_batter': {'Salary': 2200.0, 'projected_FD_points': 2.0495729929412461, 'confidence': -5.5149918149392452, 'FD_Position': 'C'}, 'Kyle Seager_batter': {'Salary': 3700.0, 'projected_FD_points': 3.3574473528646518, 'confidence': -0.35856714350895968, 'FD_Position': '3B'}, 'Andrew McCutchen_batter': {'Salary': 4300.0, 'projected_FD_points': 3.4125014434722729, 'confidence': -0.014788031890599296, 'FD_Position': 'OF'}}</t>
  </si>
  <si>
    <t>{'Corey Dickerson_batter': {'Salary': 4900.0, 'projected_FD_points': 3.9299557067448943, 'confidence': -0.101561187009646, 'FD_Position': 'OF'}, 'Adam LaRoche_batter': {'Salary': 3200.0, 'projected_FD_points': 3.702867705600879, 'confidence': 0.064559761071055988, 'FD_Position': '1B'}, 'Paulo Orlando_batter': {'Salary': 3000.0, 'projected_FD_points': 2.7845009472237958, 'confidence': 0, 'FD_Position': 'OF'}, 'Charlie Blackmon_batter': {'Salary': 4300.0, 'projected_FD_points': 3.1560159521472508, 'confidence': -0.022787760790802913, 'FD_Position': 'OF'}, 'Matt Garza_pitcher': {'Salary': 7300.0, 'projected_FD_points': 12.789776574866572, 'confidence': -2.1639026979242666, 'FD_Position': 'P'}, 'Martin Maldonado_batter': {'Salary': 2300.0, 'projected_FD_points': 2.8923139061878986, 'confidence': -1.1514597933417683, 'FD_Position': 'C'}, 'Omar Infante_batter': {'Salary': 2200.0, 'projected_FD_points': 2.4903727437754863, 'confidence': -0.62952243440672118, 'FD_Position': '2B'}, 'Nolan Arenado_batter': {'Salary': 4700.0, 'projected_FD_points': 3.5354991182591942, 'confidence': -0.015199352583921799, 'FD_Position': '3B'}, 'Alexei Ramirez_batter': {'Salary': 3000.0, 'projected_FD_points': 2.4645474237467413, 'confidence': 0.015543888364465741, 'FD_Position': 'SS'}}</t>
  </si>
  <si>
    <t>{'Wil Nieves_batter': {'Salary': 2200.0, 'projected_FD_points': 2.4605024724326867, 'confidence': -3.7425210419266213, 'FD_Position': 'C'}, 'Justin Maxwell_batter': {'Salary': 2600.0, 'projected_FD_points': 1.8449655401112133, 'confidence': 0.42912480920835383, 'FD_Position': 'OF'}, 'Max Scherzer_pitcher': {'Salary': 11000.0, 'projected_FD_points': 15.852066975357834, 'confidence': 0.12772441713497962, 'FD_Position': 'P'}, 'Alexander Guerrero_batter': {'Salary': 2700.0, 'projected_FD_points': 3.3270548738213401, 'confidence': -2.0735897872448583, 'FD_Position': '2B'}, 'Charlie Blackmon_batter': {'Salary': 4500.0, 'projected_FD_points': 4.0407812095609987, 'confidence': 0.06270013834617183, 'FD_Position': 'OF'}, 'Casey McGehee_batter': {'Salary': 2400.0, 'projected_FD_points': 1.7084887550379031, 'confidence': -0.1116232637904111, 'FD_Position': '3B'}, 'Jhonny Peralta_batter': {'Salary': 2800.0, 'projected_FD_points': 2.580469808917623, 'confidence': -0.20457646219069536, 'FD_Position': 'SS'}, 'Joc Pederson_batter': {'Salary': 3500.0, 'projected_FD_points': 2.8564838721865726, 'confidence': -1.795418231195101, 'FD_Position': 'OF'}, 'Matt Adams_batter': {'Salary': 3000.0, 'projected_FD_points': 2.2401867776392286, 'confidence': -0.068013355497002381, 'FD_Position': '1B'}}</t>
  </si>
  <si>
    <t>{'Jimmy Paredes_batter': {'Salary': 2700.0, 'projected_FD_points': 2.85239053556458, 'confidence': -1.0661741348348728, 'FD_Position': '2B'}, 'Stephen Vogt_batter': {'Salary': 3500.0, 'projected_FD_points': 2.6106561194803399, 'confidence': 0.063691391359899097, 'FD_Position': 'C'}, 'Adam LaRoche_batter': {'Salary': 3200.0, 'projected_FD_points': 3.9101070852542046, 'confidence': -0.1908744755335865, 'FD_Position': '1B'}, 'Travis Snider_batter': {'Salary': 2900.0, 'projected_FD_points': 2.7327181524836153, 'confidence': -0.094165236592827384, 'FD_Position': 'OF'}, 'Brett Lawrie_batter': {'Salary': 2700.0, 'projected_FD_points': 2.4218405194663433, 'confidence': -1.8563350372387735, 'FD_Position': '3B'}, 'Adam Jones_batter': {'Salary': 4900.0, 'projected_FD_points': 3.6200595542078324, 'confidence': -0.11510346242116531, 'FD_Position': 'OF'}, 'Asdrubal Cabrera_batter': {'Salary': 2400.0, 'projected_FD_points': 2.5217010858112046, 'confidence': 0.043838760580363179, 'FD_Position': 'SS'}, 'Kevin Pillar_batter': {'Salary': 2500.0, 'projected_FD_points': 3.6206321663354979, 'confidence': -1.7709796543908949, 'FD_Position': 'OF'}, 'Chris Sale_pitcher': {'Salary': 10200.0, 'projected_FD_points': 17.108199897295798, 'confidence': -1.7666348624102919, 'FD_Position': 'P'}}</t>
  </si>
  <si>
    <t>{'Mark Teixeira_batter': {'Salary': 3700.0, 'projected_FD_points': 4.6064993448072578, 'confidence': 0.053046784417452586, 'FD_Position': '1B'},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'Kurt Suzuki_batter': {'Salary': 2500.0, 'projected_FD_points': 2.6800535603691227, 'confidence': -0.1926059822186843, 'FD_Position': 'C'}, 'Michael Bourn_batter': {'Salary': 2500.0, 'projected_FD_points': 2.8460972775818174, 'confidence': 0.11586158274618374, 'FD_Position': 'OF'}, 'Clayton Kershaw_pitcher': {'Salary': 12000.0, 'projected_FD_points': 21.453711206154424, 'confidence': -0.044862651976564916, 'FD_Position': 'P'}, 'Alexei Ramirez_batter': {'Salary': 3000.0, 'projected_FD_points': 3.0682915635307326, 'confidence': -0.16267145061722332, 'FD_Position': 'SS'}}</t>
  </si>
  <si>
    <t>{'Christian Colon_batter': {'Salary': 2200.0, 'projected_FD_points': 2.2544033365183962, 'confidence': -0.23832138762905419, 'FD_Position': 'SS'},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'Mark Teixeira_batter': {'Salary': 3700.0, 'projected_FD_points': 4.6064993448072578, 'confidence': 0.053046784417452586, 'FD_Position': '1B'}, 'Kurt Suzuki_batter': {'Salary': 2500.0, 'projected_FD_points': 2.6800535603691227, 'confidence': -0.1926059822186843, 'FD_Position': 'C'}, 'Clayton Kershaw_pitcher': {'Salary': 12000.0, 'projected_FD_points': 21.453711206154424, 'confidence': -0.044862651976564916, 'FD_Position': 'P'}, 'Michael Cuddyer_batter': {'Salary': 3400.0, 'projected_FD_points': 3.3939329488427425, 'confidence': -0.20926612345752993, 'FD_Position': 'OF'}}</t>
  </si>
  <si>
    <t>{'Chris Owings_batter': {'Salary': 2500.0, 'projected_FD_points': 2.6816807934659339, 'confidence': 0.22219524812116509, 'FD_Position': 'SS'}, 'Seth Smith_batter': {'Salary': 2400.0, 'projected_FD_points': 2.6299534214464706, 'confidence': -0.052564385871628039, 'FD_Position': 'OF'}, 'Stephen Vogt_batter': {'Salary': 3600.0, 'projected_FD_points': 2.9016829502492536, 'confidence': 0.0021356032496526733, 'FD_Position': 'C'}, 'Rougned Odor_batter': {'Salary': 2800.0, 'projected_FD_points': 2.3854933899334054, 'confidence': 0.045502777940579553, 'FD_Position': '2B'}, 'Jake Smolinski_batter': {'Salary': 2900.0, 'projected_FD_points': 2.7334242118744823, 'confidence': 0.19873891678313849, 'FD_Position': 'OF'}, 'Juan Uribe_batter': {'Salary': 2300.0, 'projected_FD_points': 2.9325046307070077, 'confidence': -0.23624082711509287, 'FD_Position': '3B'}, 'Clayton Kershaw_pitcher': {'Salary': 12000.0, 'projected_FD_points': 21.453711206154424, 'confidence': -0.044862651976564916, 'FD_Position': 'P'}, 'Ike Davis_batter': {'Salary': 2700.0, 'projected_FD_points': 2.0786136746033881, 'confidence': -0.35118815773805689, 'FD_Position': '1B'}, 'A.J. Pollock_batter': {'Salary': 3500.0, 'projected_FD_points': 3.3925942527425792, 'confidence': -2.5078907093866523, 'FD_Position': 'OF'}}</t>
  </si>
  <si>
    <t>{'Christian Colon_batter': {'Salary': 2200.0, 'projected_FD_points': 2.2544033365183962, 'confidence': -0.23832138762905419, 'FD_Position': 'SS'}, 'Brian Dozier_batter': {'Salary': 3000.0, 'projected_FD_points': 3.6043378242820903, 'confidence': -0.010655609554368173, 'FD_Position': '2B'}, 'Trevor Plouffe_batter': {'Salary': 2600.0, 'projected_FD_points': 2.8387369046656432, 'confidence': -0.15333106891725112, 'FD_Position': '3B'}, 'Johnny Cueto_pitcher': {'Salary': 10600.0, 'projected_FD_points': 17.339806170905156, 'confidence': 0.36560967627078178, 'FD_Position': 'P'}, 'Adam Lind_batter': {'Salary': 3300.0, 'projected_FD_points': 2.2069130639019585, 'confidence': -0.10030022019106588, 'FD_Position': '1B'}, 'Paulo Orlando_batter': {'Salary': 3000.0, 'projected_FD_points': 5.7592935152658731, 'confidence': 0, 'FD_Position': 'OF'}, 'Alex Gordon_batter': {'Salary': 3100.0, 'projected_FD_points': 2.6839055647550851, 'confidence': -0.37062878906619612, 'FD_Position': 'OF'}, 'Kurt Suzuki_batter': {'Salary': 2500.0, 'projected_FD_points': 2.6800535603691227, 'confidence': -0.1926059822186843, 'FD_Position': 'C'}, 'Corey Dickerson_batter': {'Salary': 4700.0, 'projected_FD_points': 3.9210601678326871, 'confidence': 0.034579636665686642, 'FD_Position': 'OF'}}</t>
  </si>
  <si>
    <t>{'Christian Colon_batter': {'Salary': 2200.0, 'projected_FD_points': 3.6064626308777661, 'confidence': -8.031921356946663, 'FD_Position': 'SS'}, 'Brian Dozier_batter': {'Salary': 3000.0, 'projected_FD_points': 3.2857405521503051, 'confidence': -0.022901846754580069, 'FD_Position': '2B'}, 'Juan Uribe_batter': {'Salary': 2300.0, 'projected_FD_points': 3.8384573133924129, 'confidence': -1.396864367721919, 'FD_Position': '3B'}, 'Freddie Freeman_batter': {'Salary': 4000.0, 'projected_FD_points': 4.2865089466679915, 'confidence': -0.056407643522503159, 'FD_Position': '1B'}, 'Derek Norris_batter': {'Salary': 3000.0, 'projected_FD_points': 2.9273620147906554, 'confidence': -0.30300824373473034, 'FD_Position': 'C'}, 'A.J. Pollock_batter': {'Salary': 3500.0, 'projected_FD_points': 3.7233167629906339, 'confidence': -0.54311526150336165, 'FD_Position': 'OF'}, 'Dexter Fowler_batter': {'Salary': 3800.0, 'projected_FD_points': 4.7294377253716124, 'confidence': -0.31529434373060772, 'FD_Position': 'OF'}, 'Michael Cuddyer_batter': {'Salary': 3400.0, 'projected_FD_points': 4.9630153058314486, 'confidence': 0.24613345228661698, 'FD_Position': 'OF'}, 'Collin McHugh_pitcher': {'Salary': 8900.0, 'projected_FD_points': 18.175602409642014, 'confidence': 0.70064153211553237, 'FD_Position': 'P'}}</t>
  </si>
  <si>
    <t>{'Brian Dozier_batter': {'Salary': 3000.0, 'projected_FD_points': 3.2857405521503051, 'confidence': -0.022901846754580069, 'FD_Position': '2B'}, 'Matt Kemp_batter': {'Salary': 4300.0, 'projected_FD_points': 3.4326070276225953, 'confidence': 0.006961849849443702, 'FD_Position': 'OF'}, 'Trevor Plouffe_batter': {'Salary': 2600.0, 'projected_FD_points': 2.4934393945319755, 'confidence': -0.66129368098168206, 'FD_Position': '3B'}, 'Paulo Orlando_batter': {'Salary': 3000.0, 'projected_FD_points': 3.5, 'confidence': 0, 'FD_Position': 'OF'}, 'Derek Norris_batter': {'Salary': 3000.0, 'projected_FD_points': 2.9273620147906554, 'confidence': -0.30300824373473034, 'FD_Position': 'C'}, 'Troy Tulowitzki_batter': {'Salary': 5300.0, 'projected_FD_points': 3.6804797307214674, 'confidence': -0.046215765144899557, 'FD_Position': 'SS'}, 'Tyler Matzek_pitcher': {'Salary': 6100.0, 'projected_FD_points': 12.100077675449938, 'confidence': -5.339166001977345, 'FD_Position': 'P'}, 'Joey Votto_batter': {'Salary': 4400.0, 'projected_FD_points': 3.8561245885113791, 'confidence': -0.56004046208150449, 'FD_Position': '1B'}, 'Michael Bourn_batter': {'Salary': 2500.0, 'projected_FD_points': 3.1072160570205631, 'confidence': -0.04033571577999906, 'FD_Position': 'OF'}}</t>
  </si>
  <si>
    <t>{'Chase Headley_batter': {'Salary': 3100.0, 'projected_FD_points': 2.7201409703619448, 'confidence': -0.10623523817013991, 'FD_Position': '3B'}, 'Brian Dozier_batter': {'Salary': 3100.0, 'projected_FD_points': 3.7264603344857101, 'confidence': -0.12921909002998477, 'FD_Position': '2B'}, 'J.D. Martinez_batter': {'Salary': 4000.0, 'projected_FD_points': 4.0772874588643901, 'confidence': -0.065150969070204123, 'FD_Position': 'OF'},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'Colby Rasmus_batter': {'Salary': 2800.0, 'projected_FD_points': 3.5177517330122954, 'confidence': -0.17235955963065352, 'FD_Position': 'OF'}, 'Kurt Suzuki_batter': {'Salary': 2600.0, 'projected_FD_points': 2.4352702666821324, 'confidence': -0.12184952066048593, 'FD_Position': 'C'}, 'Miguel Cabrera_batter': {'Salary': 5000.0, 'projected_FD_points': 4.6304058717810817, 'confidence': -0.40764074746355483, 'FD_Position': '1B'}, 'Jose Iglesias_batter': {'Salary': 2900.0, 'projected_FD_points': 5.2541950433612623, 'confidence': -5.1763896730111476, 'FD_Position': 'SS'}}</t>
  </si>
  <si>
    <t>{'Michael Brantley_batter': {'Salary': 3900.0, 'projected_FD_points': 3.0168650630962657, 'confidence': 0.14747895272607892, 'FD_Position': 'OF'}, 'Adam LaRoche_batter': {'Salary': 3500.0, 'projected_FD_points': 3.560312247229807, 'confidence': 0.021948459265698439, 'FD_Position': '1B'}, 'Brian Dozier_batter': {'Salary': 3100.0, 'projected_FD_points': 3.7264603344857101, 'confidence': -0.12921909002998477, 'FD_Position': '2B'},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'Mike Moustakas_batter': {'Salary': 3100.0, 'projected_FD_points': 2.6424951775387808, 'confidence': 0.0066765153362995378, 'FD_Position': '3B'}, 'Kurt Suzuki_batter': {'Salary': 2600.0, 'projected_FD_points': 2.4352702666821324, 'confidence': -0.12184952066048593, 'FD_Position': 'C'}, 'Alexei Ramirez_batter': {'Salary': 2900.0, 'projected_FD_points': 2.6020925724150046, 'confidence': -0.12048788920024878, 'FD_Position': 'SS'}, 'Melky Cabrera_batter': {'Salary': 2700.0, 'projected_FD_points': 2.8671759810913979, 'confidence': -0.090244467231265446, 'FD_Position': 'OF'}}</t>
  </si>
  <si>
    <t>{'Odubel Herrera_batter': {'Salary': 3000.0, 'projected_FD_points': 3.8008728542836798, 'confidence': 0.0092766834197390846, 'FD_Position': 'OF'}, 'Alex Rodriguez_batter': {'Salary': 3700.0, 'projected_FD_points': 2.9542218403675093, 'confidence': 0, 'FD_Position': '3B'}, 'Jose Bautista_batter': {'Salary': 4900.0, 'projected_FD_points': 4.1929621862739355, 'confidence': -0.013494361349711159, 'FD_Position': 'OF'}, 'Ryan Braun_batter': {'Salary': 3600.0, 'projected_FD_points': 4.0728400160505025, 'confidence': -0.16371394087647562, 'FD_Position': 'OF'},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'Troy Tulowitzki_batter': {'Salary': 4900.0, 'projected_FD_points': 3.5797788347673567, 'confidence': -1.0524838193056465, 'FD_Position': 'SS'}, 'Michael McKenry_batter': {'Salary': 2200.0, 'projected_FD_points': 2.6826158290488538, 'confidence': -0.48493507208344755, 'FD_Position': 'C'}, 'Trevor May_pitcher': {'Salary': 5600.0, 'projected_FD_points': 19.956180175123137, 'confidence': 0, 'FD_Position': 'P'}}</t>
  </si>
  <si>
    <t>{'Alex Rodriguez_batter': {'Salary': 3700.0, 'projected_FD_points': 2.9542218403675093, 'confidence': 0, 'FD_Position': '3B'}, 'J.D. Martinez_batter': {'Salary': 3900.0, 'projected_FD_points': 4.0440359087312254, 'confidence': -0.051521377819468972, 'FD_Position': 'OF'}, 'Ryan Braun_batter': {'Salary': 3600.0, 'projected_FD_points': 4.0728400160505025, 'confidence': -0.16371394087647562, 'FD_Position': 'OF'}, 'Josh Phegley_batter': {'Salary': 2200.0, 'projected_FD_points': 2.6207013928199205, 'confidence': 0.26516080347693682, 'FD_Position': 'C'},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'Mike Trout_batter': {'Salary': 6100.0, 'projected_FD_points': 4.405492469390115, 'confidence': -0.00032186578448945014, 'FD_Position': 'OF'}, 'Alexei Ramirez_batter': {'Salary': 2800.0, 'projected_FD_points': 2.7371026202806137, 'confidence': -0.17501838814987258, 'FD_Position': 'SS'}, 'Trevor May_pitcher': {'Salary': 5600.0, 'projected_FD_points': 19.956180175123137, 'confidence': 0, 'FD_Position': 'P'}}</t>
  </si>
  <si>
    <t>{'Shin-Soo Choo_batter': {'Salary': 2800.0, 'projected_FD_points': 2.5131178895154256, 'confidence': -0.42207149333190896, 'FD_Position': 'OF'}, 'Chris Owings_batter': {'Salary': 2400.0, 'projected_FD_points': 2.771193541723969, 'confidence': -0.18782661967116265, 'FD_Position': 'SS'}, 'Brandon McCarthy_pitcher': {'Salary': 7900.0, 'projected_FD_points': 13.419943736692939, 'confidence': -0.35089019088590123, 'FD_Position': 'P'}, 'Rougned Odor_batter': {'Salary': 2900.0, 'projected_FD_points': 3.2720523097851961, 'confidence': -0.11608434683662328, 'FD_Position': '2B'}, 'Joey Votto_batter': {'Salary': 4500.0, 'projected_FD_points': 3.2729167580416085, 'confidence': -0.035213272345785418, 'FD_Position': '1B'}, 'A.J. Pollock_batter': {'Salary': 3500.0, 'projected_FD_points': 2.9067543083997318, 'confidence': -0.7797397750898476, 'FD_Position': 'OF'}, 'Kyle Seager_batter': {'Salary': 3400.0, 'projected_FD_points': 2.6910539812382548, 'confidence': -0.18031808300572316, 'FD_Position': '3B'}, 'Nelson Cruz_batter': {'Salary': 4800.0, 'projected_FD_points': 3.5573989342575181, 'confidence': -0.029738276005240705, 'FD_Position': 'OF'}, 'Michael McKenry_batter': {'Salary': 2200.0, 'projected_FD_points': 2.6826158290488538, 'confidence': -0.48493507208344755, 'FD_Position': 'C'}}</t>
  </si>
  <si>
    <t>{'Seth Smith_batter': {'Salary': 2600.0, 'projected_FD_points': 2.9682165806511698, 'confidence': -0.8989726830925262, 'FD_Position': 'OF'}, 'Stephen Vogt_batter': {'Salary': 2900.0, 'projected_FD_points': 2.5009576625943382, 'confidence': -0.40212731082456665, 'FD_Position': 'C'}, 'Prince Fielder_batter': {'Salary': 3600.0, 'projected_FD_points': 3.8378447021114352, 'confidence': -0.11411513698090325, 'FD_Position': '1B'}, 'Marcus Semien_batter': {'Salary': 2900.0, 'projected_FD_points': 2.7336975696816443, 'confidence': 0.073145081043645033, 'FD_Position': 'SS'}, 'Felix Hernandez_pitcher': {'Salary': 11400.0, 'projected_FD_points': 14.409185270316343, 'confidence': 0.5689363649706547, 'FD_Position': 'P'}, 'Rougned Odor_batter': {'Salary': 3000.0, 'projected_FD_points': 3.927329187521762, 'confidence': -0.14215273160661623, 'FD_Position': '2B'}, 'Michael Cuddyer_batter': {'Salary': 3300.0, 'projected_FD_points': 4.8196091823726936, 'confidence': -1.1611943307490642, 'FD_Position': 'OF'}, 'Khris Davis_batter': {'Salary': 2500.0, 'projected_FD_points': 2.7358721483399204, 'confidence': 0.044857147895260185, 'FD_Position': 'OF'}, 'Eric Campbell_batter': {'Salary': 2700.0, 'projected_FD_points': 2.0441973636180437, 'confidence': -0.42185679478094373, 'FD_Position': '3B'}}</t>
  </si>
  <si>
    <t>{'Carlos Ruiz_batter': {'Salary': 2300.0, 'projected_FD_points': 2.7931833048566617, 'confidence': -0.83356506589369062, 'FD_Position': 'C'}, 'Corey Kluber_pitcher': {'Salary': 10700.0, 'projected_FD_points': 20.101432099715247, 'confidence': -1.069421268717254, 'FD_Position': 'P'}, 'Seth Smith_batter': {'Salary': 2600.0, 'projected_FD_points': 2.8567676850407295, 'confidence': -0.30711946792142775, 'FD_Position': 'OF'}, 'Devon Travis_batter': {'Salary': 2800.0, 'projected_FD_points': 8.857820927016629, 'confidence': 0, 'FD_Position': '2B'}, 'Lonnie Chisenhall_batter': {'Salary': 2700.0, 'projected_FD_points': 2.6382331566936563, 'confidence': -0.076341090944019863, 'FD_Position': '3B'}, 'Mark Canha_batter': {'Salary': 3000.0, 'projected_FD_points': 3.5749374120376842, 'confidence': 0, 'FD_Position': 'OF'}, 'Freddie Freeman_batter': {'Salary': 3500.0, 'projected_FD_points': 3.9735358499556144, 'confidence': -0.40923166142973377, 'FD_Position': '1B'}, 'Tim Beckham_batter': {'Salary': 2200.0, 'projected_FD_points': 16.806417859224506, 'confidence': 0, 'FD_Position': 'SS'}, 'Giancarlo Stanton_batter': {'Salary': 4900.0, 'projected_FD_points': 4.16408042378138, 'confidence': -0.025033618943901992, 'FD_Position': 'OF'}}</t>
  </si>
  <si>
    <t>{'Shin-Soo Choo_batter': {'Salary': 2900.0, 'projected_FD_points': 2.383068297699527, 'confidence': -0.10842783665199507, 'FD_Position': 'OF'}, 'Chris Owings_batter': {'Salary': 2300.0, 'projected_FD_points': 2.4972441200815396, 'confidence': -0.47840639126508377, 'FD_Position': 'SS'}, 'Seth Smith_batter': {'Salary': 2600.0, 'projected_FD_points': 2.8567676850407295, 'confidence': -0.30711946792142775, 'FD_Position': 'OF'}, 'Casey McGehee_batter': {'Salary': 2800.0, 'projected_FD_points': 2.2919036730943603, 'confidence': 0.067457125923571448, 'FD_Position': '3B'}, 'Rougned Odor_batter': {'Salary': 3000.0, 'projected_FD_points': 3.7818055833448314, 'confidence': 0.02813506618839845, 'FD_Position': '2B'}, 'Wilin Rosario_batter': {'Salary': 3300.0, 'projected_FD_points': 3.0440604636151498, 'confidence': -0.43041423918875532, 'FD_Position': 'C'}, 'Clayton Kershaw_pitcher': {'Salary': 11800.0, 'projected_FD_points': 14.421316519469581, 'confidence': 0.26363316315207086, 'FD_Position': 'P'}, 'Prince Fielder_batter': {'Salary': 3600.0, 'projected_FD_points': 3.9442979736982844, 'confidence': -0.22080355464467161, 'FD_Position': '1B'}, 'Austin Jackson_batter': {'Salary': 2600.0, 'projected_FD_points': 1.9540982373124256, 'confidence': -0.1876207031065884, 'FD_Position': 'OF'}}</t>
  </si>
  <si>
    <t>{'Corey Kluber_pitcher': {'Salary': 10700.0, 'projected_FD_points': 20.101432099715247, 'confidence': -1.069421268717254, 'FD_Position': 'P'}, 'Brandon Moss_batter': {'Salary': 3500.0, 'projected_FD_points': 3.2793569799529299, 'confidence': -0.055245386612760905, 'FD_Position': '1B'}, 'Kole Calhoun_batter': {'Salary': 3500.0, 'projected_FD_points': 3.2732221092853235, 'confidence': 0.25727187230462845, 'FD_Position': 'OF'}, 'Lonnie Chisenhall_batter': {'Salary': 2700.0, 'projected_FD_points': 2.6382331566936563, 'confidence': -0.076341090944019863, 'FD_Position': '3B'}, 'Mark Canha_batter': {'Salary': 3000.0, 'projected_FD_points': 3.5749374120376842, 'confidence': 0, 'FD_Position': 'OF'}, 'Erick Aybar_batter': {'Salary': 3000.0, 'projected_FD_points': 3.5046116428781993, 'confidence': -0.081568987498369383, 'FD_Position': 'SS'}, 'Johnny Giavotella_batter': {'Salary': 2500.0, 'projected_FD_points': 3.5398366707225799, 'confidence': -2.4325429236859288, 'FD_Position': '2B'}, 'Josh Reddick_batter': {'Salary': 3300.0, 'projected_FD_points': 3.2610913098834908, 'confidence': -0.26475570031290241, 'FD_Position': 'OF'}, 'Jason Castro_batter': {'Salary': 2500.0, 'projected_FD_points': 2.476212922916444, 'confidence': -0.061882785915122973, 'FD_Position': 'C'}}</t>
  </si>
  <si>
    <t>{'Carlos Corporan_batter': {'Salary': 2200.0, 'projected_FD_points': 2.2134713203313465, 'confidence': -6.9711738769484164, 'FD_Position': 'C'}, 'Johnny Cueto_pitcher': {'Salary': 10500.0, 'projected_FD_points': 16.825209716535269, 'confidence': -0.37253636505676679, 'FD_Position': 'P'}, 'Corey Dickerson_batter': {'Salary': 4000.0, 'projected_FD_points': 3.3916143666859577, 'confidence': -0.068090458824478617, 'FD_Position': 'OF'}, 'Lucas Duda_batter': {'Salary': 3100.0, 'projected_FD_points': 2.9668166764379462, 'confidence': -0.41899095422543975, 'FD_Position': '1B'}, 'Carlos Peguero_batter': {'Salary': 2800.0, 'projected_FD_points': 2.8286966581497417, 'confidence': -0.47673599553377577, 'FD_Position': 'OF'}, 'Dexter Fowler_batter': {'Salary': 3200.0, 'projected_FD_points': 3.6496167942254454, 'confidence': 0.00062229896856613731, 'FD_Position': 'OF'}, 'Kyle Seager_batter': {'Salary': 3200.0, 'projected_FD_points': 2.9386103861048536, 'confidence': -0.028429946348171864, 'FD_Position': '3B'}, 'Jose Pirela_batter': {'Salary': 2200.0, 'projected_FD_points': 3.3202567772880975, 'confidence': 0, 'FD_Position': 'SS'}, 'Brian Dozier_batter': {'Salary': 3500.0, 'projected_FD_points': 2.8402014126118318, 'confidence': 0.027531447043800505, 'FD_Position': '2B'}}</t>
  </si>
  <si>
    <t>{'Michael Brantley_batter': {'Salary': 4400.0, 'projected_FD_points': 2.9596579688487403, 'confidence': -0.19184054041075815, 'FD_Position': 'OF'},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'Brian Dozier_batter': {'Salary': 3500.0, 'projected_FD_points': 2.8402014126118318, 'confidence': 0.027531447043800505, 'FD_Position': '2B'}, 'Carlos Peguero_batter': {'Salary': 2800.0, 'projected_FD_points': 2.8286966581497417, 'confidence': -0.47673599553377577, 'FD_Position': 'OF'}, 'Adrian Beltre_batter': {'Salary': 3100.0, 'projected_FD_points': 2.8265689224652357, 'confidence': -0.019641496633673539, 'FD_Position': '3B'}, 'Dexter Fowler_batter': {'Salary': 3200.0, 'projected_FD_points': 3.6496167942254454, 'confidence': 0.00062229896856613731, 'FD_Position': 'OF'}, 'Aaron Harang_pitcher': {'Salary': 7600.0, 'projected_FD_points': 11.085047212012087, 'confidence': -4.1171046157146467, 'FD_Position': 'P'}, 'Yadier Molina_batter': {'Salary': 2400.0, 'projected_FD_points': 1.7426479231305998, 'confidence': 0.01680790699629342, 'FD_Position': 'C'}}</t>
  </si>
  <si>
    <t>{'Matt Kemp_batter': {'Salary': 3000.0, 'projected_FD_points': 2.4236099296382583, 'confidence': -0.079136349351649482, 'FD_Position': 'OF'}, 'Jose Bautista_batter': {'Salary': 4600.0, 'projected_FD_points': 3.3274256493918966, 'confidence': -0.0037523186681667209, 'FD_Position': 'OF'}, 'Johnny Cueto_pitcher': {'Salary': 10500.0, 'projected_FD_points': 16.825209716535269, 'confidence': -0.37253636505676679, 'FD_Position': 'P'}, 'David Ortiz_batter': {'Salary': 2700.0, 'projected_FD_points': 2.6160590773743326, 'confidence': -0.067951309396259596, 'FD_Position': '1B'}, 'Corey Dickerson_batter': {'Salary': 4000.0, 'projected_FD_points': 3.3916143666859577, 'confidence': -0.068090458824478617, 'FD_Position': 'OF'}, 'Cory Spangenberg_batter': {'Salary': 2500.0, 'projected_FD_points': 2.0135941324236901, 'confidence': 0.023586384995861742, 'FD_Position': '2B'}, 'Kyle Seager_batter': {'Salary': 3200.0, 'projected_FD_points': 2.9386103861048536, 'confidence': -0.028429946348171864, 'FD_Position': '3B'}, 'Jose Pirela_batter': {'Salary': 2200.0, 'projected_FD_points': 3.3202567772880975, 'confidence': 0, 'FD_Position': 'SS'}, 'Jason Castro_batter': {'Salary': 2300.0, 'projected_FD_points': 1.8034231565420771, 'confidence': -0.044875980598695353, 'FD_Position': 'C'}}</t>
  </si>
  <si>
    <t>{'Adrian Beltre_batter': {'Salary': 3100.0, 'projected_FD_points': 2.8265689224652357, 'confidence': -0.019641496633673539, 'FD_Position': '3B'},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'Dexter Fowler_batter': {'Salary': 3200.0, 'projected_FD_points': 3.6496167942254454, 'confidence': 0.00062229896856613731, 'FD_Position': 'OF'}, 'Carlos Peguero_batter': {'Salary': 2800.0, 'projected_FD_points': 2.8286966581497417, 'confidence': -0.47673599553377577, 'FD_Position': 'OF'}, 'Jon Niese_pitcher': {'Salary': 8400.0, 'projected_FD_points': 9.6880339207730195, 'confidence': 0.015707070055638428, 'FD_Position': 'P'}, 'Michael Cuddyer_batter': {'Salary': 2500.0, 'projected_FD_points': 2.7966160922665813, 'confidence': -2.0397264324479649, 'FD_Position': 'OF'}, 'Omar Infante_batter': {'Salary': 2300.0, 'projected_FD_points': 1.4819804013954125, 'confidence': -0.022666643203907766, 'FD_Position': '2B'}, 'Carlos Corporan_batter': {'Salary': 2200.0, 'projected_FD_points': 2.2134713203313465, 'confidence': -6.9711738769484164, 'FD_Position': 'C'}}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</si>
  <si>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'Devon Travis_batter': {'Salary': 3300.0, 'projected_FD_points': 2.6746534786388287, 'confidence': -0.13360061855678906, 'FD_Position': '2B'}, 'Prince Fielder_batter': {'Salary': 3300.0, 'projected_FD_points': 3.4245341758402268, 'confidence': -1.0035442562754477, 'FD_Position': '1B'},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'Dexter Fowler_batter': {'Salary': 3100.0, 'projected_FD_points': 3.8821077946987006, 'confidence': -0.0052660425580599579, 'FD_Position': 'OF'}, 'Kyle Seager_batter': {'Salary': 3100.0, 'projected_FD_points': 3.1069810792597656, 'confidence': -0.17599193163426063, 'FD_Position': '3B'}, 'Alexei Ramirez_batter': {'Salary': 2600.0, 'projected_FD_points': 2.525580748563705, 'confidence': -0.19078415648756319, 'FD_Position': 'SS'}}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</si>
  <si>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'Troy Tulowitzki_batter': {'Salary': 4200.0, 'projected_FD_points': 3.1727834501213996, 'confidence': -0.72743138965413534, 'FD_Position': 'SS'}, 'Kyle Seager_batter': {'Salary': 3100.0, 'projected_FD_points': 3.1069810792597656, 'confidence': -0.17599193163426063, 'FD_Position': '3B'}, 'Jose Abreu_batter': {'Salary': 3500.0, 'projected_FD_points': 3.4774111035701276, 'confidence': 0.049062973658718256, 'FD_Position': '1B'}, 'Coco Crisp_batter': {'Salary': 2200.0, 'projected_FD_points': 2.6282993102288774, 'confidence': -0.059366153055594673, 'FD_Position': 'OF'}, 'Chase Utley_batter': {'Salary': 2400.0, 'projected_FD_points': 2.2966797081142514, 'confidence': -0.16538096374392564, 'FD_Position': '2B'}}</t>
  </si>
  <si>
    <t>{'Kris Bryant_batter': {'Salary': 3800.0, 'projected_FD_points': 4.0203555089561256, 'confidence': -0.87791217865844517, 'FD_Position': '3B'}, 'Russell Martin_batter': {'Salary': 3600.0, 'projected_FD_points': 2.7783904009774782, 'confidence': -0.032908975101302751, 'FD_Position': 'C'},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'Steve Pearce_batter': {'Salary': 2700.0, 'projected_FD_points': 2.7017478437490454, 'confidence': -0.58891461969340031, 'FD_Position': 'OF'},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'OF'}, 'Jose Abreu_batter': {'Salary': 3500.0, 'projected_FD_points': 3.4328760640426115, 'confidence': -0.27080193146217169, 'FD_Position': '1B'}}</t>
  </si>
  <si>
    <t>{'Kris Bryant_batter': {'Salary': 3800.0, 'projected_FD_points': 4.0203555089561256, 'confidence': -0.87791217865844517, 'FD_Position': '3B'}, 'Anthony Rizzo_batter': {'Salary': 4500.0, 'projected_FD_points': 3.7044291560225444, 'confidence': -0.027582813833671782, 'FD_Position': '1B'},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'Jorge Soler_batter': {'Salary': 2900.0, 'projected_FD_points': 2.7612866703826153, 'confidence': -0.11326456534647611, 'FD_Position': 'OF'}, 'Jacob Realmuto_batter': {'Salary': 2200.0, 'projected_FD_points': 1.9191957894571454, 'confidence': -1.287603073540915, 'FD_Position': 'C'},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'OF'}}</t>
  </si>
  <si>
    <t>{'Michael Brantley_batter': {'Salary': 4700.0, 'projected_FD_points': 3.5310202451026678, 'confidence': -0.006827988991924494, 'FD_Position': 'OF'}, 'Russell Martin_batter': {'Salary': 3600.0, 'projected_FD_points': 2.7783904009774782, 'confidence': -0.032908975101302751, 'FD_Position': 'C'}, 'Alex Rodriguez_batter': {'Salary': 3400.0, 'projected_FD_points': 3.3242148855472049, 'confidence': -2.8856240706070051, 'FD_Position': '3B'}, 'Ian Desmond_batter': {'Salary': 2500.0, 'projected_FD_points': 2.2886422437442895, 'confidence': -0.013743974366930312, 'FD_Position': 'SS'}, 'Jimmy Paredes_batter': {'Salary': 3500.0, 'projected_FD_points': 2.7850431320683748, 'confidence': -0.6866255628066058, 'FD_Position': '2B'}, 'Steve Pearce_batter': {'Salary': 2700.0, 'projected_FD_points': 2.7017478437490454, 'confidence': -0.58891461969340031, 'FD_Position': 'OF'}, 'Danny Salazar_pitcher': {'Salary': 8700.0, 'projected_FD_points': 15.772075987809998, 'confidence': -0.31841847214779784, 'FD_Position': 'P'}, 'Jose Abreu_batter': {'Salary': 3500.0, 'projected_FD_points': 3.4328760640426115, 'confidence': -0.27080193146217169, 'FD_Position': '1B'}, 'Michael Cuddyer_batter': {'Salary': 2400.0, 'projected_FD_points': 2.4417826373816385, 'confidence': 0.011463718601004369, 'FD_Position': 'OF'}}</t>
  </si>
  <si>
    <t>{'Jason Kipnis_batter': {'Salary': 4500.0, 'projected_FD_points': 3.0520624065700259, 'confidence': -0.076716740234570979, 'FD_Position': '2B'},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'Chris Heston_pitcher': {'Salary': 7400.0, 'projected_FD_points': 28.235674142208794, 'confidence': 0, 'FD_Position': 'P'}, 'Jose Abreu_batter': {'Salary': 3600.0, 'projected_FD_points': 3.5296505118236814, 'confidence': -0.11187915855699315, 'FD_Position': '1B'}}</t>
  </si>
  <si>
    <t>{'Robinson Chirinos_batter': {'Salary': 2400.0, 'projected_FD_points': 2.2784475857897544, 'confidence': -0.35911572616683785, 'FD_Position': 'C'}, 'Alex Rodriguez_batter': {'Salary': 3400.0, 'projected_FD_points': 3.7703974639147715, 'confidence': 0.12321552416953896, 'FD_Position': '3B'}, 'Brian Dozier_batter': {'Salary': 3600.0, 'projected_FD_points': 2.6570599660094381, 'confidence': -0.017471409519349335, 'FD_Position': '2B'}, 'Eddie Rosario_batter': {'Salary': 2600.0, 'projected_FD_points': 6.529882104248049, 'confidence': 0, 'FD_Position': 'OF'}, 'Prince Fielder_batter': {'Salary': 3500.0, 'projected_FD_points': 3.0493791534978145, 'confidence': -0.43993390300530977, 'FD_Position': '1B'},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'Dexter Fowler_batter': {'Salary': 3500.0, 'projected_FD_points': 4.0191148756518826, 'confidence': -0.038950373668698468, 'FD_Position': 'OF'}, 'Jake Arrieta_pitcher': {'Salary': 9900.0, 'projected_FD_points': 14.792187584170719, 'confidence': -0.69669028825243795, 'FD_Position': 'P'}}</t>
  </si>
  <si>
    <t>{'Jason Kipnis_batter': {'Salary': 4500.0, 'projected_FD_points': 3.0520624065700259, 'confidence': -0.076716740234570979, 'FD_Position': '2B'}, 'Anthony Rizzo_batter': {'Salary': 4700.0, 'projected_FD_points': 3.504187535295578, 'confidence': 0.019783868759292833, 'FD_Position': '1B'},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'Chris Heston_pitcher': {'Salary': 7400.0, 'projected_FD_points': 28.235674142208794, 'confidence': 0, 'FD_Position': 'P'}, 'Brandon Crawford_batter': {'Salary': 2400.0, 'projected_FD_points': 2.7250446736719378, 'confidence': -0.036121553180376686, 'FD_Position': 'SS'}}</t>
  </si>
  <si>
    <t>{'Adam Eaton_batter': {'Salary': 2700.0, 'projected_FD_points': 2.7779355343286829, 'confidence': -0.69766623442132514, 'FD_Position': 'OF'}, 'J.D. Martinez_batter': {'Salary': 3300.0, 'projected_FD_points': 3.1758245937700664, 'confidence': -0.033574293892428608, 'FD_Position': 'OF'}, 'James McCann_batter': {'Salary': 2400.0, 'projected_FD_points': 2.3339413618840821, 'confidence': -0.76363425448460731, 'FD_Position': 'C'}, 'Matt Carpenter_batter': {'Salary': 4200.0, 'projected_FD_points': 3.3571544236768207, 'confidence': -1.3613743669490481, 'FD_Position': '3B'}, 'Nelson Cruz_batter': {'Salary': 4800.0, 'projected_FD_points': 3.1251791886292528, 'confidence': -0.10861155272359424, 'FD_Position': 'OF'}, 'Lance Lynn_pitcher': {'Salary': 8600.0, 'projected_FD_points': 13.37026343319809, 'confidence': -0.34862890743737185, 'FD_Position': 'P'}, 'Jose Abreu_batter': {'Salary': 3600.0, 'projected_FD_points': 3.5296505118236814, 'confidence': -0.11187915855699315, 'FD_Position': '1B'}, 'Alexei Ramirez_batter': {'Salary': 2500.0, 'projected_FD_points': 2.2473777548776912, 'confidence': -0.0038563816209231661, 'FD_Position': 'SS'}, 'Dustin Pedroia_batter': {'Salary': 2800.0, 'projected_FD_points': 2.2274641441669556, 'confidence': -0.035424913838559835, 'FD_Position': '2B'}}</t>
  </si>
  <si>
    <t>{'Melky Cabrera_batter': {'Salary': 2600.0, 'projected_FD_points': 2.486713188038419, 'confidence': -0.00096469043135072319, 'FD_Position': 'OF'}, 'Aramis Ramirez_batter': {'Salary': 2900.0, 'projected_FD_points': 2.4878048357859477, 'confidence': -2.3422950839006407, 'FD_Position': '3B'}, 'Chris Sale_pitcher': {'Salary': 10000.0, 'projected_FD_points': 16.363843711886197, 'confidence': -0.50509358572966123, 'FD_Position': 'P'}, 'Giancarlo Stanton_batter': {'Salary': 4800.0, 'projected_FD_points': 3.5754904758533463, 'confidence': -0.018858918129808222, 'FD_Position': 'OF'}, 'Chris Colabello_batter': {'Salary': 2300.0, 'projected_FD_points': 2.3248222569032344, 'confidence': -0.058545099446350779, 'FD_Position': 'OF'},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</si>
  <si>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{'Melky Cabrera_batter': {'Salary': 2600.0, 'projected_FD_points': 2.486713188038419, 'confidence': -0.00096469043135072319, 'FD_Position': 'OF'}, 'J.D. Martinez_batter': {'Salary': 3300.0, 'projected_FD_points': 2.8617203238830515, 'confidence': -0.027915016353857958, 'FD_Position': 'OF'}, 'Michael Cuddyer_batter': {'Salary': 2500.0, 'projected_FD_points': 2.4827805422019966, 'confidence': -1.0117024771621246, 'FD_Position': 'OF'}, 'Nolan Arenado_batter': {'Salary': 4000.0, 'projected_FD_points': 2.942489465621382, 'confidence': -0.09081086502070379, 'FD_Position': '3B'}, 'Chris Sale_pitcher': {'Salary': 10000.0, 'projected_FD_points': 16.363843711886197, 'confidence': -0.50509358572966123, 'FD_Position': 'P'},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</si>
  <si>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{'Albert Pujols_batter': {'Salary': 2900.0, 'projected_FD_points': 2.63058249954923, 'confidence': -0.17882947731678045, 'FD_Position': '1B'}, 'Matt Kemp_batter': {'Salary': 3100.0, 'projected_FD_points': 2.6643690007235872, 'confidence': -0.059074001182890523, 'FD_Position': 'OF'}, 'Seth Smith_batter': {'Salary': 2400.0, 'projected_FD_points': 2.1987927359099113, 'confidence': -0.058293089118413022, 'FD_Position': 'OF'}, 'James Shields_pitcher': {'Salary': 8700.0, 'projected_FD_points': 11.904656483785294, 'confidence': -0.77926657447553094, 'FD_Position': 'P'}, 'Derek Norris_batter': {'Salary': 2900.0, 'projected_FD_points': 2.1261977995070254, 'confidence': -0.050496738083644743, 'FD_Position': 'C'}, 'Cory Spangenberg_batter': {'Salary': 2500.0, 'projected_FD_points': 2.2342622854897756, 'confidence': -0.35929573603634801, 'FD_Position': '2B'}, 'Kyle Seager_batter': {'Salary': 3000.0, 'projected_FD_points': 3.056275781450823, 'confidence': 0.0083014191189294539, 'FD_Position': '3B'}, 'Troy Tulowitzki_batter': {'Salary': 4400.0, 'projected_FD_points': 3.1136290784036875, 'confidence': 0.053013738034384361, 'FD_Position': 'SS'}, 'Nelson Cruz_batter': {'Salary': 4800.0, 'projected_FD_points': 3.5788171231385593, 'confidence': -0.3056651805589603, 'FD_Position': 'OF'}}</t>
  </si>
  <si>
    <t>{'Alex Rodriguez_batter': {'Salary': 3300.0, 'projected_FD_points': 4.8368097953079134, 'confidence': -0.82908833420210648, 'FD_Position': '3B'}, 'Dexter Fowler_batter': {'Salary': 3300.0, 'projected_FD_points': 3.7674900393294632, 'confidence': -0.099040512857148322, 'FD_Position': 'OF'}, 'Stephen Vogt_batter': {'Salary': 3700.0, 'projected_FD_points': 2.8647066081440888, 'confidence': -2.9633199976266136, 'FD_Position': 'C'}, 'Brian Dozier_batter': {'Salary': 3500.0, 'projected_FD_points': 3.0574309422677697, 'confidence': -0.060880578158551746, 'FD_Position': '2B'}, 'Marcus Semien_batter': {'Salary': 3300.0, 'projected_FD_points': 2.6875902772737685, 'confidence': -0.92954609407872546, 'FD_Position': 'SS'}, 'Chris Heston_pitcher': {'Salary': 5800.0, 'projected_FD_points': 28.568935984903476, 'confidence': 0, 'FD_Position': 'P'}, 'Nelson Cruz_batter': {'Salary': 4800.0, 'projected_FD_points': 3.4498315571865397, 'confidence': -0.15074570654276731, 'FD_Position': 'OF'}, 'Jose Abreu_batter': {'Salary': 3400.0, 'projected_FD_points': 3.5651240569861433, 'confidence': 0.097321858700456287, 'FD_Position': '1B'}, 'Andrew McCutchen_batter': {'Salary': 3800.0, 'projected_FD_points': 3.3456651227506873, 'confidence': 0.0062906060409330111, 'FD_Position': 'OF'}}</t>
  </si>
  <si>
    <t>{'Russell Martin_batter': {'Salary': 3800.0, 'projected_FD_points': 2.723987931168919, 'confidence': -0.02365260467894692, 'FD_Position': 'C'}, 'Odubel Herrera_batter': {'Salary': 3000.0, 'projected_FD_points': 3.1430894592454921, 'confidence': -3.7545439782925962, 'FD_Position': 'OF'}, 'Alex Rodriguez_batter': {'Salary': 3300.0, 'projected_FD_points': 4.8368097953079134, 'confidence': -0.82908833420210648, 'FD_Position': '3B'}, 'Brian Dozier_batter': {'Salary': 3500.0, 'projected_FD_points': 3.0574309422677697, 'confidence': -0.060880578158551746, 'FD_Position': '2B'}, 'Freddie Freeman_batter': {'Salary': 3900.0, 'projected_FD_points': 3.172000940292679, 'confidence': -0.55897874503763356, 'FD_Position': '1B'}, 'Steve Pearce_batter': {'Salary': 2900.0, 'projected_FD_points': 3.1236913504068173, 'confidence': -0.24167396540346453, 'FD_Position': 'OF'}, 'J.J. Hardy_batter': {'Salary': 2500.0, 'projected_FD_points': 2.3662087220896764, 'confidence': 0.017943141744048541, 'FD_Position': 'SS'}, 'Lance Lynn_pitcher': {'Salary': 8200.0, 'projected_FD_points': 13.687366427250435, 'confidence': -0.19672227202339987, 'FD_Position': 'P'}, 'Andrew McCutchen_batter': {'Salary': 3800.0, 'projected_FD_points': 3.3456651227506873, 'confidence': 0.0062906060409330111, 'FD_Position': 'OF'}}</t>
  </si>
  <si>
    <t>{'Albert Pujols_batter': {'Salary': 2900.0, 'projected_FD_points': 2.5805785489887536, 'confidence': -0.013112313663431463, 'FD_Position': '1B'}, 'Stephen Vogt_batter': {'Salary': 3700.0, 'projected_FD_points': 2.8647066081440888, 'confidence': -2.9633199976266136, 'FD_Position': 'C'}, 'Marcus Semien_batter': {'Salary': 3300.0, 'projected_FD_points': 2.6875902772737685, 'confidence': -0.92954609407872546, 'FD_Position': 'SS'}, 'Stephen Strasburg_pitcher': {'Salary': 9100.0, 'projected_FD_points': 12.629035555202371, 'confidence': -1.051475267308029, 'FD_Position': 'P'}, 'Kyle Seager_batter': {'Salary': 3000.0, 'projected_FD_points': 2.7955817131214933, 'confidence': -0.10110803239322474, 'FD_Position': '3B'}, 'Nelson Cruz_batter': {'Salary': 4800.0, 'projected_FD_points': 3.4498315571865397, 'confidence': -0.15074570654276731, 'FD_Position': 'OF'}, 'Coco Crisp_batter': {'Salary': 2200.0, 'projected_FD_points': 2.9728664446268001, 'confidence': -0.78296153612041253, 'FD_Position': 'OF'}, 'Jayson Werth_batter': {'Salary': 3000.0, 'projected_FD_points': 2.8499464510415162, 'confidence': -0.088774949516418289, 'FD_Position': 'OF'}, 'Dustin Pedroia_batter': {'Salary': 2900.0, 'projected_FD_points': 2.2319613013076394, 'confidence': -0.096178241291340782, 'FD_Position': '2B'}}</t>
  </si>
  <si>
    <t>{'Kris Bryant_batter': {'Salary': 3500.0, 'projected_FD_points': 3.1655669909596904, 'confidence': 0.0217913030917678, 'FD_Position': '3B'}, 'Chris Heston_pitcher': {'Salary': 5800.0, 'projected_FD_points': 28.568935984903476, 'confidence': 0, 'FD_Position': 'P'}, 'Jose Altuve_batter': {'Salary': 4600.0, 'projected_FD_points': 2.6568041065281029, 'confidence': -0.10570408130945497, 'FD_Position': '2B'}, 'Carlos Gomez_batter': {'Salary': 3700.0, 'projected_FD_points': 2.8335514623532947, 'confidence': -0.013364981127138353, 'FD_Position': 'OF'}, 'Alex Gordon_batter': {'Salary': 3300.0, 'projected_FD_points': 2.5841705554191288, 'confidence': -0.088911561177848597, 'FD_Position': 'OF'}, 'Buster Posey_batter': {'Salary': 3500.0, 'projected_FD_points': 2.599514756399675, 'confidence': -0.043417849970316169, 'FD_Position': 'C'}, 'Dexter Fowler_batter': {'Salary': 3300.0, 'projected_FD_points': 3.7674900393294632, 'confidence': -0.099040512857148322, 'FD_Position': 'OF'}, 'Jose Abreu_batter': {'Salary': 3400.0, 'projected_FD_points': 3.5651240569861433, 'confidence': 0.097321858700456287, 'FD_Position': '1B'}, 'Brandon Crawford_batter': {'Salary': 2200.0, 'projected_FD_points': 2.4696356171136515, 'confidence': -0.7237857510659087, 'FD_Position': 'SS'}}</t>
  </si>
  <si>
    <t>{'Jeff Samardzija_pitcher': {'Salary': 8900.0, 'projected_FD_points': 13.179980057545617, 'confidence': -1.5236421389250792, 'FD_Position': 'P'}, 'Alex Rodriguez_batter': {'Salary': 3400.0, 'projected_FD_points': 3.5730558747955405, 'confidence': 0.0, 'FD_Position': '3B'}, 'Dexter Fowler_batter': {'Salary': 3300.0, 'projected_FD_points': 4.0208129855111467, 'confidence': -0.1333263088705996, 'FD_Position': 'OF'}, 'Devon Travis_batter': {'Salary': 3400.0, 'projected_FD_points': 4.7476700736027828, 'confidence': -0.47759752335713723, 'FD_Position': '2B'}, 'Brian McCann_batter': {'Salary': 3100.0, 'projected_FD_points': 2.5716245863322138, 'confidence': -0.18505626403075293, 'FD_Position': 'C'},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'Jose Abreu_batter': {'Salary': 3400.0, 'projected_FD_points': 3.2660300036047007, 'confidence': -0.098762864035583764, 'FD_Position': '1B'}, 'Alexei Ramirez_batter': {'Salary': 2700.0, 'projected_FD_points': 2.4080199052870275, 'confidence': -0.017968339094179608, 'FD_Position': 'SS'}}</t>
  </si>
  <si>
    <t>{'Stephen Vogt_batter': {'Salary': 3500.0, 'projected_FD_points': 2.922833945252076, 'confidence': -2.6179806308177267, 'FD_Position': 'C'}, 'Pablo Sandoval_batter': {'Salary': 2900.0, 'projected_FD_points': 2.37948727240558, 'confidence': -0.1818892223532993, 'FD_Position': '3B'}, 'Justin Turner_batter': {'Salary': 2700.0, 'projected_FD_points': 2.1468725824892592, 'confidence': -0.40797291201224262, 'FD_Position': '2B'}, 'Marcus Semien_batter': {'Salary': 2900.0, 'projected_FD_points': 2.5309362877275907, 'confidence': -0.10890619561835924, 'FD_Position': 'SS'}, 'A.J. Pollock_batter': {'Salary': 3700.0, 'projected_FD_points': 3.3657210336432746, 'confidence': 0.16449616088743746, 'FD_Position': 'OF'}, 'Zack Greinke_pitcher': {'Salary': 10300.0, 'projected_FD_points': 12.600574580680597, 'confidence': -1.5408839633496854, 'FD_Position': 'P'},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'Mike Napoli_batter': {'Salary': 2200.0, 'projected_FD_points': 2.4234381860880543, 'confidence': -0.073908014582817927, 'FD_Position': '1B'}}</t>
  </si>
  <si>
    <t>{'Robinson Chirinos_batter': {'Salary': 2500.0, 'projected_FD_points': 2.1347721661209857, 'confidence': 0.01841362480624531, 'FD_Position': 'C'}, 'Starlin Castro_batter': {'Salary': 3200.0, 'projected_FD_points': 2.1398983618664587, 'confidence': -0.058886071502723514, 'FD_Position': 'SS'}, 'Anthony Rizzo_batter': {'Salary': 4400.0, 'projected_FD_points': 3.0413198421226064, 'confidence': 0.012183221902352437, 'FD_Position': '1B'}, 'Alex Gordon_batter': {'Salary': 3200.0, 'projected_FD_points': 2.6423744195080641, 'confidence': -0.11747584313504245, 'FD_Position': 'OF'}, 'Adrian Beltre_batter': {'Salary': 2700.0, 'projected_FD_points': 2.3379157846308321, 'confidence': 0.058332834688930246, 'FD_Position': '3B'}, 'Dexter Fowler_batter': {'Salary': 3300.0, 'projected_FD_points': 4.0208129855111467, 'confidence': -0.1333263088705996, 'FD_Position': 'OF'}, 'Michael Cuddyer_batter': {'Salary': 2600.0, 'projected_FD_points': 2.5620210046491536, 'confidence': -0.98476773845449417, 'FD_Position': 'OF'}, 'Omar Infante_batter': {'Salary': 2500.0, 'projected_FD_points': 1.7998209892123951, 'confidence': -0.29904464072254955, 'FD_Position': '2B'}, 'Jon Lester_pitcher': {'Salary': 9100.0, 'projected_FD_points': 12.829837831198649, 'confidence': -0.72008153624771176, 'FD_Position': 'P'}}</t>
  </si>
  <si>
    <t>{'Adrian Beltre_batter': {'Salary': 2800.0, 'projected_FD_points': 2.9011048967318311, 'confidence': -0.043448212667389852, 'FD_Position': '3B'}, 'Jason Kipnis_batter': {'Salary': 3500.0, 'projected_FD_points': 2.7748344108024692, 'confidence': 0.066150480932676836, 'FD_Position': '2B'}, 'Ben Revere_batter': {'Salary': 2700.0, 'projected_FD_points': 2.7051770974305329, 'confidence': 0.017885279574749613, 'FD_Position': 'OF'}, 'Carlos Peguero_batter': {'Salary': 2800.0, 'projected_FD_points': 3.3110257788135313, 'confidence': 0.094023068976798019, 'FD_Position': 'OF'}, 'James McCann_batter': {'Salary': 2400.0, 'projected_FD_points': 1.7848972968723769, 'confidence': 0.51896930951202791, 'FD_Position': 'C'}, 'Clayton Kershaw_pitcher': {'Salary': 11200.0, 'projected_FD_points': 25.865472946034693, 'confidence': -10.521552621564744, 'FD_Position': 'P'}, 'Dexter Fowler_batter': {'Salary': 3200.0, 'projected_FD_points': 3.5808335158623481, 'confidence': -0.19705999977268673, 'FD_Position': 'OF'}, 'Joey Votto_batter': {'Salary': 3800.0, 'projected_FD_points': 3.3944041372088654, 'confidence': 0.15274907489586464, 'FD_Position': '1B'}, 'Alexei Ramirez_batter': {'Salary': 2400.0, 'projected_FD_points': 2.353413737175071, 'confidence': -0.031190647345255673, 'FD_Position': 'SS'}}</t>
  </si>
  <si>
    <t>{'Alex Rodriguez_batter': {'Salary': 3400.0, 'projected_FD_points': 5.8546990147964255, 'confidence': -1.2008361472579048, 'FD_Position': '3B'}, 'Carlos Corporan_batter': {'Salary': 2200.0, 'projected_FD_points': 2.2022097899734225, 'confidence': -0.36462641229122483, 'FD_Position': 'C'}, 'Jose Bautista_batter': {'Salary': 4800.0, 'projected_FD_points': 3.3599437170127571, 'confidence': -0.04439643769822621, 'FD_Position': 'OF'}, 'Devon Travis_batter': {'Salary': 3300.0, 'projected_FD_points': 3.7744552547038355, 'confidence': -2.0639438879134562, 'FD_Position': '2B'}, 'Daniel Santana_batter': {'Salary': 2900.0, 'projected_FD_points': 3.0900571958365912, 'confidence': -0.90989935249947274, 'FD_Position': 'SS'}, 'Dexter Fowler_batter': {'Salary': 3200.0, 'projected_FD_points': 3.5808335158623481, 'confidence': -0.19705999977268673, 'FD_Position': 'OF'}, 'Carlos Santana_batter': {'Salary': 3500.0, 'projected_FD_points': 3.6051367967720189, 'confidence': -0.41843175471636984, 'FD_Position': '1B'}, 'Michael Pineda_pitcher': {'Salary': 8800.0, 'projected_FD_points': 13.455754651470979, 'confidence': -0.63527361215299161, 'FD_Position': 'P'}, 'Kyle Blanks_batter': {'Salary': 2800.0, 'projected_FD_points': 4.9204637193934575, 'confidence': -2.875836254771158, 'FD_Position': 'OF'}}</t>
  </si>
  <si>
    <t>{'Yoenis Cespedes_batter': {'Salary': 3000.0, 'projected_FD_points': 2.5315145997890318, 'confidence': -0.012353167888409899, 'FD_Position': 'OF'}, 'Jedd Gyorko_batter': {'Salary': 2400.0, 'projected_FD_points': 1.9777702826901598, 'confidence': -0.10486688752133277, 'FD_Position': '2B'}, 'Mike Morse_batter': {'Salary': 2400.0, 'projected_FD_points': 2.0186215872660878, 'confidence': -0.0098896189107262611, 'FD_Position': '1B'}, 'J.D. Martinez_batter': {'Salary': 3000.0, 'projected_FD_points': 2.9147403117258688, 'confidence': -0.053685458658899288, 'FD_Position': 'OF'}, 'James McCann_batter': {'Salary': 2400.0, 'projected_FD_points': 1.7848972968723769, 'confidence': 0.51896930951202791, 'FD_Position': 'C'}, 'Alex Gordon_batter': {'Salary': 3200.0, 'projected_FD_points': 2.5143625374569276, 'confidence': 0.011578967150559283, 'FD_Position': 'OF'}, 'Clayton Kershaw_pitcher': {'Salary': 11200.0, 'projected_FD_points': 25.865472946034693, 'confidence': -10.521552621564744, 'FD_Position': 'P'}, 'Jimmy Rollins_batter': {'Salary': 3200.0, 'projected_FD_points': 0.18726557790842047, 'confidence': 0.21076279602240733, 'FD_Position': 'SS'}, 'Nolan Arenado_batter': {'Salary': 4200.0, 'projected_FD_points': 3.326883689347321, 'confidence': -0.0035935780219189528, 'FD_Position': '3B'}}</t>
  </si>
  <si>
    <t>{'Kolten Wong_batter': {'Salary': 2800.0, 'projected_FD_points': 2.4526723626640852, 'confidence': -0.10670829617114674, 'FD_Position': '2B'}, 'Ben Revere_batter': {'Salary': 2700.0, 'projected_FD_points': 2.721446062697586, 'confidence': -0.10849400297462219, 'FD_Position': 'OF'}, 'Johnny Cueto_pitcher': {'Salary': 10500.0, 'projected_FD_points': 17.964114791791964, 'confidence': -0.22644400203076698, 'FD_Position': 'P'}, 'Josh Phegley_batter': {'Salary': 2200.0, 'projected_FD_points': 2.7392190965364787, 'confidence': -2.9351161201432041, 'FD_Position': 'C'}, 'Dexter Fowler_batter': {'Salary': 2900.0, 'projected_FD_points': 3.1970720897681542, 'confidence': 0.045678934597081056, 'FD_Position': 'OF'}, 'Kyle Seager_batter': {'Salary': 3000.0, 'projected_FD_points': 2.7410436521335306, 'confidence': 0.01701895305634693, 'FD_Position': '3B'}, 'Jose Abreu_batter': {'Salary': 3500.0, 'projected_FD_points': 3.7689238814725154, 'confidence': -0.015220219982712502, 'FD_Position': '1B'}, 'Giancarlo Stanton_batter': {'Salary': 4800.0, 'projected_FD_points': 3.8086059682398377, 'confidence': -0.024636411852198226, 'FD_Position': 'OF'}, 'Alexei Ramirez_batter': {'Salary': 2400.0, 'projected_FD_points': 2.2717457621744854, 'confidence': -0.045227066744566002, 'FD_Position': 'SS'}}</t>
  </si>
  <si>
    <t>{'Michael Brantley_batter': {'Salary': 4200.0, 'projected_FD_points': 3.6494623543139495, 'confidence': -0.19528102616183673, 'FD_Position': 'OF'}, 'Jason Kipnis_batter': {'Salary': 3500.0, 'projected_FD_points': 2.6311022749183852, 'confidence': 0.13090233008493579, 'FD_Position': '2B'}, 'Doug Fister_pitcher': {'Salary': 8000.0, 'projected_FD_points': 12.13859276631095, 'confidence': -0.20794228898083422, 'FD_Position': 'P'}, 'Daniel Santana_batter': {'Salary': 2900.0, 'projected_FD_points': 3.168173983535298, 'confidence': 0.063267972418750484, 'FD_Position': 'SS'}, 'Robinson Chirinos_batter': {'Salary': 2400.0, 'projected_FD_points': 2.1023860532856129, 'confidence': -0.089106475432691568, 'FD_Position': 'C'}, 'Adrian Beltre_batter': {'Salary': 2900.0, 'projected_FD_points': 2.7956088023863286, 'confidence': -0.2311013104406241, 'FD_Position': '3B'}, 'Joey Butler_batter': {'Salary': 2200.0, 'projected_FD_points': 3.4965447313249065, 'confidence': 0, 'FD_Position': 'OF'}, 'Carlos Santana_batter': {'Salary': 3500.0, 'projected_FD_points': 3.5633504949418278, 'confidence': -0.0036643749025504491, 'FD_Position': '1B'}, 'Kyle Blanks_batter': {'Salary': 2900.0, 'projected_FD_points': 3.749832542848214, 'confidence': 0.028411199492912487, 'FD_Position': 'OF'}}</t>
  </si>
  <si>
    <t>{'Yangervis Solarte_batter': {'Salary': 2200.0, 'projected_FD_points': 2.0078997338554205, 'confidence': -0.37041585367688867, 'FD_Position': '3B'}, 'Devon Travis_batter': {'Salary': 3400.0, 'projected_FD_points': 4.3131596113656174, 'confidence': -0.70664349420949257, 'FD_Position': '2B'}, 'Kennys Vargas_batter': {'Salary': 2600.0, 'projected_FD_points': 2.8481201258771867, 'confidence': 0.039424381549119203, 'FD_Position': '1B'}, 'Daniel Santana_batter': {'Salary': 3000.0, 'projected_FD_points': 3.1114764600671441, 'confidence': -0.20161909021339786, 'FD_Position': 'SS'}, 'David Price_pitcher': {'Salary': 10900.0, 'projected_FD_points': 13.888901552765844, 'confidence': -0.059058685366702113, 'FD_Position': 'P'}, 'Dexter Fowler_batter': {'Salary': 3000.0, 'projected_FD_points': 3.1083423094914377, 'confidence': -0.38698340550155841, 'FD_Position': 'OF'}, 'Victor Martinez_batter': {'Salary': 3300.0, 'projected_FD_points': 2.9860972283666287, 'confidence': 0.037405212635775342, 'FD_Position': 'C'}, 'Kyle Blanks_batter': {'Salary': 2900.0, 'projected_FD_points': 4.6854534581904375, 'confidence': -0.17271331998417661, 'FD_Position': 'OF'}, 'Andrew McCutchen_batter': {'Salary': 3600.0, 'projected_FD_points': 3.534146939094339, 'confidence': -0.036278241571223058, 'FD_Position': 'OF'}}</t>
  </si>
  <si>
    <t>{'Adrian Beltre_batter': {'Salary': 2800.0, 'projected_FD_points': 2.5105493658607938, 'confidence': -0.44720489761564886, 'FD_Position': '3B'}, 'Jimmy Paredes_batter': {'Salary': 3000.0, 'projected_FD_points': 3.1561852666594206, 'confidence': 0.37081925277473859, 'FD_Position': '2B'}, 'Tim Beckham_batter': {'Salary': 2200.0, 'projected_FD_points': 2.157170616400589, 'confidence': -1.7247283033579848, 'FD_Position': 'SS'}, 'Buster Posey_batter': {'Salary': 3500.0, 'projected_FD_points': 2.2470901931464211, 'confidence': -0.18172987764496007, 'FD_Position': 'C'}, 'Paul Goldschmidt_batter': {'Salary': 5100.0, 'projected_FD_points': 3.618669526607591, 'confidence': -0.28281051677218194, 'FD_Position': '1B'}, 'Joey Butler_batter': {'Salary': 2200.0, 'projected_FD_points': 3.1536461492885355, 'confidence': 0, 'FD_Position': 'OF'}, 'Giancarlo Stanton_batter': {'Salary': 4700.0, 'projected_FD_points': 3.9028262062756331, 'confidence': -0.015889100627924257, 'FD_Position': 'OF'}, 'Kyle Blanks_batter': {'Salary': 3000.0, 'projected_FD_points': 3.9767651930079446, 'confidence': 0.44361393616985589, 'FD_Position': 'OF'}, 'Collin McHugh_pitcher': {'Salary': 8400.0, 'projected_FD_points': 13.854616007610488, 'confidence': 0.13380795591919903, 'FD_Position': 'P'}}</t>
  </si>
  <si>
    <t>{'Manny Machado_batter': {'Salary': 3400.0, 'projected_FD_points': 2.6054060872565059, 'confidence': -0.084289402032089455, 'FD_Position': '3B'}, 'Jean Segura_batter': {'Salary': 2700.0, 'projected_FD_points': 21.373198744056264, 'confidence': -0.04136000804109341, 'FD_Position': 'SS'}, 'Adam Lind_batter': {'Salary': 3100.0, 'projected_FD_points': 65.977569515317427, 'confidence': -2.018369881062533, 'FD_Position': '1B'}, 'Andre Ethier_batter': {'Salary': 2800.0, 'projected_FD_points': 48.475083345736707, 'confidence': -0.15279373506749994, 'FD_Position': 'OF'}, 'Carlos Gomez_batter': {'Salary': 4100.0, 'projected_FD_points': 37.325573583155304, 'confidence': 0.040396224059671026, 'FD_Position': 'OF'}, 'Joc Pederson_batter': {'Salary': 3800.0, 'projected_FD_points': 49.433384514138559, 'confidence': -0.90732594283851742, 'FD_Position': 'OF'}, 'Chris Sale_pitcher': {'Salary': 9800.0, 'projected_FD_points': 12.967790708361314, 'confidence': 0.11372045295252453, 'FD_Position': 'P'}, 'Howie Kendrick_batter': {'Salary': 3000.0, 'projected_FD_points': 51.61111575920161, 'confidence': -0.11572663519394677, 'FD_Position': '2B'}, 'Martin Maldonado_batter': {'Salary': 2200.0, 'projected_FD_points': 46.217240387413995, 'confidence': -0.13148963752370468, 'FD_Position': 'C'}}</t>
  </si>
  <si>
    <t>{'Marcus Semien_batter': {'Salary': 3000.0, 'projected_FD_points': 2.3066384857202937, 'confidence': -0.13254870983165468, 'FD_Position': 'SS'}, 'Kevin Plawecki_batter': {'Salary': 2200.0, 'projected_FD_points': 2.8258657480871898, 'confidence': 0, 'FD_Position': 'C'}, 'Devon Travis_batter': {'Salary': 3700.0, 'projected_FD_points': 4.137395147717724, 'confidence': 0.10872713579232396, 'FD_Position': '2B'}, 'Kyle Blanks_batter': {'Salary': 2900.0, 'projected_FD_points': 4.8483769361633433, 'confidence': -3.0766293672010638, 'FD_Position': 'OF'}, 'Dexter Fowler_batter': {'Salary': 3300.0, 'projected_FD_points': 3.433667571470866, 'confidence': -0.04967574039901268, 'FD_Position': 'OF'}, 'Giancarlo Stanton_batter': {'Salary': 4800.0, 'projected_FD_points': 3.7249955215285206, 'confidence': -0.61642891398713928, 'FD_Position': 'OF'}, 'Matt Garza_pitcher': {'Salary': 7100.0, 'projected_FD_points': 14.108581076945882, 'confidence': -2.7372093017244099, 'FD_Position': 'P'}, 'Jose Abreu_batter': {'Salary': 3600.0, 'projected_FD_points': 3.5548275702765184, 'confidence': -0.048356778595031402, 'FD_Position': '1B'}, 'Matt Carpenter_batter': {'Salary': 4300.0, 'projected_FD_points': 2.8682316463240078, 'confidence': -0.13999381602119398, 'FD_Position': '3B'}}</t>
  </si>
  <si>
    <t>{'Ben Revere_batter': {'Salary': 2400.0, 'projected_FD_points': 2.8958151642674768, 'confidence': -0.83320981478756306, 'FD_Position': 'OF'}, 'Devon Travis_batter': {'Salary': 3500.0, 'projected_FD_points': 6.4986716789694636, 'confidence': -0.61481281457835002, 'FD_Position': '2B'}, 'Anthony Rizzo_batter': {'Salary': 4200.0, 'projected_FD_points': 3.5709463650121531, 'confidence': -0.042694622669757765, 'FD_Position': '1B'}, 'Jhonny Peralta_batter': {'Salary': 2500.0, 'projected_FD_points': 2.1597156560642441, 'confidence': -0.020290808269754823, 'FD_Position': 'SS'}, 'Derek Norris_batter': {'Salary': 3000.0, 'projected_FD_points': 2.6769635802211704, 'confidence': 0.010058588347522268, 'FD_Position': 'C'}, 'Clayton Kershaw_pitcher': {'Salary': 11300.0, 'projected_FD_points': 21.896063934499562, 'confidence': -0.072632569452616202, 'FD_Position': 'P'}, 'Brock Holt_batter': {'Salary': 2200.0, 'projected_FD_points': 2.3165939017628903, 'confidence': -0.33614940803742566, 'FD_Position': '3B'}, 'Odubel Herrera_batter': {'Salary': 3000.0, 'projected_FD_points': 3.7362021917815049, 'confidence': -0.67900480797190887, 'FD_Position': 'OF'}, 'Kyle Blanks_batter': {'Salary': 2900.0, 'projected_FD_points': 3.6641688831007131, 'confidence': -2.1613554376924831, 'FD_Position': 'OF'}}</t>
  </si>
  <si>
    <t>{'Phil Hughes_pitcher': {'Salary': 7400.0, 'projected_FD_points': 11.015999195458475, 'confidence': 0.49969135585948188, 'FD_Position': 'P'}, 'Starlin Castro_batter': {'Salary': 3200.0, 'projected_FD_points': 2.2039108058780736, 'confidence': -0.063717014819725248, 'FD_Position': 'SS'}, 'Anthony Rizzo_batter': {'Salary': 4200.0, 'projected_FD_points': 3.5709463650121531, 'confidence': -0.042694622669757765, 'FD_Position': '1B'}, 'Brian Dozier_batter': {'Salary': 3100.0, 'projected_FD_points': 2.7368362651480593, 'confidence': -0.33452761997611713, 'FD_Position': '2B'}, 'Stephen Vogt_batter': {'Salary': 3000.0, 'projected_FD_points': 2.3194211283892638, 'confidence': 0.023514427157945383, 'FD_Position': 'C'}, 'Mark Canha_batter': {'Salary': 3000.0, 'projected_FD_points': 2.9218886224753917, 'confidence': -1.938206995841314, 'FD_Position': 'OF'}, 'Dexter Fowler_batter': {'Salary': 3300.0, 'projected_FD_points': 3.3352857085512619, 'confidence': -0.021945045912945993, 'FD_Position': 'OF'}, 'Kyle Blanks_batter': {'Salary': 2900.0, 'projected_FD_points': 3.6641688831007131, 'confidence': -2.1613554376924831, 'FD_Position': 'OF'}, 'Matt Carpenter_batter': {'Salary': 4200.0, 'projected_FD_points': 3.0078242339521726, 'confidence': -0.016795469949344444, 'FD_Position': '3B'}}</t>
  </si>
  <si>
    <t>{'Albert Pujols_batter': {'Salary': 3100.0, 'projected_FD_points': 2.6584806766608429, 'confidence': -0.052498655152701579, 'FD_Position': '1B'}, 'Seth Smith_batter': {'Salary': 2200.0, 'projected_FD_points': 1.980394974899057, 'confidence': -0.099283799955326213, 'FD_Position': 'OF'}, 'Erick Aybar_batter': {'Salary': 2300.0, 'projected_FD_points': 1.9032777369999783, 'confidence': -0.038723264307790606, 'FD_Position': 'SS'}, 'Justin Maxwell_batter': {'Salary': 2800.0, 'projected_FD_points': 2.2214187456404835, 'confidence': -4.331364297784698, 'FD_Position': 'OF'}, 'Felix Hernandez_pitcher': {'Salary': 11000.0, 'projected_FD_points': 14.333596582594417, 'confidence': 0.53380659084352511, 'FD_Position': 'P'}, 'Derek Norris_batter': {'Salary': 3000.0, 'projected_FD_points': 2.6769635802211704, 'confidence': 0.010058588347522268, 'FD_Position': 'C'}, 'Johnny Giavotella_batter': {'Salary': 2200.0, 'projected_FD_points': 1.6169687924524285, 'confidence': -0.27980260528652035, 'FD_Position': '2B'}, 'Kyle Seager_batter': {'Salary': 2800.0, 'projected_FD_points': 2.5870741615818735, 'confidence': 0.00079691984660945625, 'FD_Position': '3B'}, 'Nelson Cruz_batter': {'Salary': 5400.0, 'projected_FD_points': 3.1553781447924574, 'confidence': -0.021807685824788425, 'FD_Position': 'OF'}}</t>
  </si>
  <si>
    <t>{'Joe Kelly_pitcher': {'Salary': 6900.0, 'projected_FD_points': 11.340461851233183, 'confidence': -0.27250502892209538, 'FD_Position': 'P'}, 'Mark Teixeira_batter': {'Salary': 3500.0, 'projected_FD_points': 3.377436797231157, 'confidence': 0.18904415229626659, 'FD_Position': '1B'}, 'Chris Owings_batter': {'Salary': 2300.0, 'projected_FD_points': 2.2086190490785826, 'confidence': -0.42392472206056242, 'FD_Position': 'SS'}, 'Alexander Guerrero_batter': {'Salary': 2800.0, 'projected_FD_points': 2.7161730948120688, 'confidence': -0.92689789682697032, 'FD_Position': 'OF'}, 'Howie Kendrick_batter': {'Salary': 3100.0, 'projected_FD_points': 2.0673790780576464, 'confidence': -0.10662021570538016, 'FD_Position': '2B'}, 'Corey Dickerson_batter': {'Salary': 4200.0, 'projected_FD_points': 2.8747983935353618, 'confidence': -0.086219669988450098, 'FD_Position': 'OF'}, 'Michael McKenry_batter': {'Salary': 2200.0, 'projected_FD_points': 2.1673701428806202, 'confidence': -0.010571316027880862, 'FD_Position': 'C'}, 'Mike Trout_batter': {'Salary': 5500.0, 'projected_FD_points': 3.4897871409362446, 'confidence': -0.023710910970768717, 'FD_Position': 'OF'}, 'Nolan Arenado_batter': {'Salary': 3700.0, 'projected_FD_points': 2.5390009136842142, 'confidence': -0.14125333186514788, 'FD_Position': '3B'}}</t>
  </si>
  <si>
    <t>{'Adrian Beltre_batter': {'Salary': 2900.0, 'projected_FD_points': 2.4792407302908255, 'confidence': -0.0073272369250867442, 'FD_Position': '3B'},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'Paulo Orlando_batter': {'Salary': 3000.0, 'projected_FD_points': 6.1481821241220516, 'confidence': 0.0,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'Victor Martinez_batter': {'Salary': 3400.0, 'projected_FD_points': 3.0459372347977527, 'confidence': -0.25521138775670549, 'FD_Position': 'C'}, 'Addison Russell_batter': {'Salary': 2900.0, 'projected_FD_points': 32.647969246870367, 'confidence': 0, 'FD_Position': '2B'}}</t>
  </si>
  <si>
    <t>{'Russell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'Pablo Sandoval_batter': {'Salary': 3200.0, 'projected_FD_points': 2.5288782712953068, 'confidence': -0.34322835159632659, 'FD_Position': '3B'}, 'Jorge Soler_batter': {'Salary': 3100.0, 'projected_FD_points': 3.419579898125408, 'confidence': -0.25444198439554566,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'Addison Russell_batter': {'Salary': 2900.0, 'projected_FD_points': 32.647969246870367, 'confidence': 0, 'FD_Position': '2B'}}</t>
  </si>
  <si>
    <t>{'Adrian Beltre_batter': {'Salary': 2900.0, 'projected_FD_points': 2.4792407302908255, 'confidence': -0.0073272369250867442, 'FD_Position': '3B'}, 'Jimmy Paredes_batter': {'Salary': 3200.0, 'projected_FD_points': 3.3587330211503525, 'confidence': 0.51787849794601892, 'FD_Position': '2B'}, 'Paulo Orlando_batter': {'Salary': 3000.0, 'projected_FD_points': 6.1481821241220516, 'confidence': 0.0, 'FD_Position': 'OF'}, 'Freddie Freeman_batter': {'Salary': 3500.0, 'projected_FD_points': 2.8287584418111962, 'confidence': 0.017723270249437206, 'FD_Position': '1B'}, 'Troy Tulowitzki_batter': {'Salary': 4300.0, 'projected_FD_points': 3.2848873895060979, 'confidence': -0.036411298374873224, 'FD_Position': 'SS'}, 'Justin Upton_batter': {'Salary': 3700.0, 'projected_FD_points': 2.8854959211077853, 'confidence': -0.29211368761313716, 'FD_Position': 'OF'}, 'Victor Martinez_batter': {'Salary': 3400.0, 'projected_FD_points': 3.0459372347977527, 'confidence': -0.25521138775670549, 'FD_Position': 'C'}, 'Michael Taylor_batter': {'Salary': 2400.0, 'projected_FD_points': 2.6456479182209205, 'confidence': -0.013635004852677657, 'FD_Position': 'OF'}, 'Collin McHugh_pitcher': {'Salary': 8400.0, 'projected_FD_points': 14.001623916028777, 'confidence': -0.87477823960818335, 'FD_Position': 'P'}}</t>
  </si>
  <si>
    <t>{'Michael Brantley_batter': {'Salary': 3600.0, 'projected_FD_points': 3.2771011601636069, 'confidence': 0.049691297405591861, 'FD_Position': 'OF'}, 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'Corey Kluber_pitcher': {'Salary': 9500.0, 'projected_FD_points': 13.782836174872765, 'confidence': -1.4936765916503685, 'FD_Position': 'P'}, 'Erick Aybar_batter': {'Salary': 2500.0, 'projected_FD_points': 1.9470059736607097, 'confidence': -0.048501081845242933, 'FD_Position': 'SS'}, 'Devon Travis_batter': {'Salary': 3400.0, 'projected_FD_points': 3.8590172796255442, 'confidence': -0.2581761948773984, 'FD_Position': '2B'}, 'Josh Donaldson_batter': {'Salary': 3900.0, 'projected_FD_points': 2.9777791402446159, 'confidence': 0.049535676547574514, 'FD_Position': '3B'}, 'Ben Revere_batter': {'Salary': 2500.0, 'projected_FD_points': 2.7113980591718274, 'confidence': -0.071420599793507122, 'FD_Position': 'OF'}, 'Carlos Santana_batter': {'Salary': 3300.0, 'projected_FD_points': 2.6093716929714321, 'confidence': -0.00036362676852141895, 'FD_Position': '1B'}}</t>
  </si>
  <si>
    <t>{'Jimmy Paredes_batter': {'Salary': 3200.0, 'projected_FD_points': 4.5152450985583616, 'confidence': -4.9100671432175282, 'FD_Position': '2B'}, 'Odubel Herrera_batter': {'Salary': 3000.0, 'projected_FD_points': 5.1744749438621103, 'confidence': -2.3301507881359007, 'FD_Position': 'OF'}, 'Mark Teixeira_batter': {'Salary': 3500.0, 'projected_FD_points': 4.2380997837436212, 'confidence': -0.0015540391590276315, 'FD_Position': '1B'}, 'Ian Kennedy_pitcher': {'Salary': 7300.0, 'projected_FD_points': 13.626339944395156, 'confidence': -1.4331287405022444, 'FD_Position': 'P'}, 'Manny Machado_batter': {'Salary': 3600.0, 'projected_FD_points': 2.831870136169361, 'confidence': -0.16196237665966295, 'FD_Position': '3B'}, 'Kevin Plawecki_batter': {'Salary': 2200.0, 'projected_FD_points': 10.410650281618018, 'confidence': 0, 'FD_Position': 'C'}, 'Troy Tulowitzki_batter': {'Salary': 4300.0, 'projected_FD_points': 3.1421417355462018, 'confidence': -0.26082977571269783, 'FD_Position': 'SS'}, 'J.D. Martinez_batter': {'Salary': 3500.0, 'projected_FD_points': 3.2132700361910573, 'confidence': -0.10999322733429495, 'FD_Position': 'OF'}, 'Hanley Ramirez_batter': {'Salary': 4400.0, 'projected_FD_points': 3.1569729236769914, 'confidence': -0.13488636146458877, 'FD_Position': 'OF'}}</t>
  </si>
  <si>
    <t>{'Brian Dozier_batter': {'Salary': 2900.0, 'projected_FD_points': 2.9523991969400436, 'confidence': -0.1633121674054927, 'FD_Position': '2B'}, 'J.D. Martinez_batter': {'Salary': 3500.0, 'projected_FD_points': 3.2132700361910573, 'confidence': -0.10999322733429495, 'FD_Position': 'OF'}, 'Alex Gordon_batter': {'Salary': 3200.0, 'projected_FD_points': 2.5932821720624686, 'confidence': -0.00065040702160579222, 'FD_Position': 'OF'}, 'Daniel Santana_batter': {'Salary': 2800.0, 'projected_FD_points': 2.4918764211624609, 'confidence': -0.20193104281926577, 'FD_Position': 'SS'}, 'Victor Martinez_batter': {'Salary': 3400.0, 'projected_FD_points': 2.8590498285913362, 'confidence': 0.077295719525390716, 'FD_Position': 'C'}, 'Kyle Seager_batter': {'Salary': 3000.0, 'projected_FD_points': 2.539279300868869, 'confidence': -0.011764720734166012, 'FD_Position': '3B'}, 'Lance Lynn_pitcher': {'Salary': 8100.0, 'projected_FD_points': 11.788631766226109, 'confidence': 0.057232442193369537, 'FD_Position': 'P'}, 'Jose Abreu_batter': {'Salary': 4000.0, 'projected_FD_points': 3.5140709637317804, 'confidence': -0.075586795543060026, 'FD_Position': '1B'}, 'Andrew McCutchen_batter': {'Salary': 4100.0, 'projected_FD_points': 3.1115053116718929, 'confidence': -0.10233156028850865, 'FD_Position': 'OF'}}</t>
  </si>
  <si>
    <t>{'Kris Bryant_batter': {'Salary': 3800.0, 'projected_FD_points': 3.2491675640222222, 'confidence': 0, 'FD_Position': '3B'}, 'Odubel Herrera_batter': {'Salary': 3000.0, 'projected_FD_points': 2.8469655957887605, 'confidence': 0.50618473494503446, 'FD_Position': 'OF'}, 'Carlos Corporan_batter': {'Salary': 2200.0, 'projected_FD_points': 1.8363282573684481, 'confidence': -0.60153767554697546, 'FD_Position': 'C'}, 'Freddie Freeman_batter': {'Salary': 3200.0, 'projected_FD_points': 2.9238822379424922, 'confidence': -0.041313351670028364, 'FD_Position': '1B'}, 'Felix Hernandez_pitcher': {'Salary': 11100.0, 'projected_FD_points': 16.195753630335311, 'confidence': 0.7137459069623292, 'FD_Position': 'P'}, 'Denard Span_batter': {'Salary': 2600.0, 'projected_FD_points': 2.4154852456765492, 'confidence': -0.016059478990943399, 'FD_Position': 'OF'}, 'Dexter Fowler_batter': {'Salary': 3400.0, 'projected_FD_points': 3.4960963352917682, 'confidence': -0.17875551795577915, 'FD_Position': 'OF'}, 'Chase Utley_batter': {'Salary': 2500.0, 'projected_FD_points': 2.2505381760416752, 'confidence': 0.010491952694154927, 'FD_Position': '2B'}, 'Ian Desmond_batter': {'Salary': 3200.0, 'projected_FD_points': 2.5875568492043595, 'confidence': -1.0671421835318289, 'FD_Position': 'SS'}}</t>
  </si>
  <si>
    <t>{'Michael Brantley_batter': {'Salary': 3600.0, 'projected_FD_points': 3.1679187704368523, 'confidence': -0.048595511718002582, 'FD_Position': 'OF'}, 'Jose Bautista_batter': {'Salary': 4800.0, 'projected_FD_points': 3.3663309760962008, 'confidence': -0.12347963008761798, 'FD_Position': 'OF'}, 'Josh Donaldson_batter': {'Salary': 4000.0, 'projected_FD_points': 3.1764203229350874, 'confidence': -0.36592562060278655, 'FD_Position': '3B'}, 'Kendrys Morales_batter': {'Salary': 2200.0, 'projected_FD_points': 2.9256032600647535, 'confidence': -0.87571768920580095, 'FD_Position': '1B'}, 'Xander Bogaerts_batter': {'Salary': 3000.0, 'projected_FD_points': 2.2863714778338942, 'confidence': -0.040287319326794524, 'FD_Position': 'SS'}, 'Yordano Ventura_pitcher': {'Salary': 8000.0, 'projected_FD_points': 11.223470802559124, 'confidence': -0.25919958140117805, 'FD_Position': 'P'}, 'Devon Travis_batter': {'Salary': 3400.0, 'projected_FD_points': 4.9437826395966589, 'confidence': -2.8703489593508307, 'FD_Position': '2B'}, 'Ryan Hanigan_batter': {'Salary': 2200.0, 'projected_FD_points': 2.4454593202627573, 'confidence': -0.96926750215937996, 'FD_Position': 'C'}, 'Justin Upton_batter': {'Salary': 3700.0, 'projected_FD_points': 2.9709050150319509, 'confidence': -0.026989347092877258, 'FD_Position': 'OF'}}</t>
  </si>
  <si>
    <t>{'Kris Bryant_batter': {'Salary': 3500.0, 'projected_FD_points': 4.1245120717260972, 'confidence': 0, 'FD_Position': '3B'}, 'A.J. Pollock_batter': {'Salary': 3100.0, 'projected_FD_points': 3.3814477441055821, 'confidence': 0.015857347295744395, 'FD_Position': 'OF'}, 'Johnny Cueto_pitcher': {'Salary': 10400.0, 'projected_FD_points': 17.741279171058441, 'confidence': -2.0957440135867564, 'FD_Position': 'P'}, 'Stephen Vogt_batter': {'Salary': 3100.0, 'projected_FD_points': 3.0905992884942046, 'confidence': -1.4996335857136716, 'FD_Position': 'C'}, 'Prince Fielder_batter': {'Salary': 3300.0, 'projected_FD_points': 3.4162860136556397, 'confidence': -0.26939402388798017, 'FD_Position': '1B'}, 'Delino Deshields Jr._batter': {'Salary': 2200.0, 'projected_FD_points': 2.5579228313987059, 'confidence': 0, 'FD_Position': 'OF'}, 'Rougned Odor_batter': {'Salary': 2300.0, 'projected_FD_points': 3.0774644271622509, 'confidence': -0.058005571906991404, 'FD_Position': '2B'}, 'Troy Tulowitzki_batter': {'Salary': 4300.0, 'projected_FD_points': 3.4057374751850782, 'confidence': -0.02320630945964175, 'FD_Position': 'SS'}, 'Jayson Werth_batter': {'Salary': 2700.0, 'projected_FD_points': 2.5425135039659237, 'confidence': -0.22523300044767414, 'FD_Position': 'OF'}}</t>
  </si>
  <si>
    <t>{'Michael Brantley_batter': {'Salary': 3700.0, 'projected_FD_points': 3.0436699953368436, 'confidence': 0.039616982261028943, 'FD_Position': 'OF'}, 'Johnny Cueto_pitcher': {'Salary': 10400.0, 'projected_FD_points': 17.741279171058441, 'confidence': -2.0957440135867564, 'FD_Position': 'P'}, 'Asdrubal Cabrera_batter': {'Salary': 2200.0, 'projected_FD_points': 1.8678640132677287, 'confidence': 0.0057172782978044401, 'FD_Position': 'SS'}, 'Joey Votto_batter': {'Salary': 4100.0, 'projected_FD_points': 3.6357765378358344, 'confidence': -0.62707540463627542, 'FD_Position': '1B'}, 'Brock Holt_batter': {'Salary': 2500.0, 'projected_FD_points': 2.3253507615923783, 'confidence': 0.0063430168754474714, 'FD_Position': '3B'}, 'Ryan Hanigan_batter': {'Salary': 2200.0, 'projected_FD_points': 2.324754325424693, 'confidence': -0.22423318659303471, 'FD_Position': 'C'}, 'Omar Infante_batter': {'Salary': 2200.0, 'projected_FD_points': 2.0715917770870336, 'confidence': -0.022913397227844357, 'FD_Position': '2B'}, 'Jayson Werth_batter': {'Salary': 2700.0, 'projected_FD_points': 2.5425135039659237, 'confidence': -0.22523300044767414, 'FD_Position': 'OF'}, 'Giancarlo Stanton_batter': {'Salary': 4900.0, 'projected_FD_points': 3.6459028091500065, 'confidence': -0.1648389044258507, 'FD_Position': 'OF'}}</t>
  </si>
  <si>
    <t>{'Mark Teixeira_batter': {'Salary': 4000.0, 'projected_FD_points': 3.6798308995051112, 'confidence': -0.46314904430418902, 'FD_Position': '1B'},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'Dexter Fowler_batter': {'Salary': 3400.0, 'projected_FD_points': 3.0868524839512639, 'confidence': -0.63879019399758885, 'FD_Position': 'OF'}, 'Ryan Hanigan_batter': {'Salary': 2200.0, 'projected_FD_points': 2.4591263021356284, 'confidence': -0.024038443238858287,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</si>
  <si>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{'Mark Teixeira_batter': {'Salary': 4000.0, 'projected_FD_points': 3.6798308995051112, 'confidence': -0.46314904430418902, 'FD_Position': '1B'},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'Rougned Odor_batter': {'Salary': 2300.0, 'projected_FD_points': 2.9380561127574456, 'confidence': -0.20470603408397059, 'FD_Position': '2B'}, 'Dexter Fowler_batter': {'Salary': 3400.0, 'projected_FD_points': 3.0868524839512639, 'confidence': -0.63879019399758885, 'FD_Position': 'OF'}, 'Nelson Cruz_batter': {'Salary': 5000.0, 'projected_FD_points': 3.4188212165626095, 'confidence': -0.099969980632484301, 'FD_Position': 'OF'}, 'Victor Martinez_batter': {'Salary': 3400.0, 'projected_FD_points': 2.8317897289684799, 'confidence': -0.12782521995562335,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</si>
  <si>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{'Russell Martin_batter': {'Salary': 3200.0, 'projected_FD_points': 2.6511189213624182, 'confidence': -0.11410469719246263, 'FD_Position': 'C'}, 'Alex Rodriguez_batter': {'Salary': 3200.0, 'projected_FD_points': 3.5912265200808706, 'confidence': -0.084580056798641001, 'FD_Position': '3B'},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'Mark Teixeira_batter': {'Salary': 4000.0, 'projected_FD_points': 3.6798308995051112, 'confidence': -0.46314904430418902, 'FD_Position': '1B'}, 'Giancarlo Stanton_batter': {'Salary': 4800.0, 'projected_FD_points': 3.3965043171096259, 'confidence': -0.029376744498900154, 'FD_Position': 'OF'}, 'Michael Cuddyer_batter': {'Salary': 2800.0, 'projected_FD_points': 3.165316187342476, 'confidence': -0.44860007661848211, 'FD_Position': 'OF'}, 'Dillon Gee_pitcher': {'Salary': 6200.0, 'projected_FD_points': 9.7426309841559764, 'confidence': 0.07959289814877557, 'FD_Position': 'P'}}</t>
  </si>
  <si>
    <t>{'Jimmy Paredes_batter': {'Salary': 2700.0, 'projected_FD_points': 3.0833180354511707, 'confidence': 0.25130477722536559, 'FD_Position': '2B'}, 'Ian Desmond_batter': {'Salary': 3500.0, 'projected_FD_points': 2.7572552694877381, 'confidence': -0.13072181286956819, 'FD_Position': 'SS'}, 'Russell Martin_batter': {'Salary': 3100.0, 'projected_FD_points': 2.7096295040960872, 'confidence': -0.028020517350131557, 'FD_Position': 'C'}, 'Paulo Orlando_batter': {'Salary': 3000.0, 'projected_FD_points': 13.139040067495731, 'confidence': 0, 'FD_Position': 'OF'}, 'Michael Saunders_batter': {'Salary': 2700.0, 'projected_FD_points': 3.3612701738206581, 'confidence': -0.17732421181589686, 'FD_Position': 'OF'}, 'Jake Arrieta_pitcher': {'Salary': 9600.0, 'projected_FD_points': 14.594220093204211, 'confidence': -0.24500516203312328, 'FD_Position': 'P'}, 'Kyle Seager_batter': {'Salary': 3400.0, 'projected_FD_points': 3.0480664432895628, 'confidence': -0.10864825112484189, 'FD_Position': '3B'}, 'Jose Abreu_batter': {'Salary': 4100.0, 'projected_FD_points': 3.4380318227880418, 'confidence': -0.22327917695426036, 'FD_Position': '1B'}, 'Jayson Werth_batter': {'Salary': 2800.0, 'projected_FD_points': 3.6929605103480263, 'confidence': -0.19474028382574615, 'FD_Position': 'OF'}}</t>
  </si>
  <si>
    <t>{'Mark Teixeira_batter': {'Salary': 3800.0, 'projected_FD_points': 3.3870900269662161, 'confidence': 0.13327335990414202, 'FD_Position': '1B'}, 'Chris Owings_batter': {'Salary': 2400.0, 'projected_FD_points': 2.2147428072660267, 'confidence': -0.064621453010246466, 'FD_Position': 'SS'}, 'Brian Dozier_batter': {'Salary': 2700.0, 'projected_FD_points': 2.6604523499449839, 'confidence': -0.030873684679637137, 'FD_Position': '2B'}, 'Francisco Liriano_pitcher': {'Salary': 8000.0, 'projected_FD_points': 12.415130100975549, 'confidence': -0.15739723278589968, 'FD_Position': 'P'}, 'A.J. Pollock_batter': {'Salary': 3100.0, 'projected_FD_points': 3.007651476798459, 'confidence': -1.7474219047543231, 'FD_Position': 'OF'}, 'Kyle Seager_batter': {'Salary': 3400.0, 'projected_FD_points': 3.0480664432895628, 'confidence': -0.10864825112484189, 'FD_Position': '3B'}, 'Nelson Cruz_batter': {'Salary': 5000.0, 'projected_FD_points': 3.3555137150994314, 'confidence': -0.047753951883687584, 'FD_Position': 'OF'}, 'Jason Castro_batter': {'Salary': 2200.0, 'projected_FD_points': 2.0425187243658152, 'confidence': -0.068243073732589865, 'FD_Position': 'C'}, 'Andrew McCutchen_batter': {'Salary': 4000.0, 'projected_FD_points': 3.2568312353491899, 'confidence': -0.092976377607704164, 'FD_Position': 'OF'}}</t>
  </si>
  <si>
    <t>{'Adam Wainwright_pitcher': {'Salary': 9600.0, 'projected_FD_points': 16.450107786932339, 'confidence': -1.2873461084982121, 'FD_Position': 'P'}, 'Jimmy Paredes_batter': {'Salary': 2600.0, 'projected_FD_points': 2.7434708862902641, 'confidence': 0.07861035067923372, 'FD_Position': '2B'}, 'Shin-Soo Choo_batter': {'Salary': 2400.0, 'projected_FD_points': 2.2914802810394255, 'confidence': -0.056129442258315621, 'FD_Position': 'OF'}, 'Corey Dickerson_batter': {'Salary': 4800.0, 'projected_FD_points': 3.7405994832255156, 'confidence': -0.11366559313730829, 'FD_Position': 'OF'}, 'Freddie Freeman_batter': {'Salary': 3300.0, 'projected_FD_points': 3.1539954918655386, 'confidence': 0.040146550093055011, 'FD_Position': '1B'}, 'Jhonny Peralta_batter': {'Salary': 2500.0, 'projected_FD_points': 2.3280471705412356, 'confidence': -0.021358676229950913, 'FD_Position': 'SS'}, 'Ryan Hanigan_batter': {'Salary': 2200.0, 'projected_FD_points': 3.1558773905718329, 'confidence': -0.21581302972139471, 'FD_Position': 'C'}, 'Kyle Seager_batter': {'Salary': 3400.0, 'projected_FD_points': 3.2413014497011003, 'confidence': -0.067316961910972362, 'FD_Position': '3B'}, 'Andrew McCutchen_batter': {'Salary': 4100.0, 'projected_FD_points': 3.3200827675699891, 'confidence': -0.14088375654443608, 'FD_Position': 'OF'}}</t>
  </si>
  <si>
    <t>{'Russell Martin_batter': {'Salary': 3100.0, 'projected_FD_points': 2.4661815122577679, 'confidence': -0.035193158287068149, 'FD_Position': 'C'}, 'Mark Teixeira_batter': {'Salary': 3600.0, 'projected_FD_points': 3.2919497040976395, 'confidence': 0.10953243954576874, 'FD_Position': '1B'}, 'Dee Gordon_batter': {'Salary': 3500.0, 'projected_FD_points': 2.4542314577550384, 'confidence': -0.085870925279102339, 'FD_Position': '2B'}, 'Jayson Werth_batter': {'Salary': 2900.0, 'projected_FD_points': 3.2000342627416964, 'confidence': -0.18417695140168, 'FD_Position': 'OF'}, 'Josh Donaldson_batter': {'Salary': 4200.0, 'projected_FD_points': 3.0520953540249098, 'confidence': -0.10592592465723616, 'FD_Position': '3B'}, 'Michael Saunders_batter': {'Salary': 2700.0, 'projected_FD_points': 2.6943330209728167, 'confidence': -0.17425114849145462, 'FD_Position': 'OF'}, 'Stephen Strasburg_pitcher': {'Salary': 9600.0, 'projected_FD_points': 12.246412035808675, 'confidence': -0.18330700950255729, 'FD_Position': 'P'}, 'Michael Cuddyer_batter': {'Salary': 3000.0, 'projected_FD_points': 2.6833090404505211, 'confidence': 0.029833773621576465, 'FD_Position': 'OF'}, 'Asdrubal Cabrera_batter': {'Salary': 2200.0, 'projected_FD_points': 2.207089349561095, 'confidence': -0.0024781578797132831, 'FD_Position': 'SS'}}</t>
  </si>
  <si>
    <t>{'Kris Bryant_batter': {'Salary': 3900.0, 'projected_FD_points': 5.0, 'confidence': 0, 'FD_Position': '3B'}, 'Mark Teixeira_batter': {'Salary': 4000.0, 'projected_FD_points': 3.7963979244359671, 'confidence': 0.22143100500787916, 'FD_Position': '1B'}, 'Devon Travis_batter': {'Salary': 3100.0, 'projected_FD_points': 7.791736556986967, 'confidence': -0.44833120656726155, 'FD_Position': '2B'}, 'Wilmer Flores_batter': {'Salary': 2900.0, 'projected_FD_points': 3.486686918008997, 'confidence': -0.52098643219134577, 'FD_Position': 'SS'}, 'Paulo Orlando_batter': {'Salary': 3000.0, 'projected_FD_points': 3.7372217933982221, 'confidence': 0, 'FD_Position': 'OF'}, 'Matt Garza_pitcher': {'Salary': 7300.0, 'projected_FD_points': 14.503258138975475, 'confidence': -1.2048333002419067, 'FD_Position': 'P'}, 'Corey Dickerson_batter': {'Salary': 4900.0, 'projected_FD_points': 3.9502484964809597, 'confidence': -0.087691066609522306, 'FD_Position': 'OF'}, 'A.J. Pollock_batter': {'Salary': 3500.0, 'projected_FD_points': 3.1830300662450859, 'confidence': 0.040838353340391209, 'FD_Position': 'OF'}, 'Martin Maldonado_batter': {'Salary': 2300.0, 'projected_FD_points': 3.0531829915648001, 'confidence': -1.1926647292371961, 'FD_Position': 'C'}}</t>
  </si>
  <si>
    <t>{'Albert Pujols_batter': {'Salary': 3500.0, 'projected_FD_points': 2.7297368456006739, 'confidence': -0.13173399955046095, 'FD_Position': '1B'}, 'Gerrit Cole_pitcher': {'Salary': 8700.0, 'projected_FD_points': 12.865921961542993, 'confidence': -0.87377063363798069, 'FD_Position': 'P'}, 'Seth Smith_batter': {'Salary': 2300.0, 'projected_FD_points': 2.5163148227370131, 'confidence': -1.9171345249266776, 'FD_Position': 'OF'}, 'Rougned Odor_batter': {'Salary': 2700.0, 'projected_FD_points': 2.3443122847391278, 'confidence': -0.072232623117865602, 'FD_Position': '2B'}, 'Marcus Semien_batter': {'Salary': 3000.0, 'projected_FD_points': 2.5494670930352976, 'confidence': -0.034860799463561687, 'FD_Position': 'SS'}, 'Derek Norris_batter': {'Salary': 3300.0, 'projected_FD_points': 2.268950449273571, 'confidence': 0.059753118617463907, 'FD_Position': 'C'}, 'A.J. Pollock_batter': {'Salary': 3500.0, 'projected_FD_points': 3.1830300662450859, 'confidence': 0.040838353340391209, 'FD_Position': 'OF'}, 'Kyle Seager_batter': {'Salary': 3700.0, 'projected_FD_points': 3.4184615392588897, 'confidence': -0.34013510002195813, 'FD_Position': '3B'}, 'Andrew McCutchen_batter': {'Salary': 4300.0, 'projected_FD_points': 3.3971327827918714, 'confidence': 0.021381590346930435, 'FD_Position': 'OF'}}</t>
  </si>
  <si>
    <t>{'Corey Dickerson_batter': {'Salary': 4900.0, 'projected_FD_points': 3.9502484964809597, 'confidence': -0.087691066609522306, 'FD_Position': 'OF'}, 'Melky Cabrera_batter': {'Salary': 2700.0, 'projected_FD_points': 2.5062705665286056, 'confidence': -0.034665498276338136, 'FD_Position': 'OF'}, 'Paulo Orlando_batter': {'Salary': 3000.0, 'projected_FD_points': 3.7372217933982221, 'confidence': 0, 'FD_Position': 'OF'}, 'Matt Garza_pitcher': {'Salary': 7300.0, 'projected_FD_points': 14.503258138975475, 'confidence': -1.2048333002419067, 'FD_Position': 'P'}, 'Martin Maldonado_batter': {'Salary': 2300.0, 'projected_FD_points': 3.0531829915648001, 'confidence': -1.1926647292371961, 'FD_Position': 'C'}, 'Jose Abreu_batter': {'Salary': 4400.0, 'projected_FD_points': 3.6611144768711541, 'confidence': 0.0041811194322580736, 'FD_Position': '1B'}, 'Nolan Arenado_batter': {'Salary': 4700.0, 'projected_FD_points': 3.2930230326841663, 'confidence': -0.064314397929931877, 'FD_Position': '3B'}, 'Alexei Ramirez_batter': {'Salary': 3000.0, 'projected_FD_points': 2.3720766554718806, 'confidence': -0.029518056242376245, 'FD_Position': 'SS'}, 'Omar Infante_batter': {'Salary': 2200.0, 'projected_FD_points': 2.024833011079556, 'confidence': -0.46509015960028299, 'FD_Position': '2B'}}</t>
  </si>
  <si>
    <t>{'Wil Nieves_batter': {'Salary': 2200.0, 'projected_FD_points': 2.0658985301851374, 'confidence': -2.4752483368943485, 'FD_Position': 'C'}, 'Yangervis Solarte_batter': {'Salary': 2700.0, 'projected_FD_points': 1.9395486299880187, 'confidence': -0.041343138068114849, 'FD_Position': '3B'}, 'Joe Panik_batter': {'Salary': 2500.0, 'projected_FD_points': 1.4272993682964772, 'confidence': -0.10433296584024476, 'FD_Position': '2B'}, 'Max Scherzer_pitcher': {'Salary': 11000.0, 'projected_FD_points': 14.66334858827306, 'confidence': 0.1646574637383954, 'FD_Position': 'P'}, 'Corey Dickerson_batter': {'Salary': 4600.0, 'projected_FD_points': 3.2027329967700831, 'confidence': -0.12704443946042621, 'FD_Position': 'OF'}, 'Matt Holliday_batter': {'Salary': 3600.0, 'projected_FD_points': 2.4643187813767291, 'confidence': -0.015724761904073237, 'FD_Position': 'OF'}, 'Jhonny Peralta_batter': {'Salary': 2800.0, 'projected_FD_points': 2.2580184279521434, 'confidence': -0.12138721156094201, 'FD_Position': 'SS'}, 'Matt Adams_batter': {'Salary': 3000.0, 'projected_FD_points': 1.9049801411142564, 'confidence': -0.084308340354356304, 'FD_Position': '1B'}, 'Jon Jay_batter': {'Salary': 2300.0, 'projected_FD_points': 1.6627177405520619, 'confidence': 0.0020816520219099077, 'FD_Position': 'OF'}}</t>
  </si>
  <si>
    <t>{'Jimmy Paredes_batter': {'Salary': 2700.0, 'projected_FD_points': 4.1002898775028118, 'confidence': -0.68392562997819883, 'FD_Position': '2B'}, 'Chris Tillman_pitcher': {'Salary': 7600.0, 'projected_FD_points': 14.482163031835524, 'confidence': -0.87385987490727235, 'FD_Position': 'P'}, 'Russell Martin_batter': {'Salary': 3300.0, 'projected_FD_points': 2.2356103033372583, 'confidence': -0.2344814164135669, 'FD_Position': 'C'}, 'Paulo Orlando_batter': {'Salary': 3000.0, 'projected_FD_points': 4.4958719673867442, 'confidence': 0, 'FD_Position': 'OF'}, 'Evan Longoria_batter': {'Salary': 3300.0, 'projected_FD_points': 2.3578619880293692, 'confidence': -0.03014941484509337, 'FD_Position': '3B'}, 'Adam Jones_batter': {'Salary': 4900.0, 'projected_FD_points': 3.4546877634381188, 'confidence': -0.091425446873563354, 'FD_Position': 'OF'}, 'Jose Abreu_batter': {'Salary': 4400.0, 'projected_FD_points': 4.4188093811885283, 'confidence': -0.35238074000107256, 'FD_Position': '1B'}, 'Kevin Pillar_batter': {'Salary': 2500.0, 'projected_FD_points': 2.9798396545968195, 'confidence': -1.4076318998578863, 'FD_Position': 'OF'}, 'Alexei Ramirez_batter': {'Salary': 3000.0, 'projected_FD_points': 2.6349823589414241, 'confidence': -0.11840523186206076, 'FD_Position': 'SS'}}</t>
  </si>
  <si>
    <t>{'Mark Teixeira_batter': {'Salary': 3700.0, 'projected_FD_points': 4.2533357326422756, 'confidence': 0.05835878825090568, 'FD_Position': '1B'}, 'Chris Young_batter': {'Salary': 2900.0, 'projected_FD_points': 3.253724763541666, 'confidence': -0.041964840158907224,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'Martin Maldonado_batter': {'Salary': 2200.0, 'projected_FD_points': 2.0907624561433105, 'confidence': -0.012120613543403103, 'FD_Position': 'C'}, 'Dalton Pompey_batter': {'Salary': 3100.0, 'projected_FD_points': 2.97242489992778, 'confidence': 0.029704987826173035, 'FD_Position': 'OF'}, 'Alexei Ramirez_batter': {'Salary': 3000.0, 'projected_FD_points': 2.7611744868957002, 'confidence': -0.19180829000677391, 'FD_Position': 'SS'}}</t>
  </si>
  <si>
    <t>{'Kris Bryant_batter': {'Salary': 4000.0, 'projected_FD_points': 3.5898917513357023, 'confidence': 0.029677399843371699, 'FD_Position': '3B'}, 'Dexter Fowler_batter': {'Salary': 3400.0, 'projected_FD_points': 3.5233703664062332, 'confidence': -0.019031886679304, 'FD_Position': 'OF'}, 'Johnny Cueto_pitcher': {'Salary': 10200.0, 'projected_FD_points': 17.554544311839013, 'confidence': -3.8274293374283328, 'FD_Position': 'P'}, 'Robinson Cano_batter': {'Salary': 3000.0, 'projected_FD_points': 2.7959896783465821, 'confidence': -0.017996529806433292, 'FD_Position': '2B'}, 'J.J. Hardy_batter': {'Salary': 2400.0, 'projected_FD_points': 2.107884162031751, 'confidence': -0.057923752463810319, 'FD_Position': 'SS'}, 'Brian McCann_batter': {'Salary': 2800.0, 'projected_FD_points': 2.4780072960084101, 'confidence': -0.048392192073120288, 'FD_Position': 'C'}, 'Preston Tucker_batter': {'Salary': 3000.0, 'projected_FD_points': 3.5399372610528381, 'confidence': 0, 'FD_Position': 'OF'}, 'Michael Cuddyer_batter': {'Salary': 2500.0, 'projected_FD_points': 2.7885993946221204, 'confidence': -0.50738723784758366, 'FD_Position': 'OF'}, 'Jose Abreu_batter': {'Salary': 3700.0, 'projected_FD_points': 3.8266727952733675, 'confidence': 0.052103744040633782, 'FD_Position': '1B'}}</t>
  </si>
  <si>
    <t>{'Mark Teixeira_batter': {'Salary': 3700.0, 'projected_FD_points': 4.2533357326422756, 'confidence': 0.05835878825090568, 'FD_Position': '1B'}, 'Chris Owings_batter': {'Salary': 2500.0, 'projected_FD_points': 2.1543804801882138, 'confidence': 0.18406001563931806, 'FD_Position': 'SS'}, 'A.J. Pollock_batter': {'Salary': 3500.0, 'projected_FD_points': 3.3266591222408617, 'confidence': -1.8173582345614081,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'Chris Young_batter': {'Salary': 2900.0, 'projected_FD_points': 3.253724763541666, 'confidence': -0.041964840158907224, 'FD_Position': 'OF'}, 'Martin Maldonado_batter': {'Salary': 2200.0, 'projected_FD_points': 2.0907624561433105, 'confidence': -0.012120613543403103, 'FD_Position': 'C'}}</t>
  </si>
  <si>
    <t>{'Brian Dozier_batter': {'Salary': 3800.0, 'projected_FD_points': 3.1016476975311575, 'confidence': -0.032217845129938416, 'FD_Position': '2B'}, 'Brandon Moss_batter': {'Salary': 3300.0, 'projected_FD_points': 3.248483793834207, 'confidence': -0.12967347283197528, 'FD_Position': 'OF'}, 'Jose Abreu_batter': {'Salary': 3600.0, 'projected_FD_points': 3.7605213001254834, 'confidence': 0.029331859660047255, 'FD_Position': '1B'}, 'Mike Pelfrey_pitcher': {'Salary': 6600.0, 'projected_FD_points': 13.996808055953288, 'confidence': 0, 'FD_Position': 'P'}, 'Josh Phegley_batter': {'Salary': 2400.0, 'projected_FD_points': 2.6645668033540693, 'confidence': 0.52267260002347626, 'FD_Position': 'C'},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'Nolan Arenado_batter': {'Salary': 4000.0, 'projected_FD_points': 3.0817540255729119, 'confidence': -0.11307654125593758, 'FD_Position': '3B'}, 'Ian Desmond_batter': {'Salary': 2800.0, 'projected_FD_points': 2.3391697458576513, 'confidence': 0.0041855089780117316, 'FD_Position': 'SS'}}</t>
  </si>
  <si>
    <t>{'Chris Owings_batter': {'Salary': 2500.0, 'projected_FD_points': 2.1543804801882138, 'confidence': 0.18406001563931806, 'FD_Position': 'SS'}, 'Seth Smith_batter': {'Salary': 2400.0, 'projected_FD_points': 2.1897231465830838, 'confidence': -0.048238744728184679, 'FD_Position': 'OF'}, 'Rougned Odor_batter': {'Salary': 2800.0, 'projected_FD_points': 2.2576310425219481, 'confidence': 0.029117138946772592, 'FD_Position': '2B'}, 'Jake Smolinski_batter': {'Salary': 2900.0, 'projected_FD_points': 2.4524192654621335, 'confidence': 0.14702441579940773,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'Prince Fielder_batter': {'Salary': 3600.0, 'projected_FD_points': 2.9195400666767437, 'confidence': -0.15629299304487909, 'FD_Position': '1B'}, 'A.J. Pollock_batter': {'Salary': 3500.0, 'projected_FD_points': 3.3266591222408617, 'confidence': -1.8173582345614081, 'FD_Position': 'OF'}, 'Jason Castro_batter': {'Salary': 2500.0, 'projected_FD_points': 2.1563057340085421, 'confidence': -0.23382262742432336, 'FD_Position': 'C'}}</t>
  </si>
  <si>
    <t>{'Jean Segura_batter': {'Salary': 2900.0, 'projected_FD_points': 2.1514068410526077, 'confidence': -0.088383957988747985, 'FD_Position': 'SS'}, 'Brian Dozier_batter': {'Salary': 3000.0, 'projected_FD_points': 2.9165970022775376, 'confidence': -0.039018876422715953, 'FD_Position': '2B'}, 'Trevor Plouffe_batter': {'Salary': 2600.0, 'projected_FD_points': 2.4085310967567866, 'confidence': -0.057313970829168781, 'FD_Position': '3B'}, 'Johnny Cueto_pitcher': {'Salary': 10600.0, 'projected_FD_points': 17.633582423192092, 'confidence': 0.11660491878045853, 'FD_Position': 'P'}, 'Paulo Orlando_batter': {'Salary': 3000.0, 'projected_FD_points': 6.4320833333333312, 'confidence': 0, 'FD_Position': 'OF'}, 'Wil Myers_batter': {'Salary': 3800.0, 'projected_FD_points': 2.8605710806898683, 'confidence': 0.048779784449928476, 'FD_Position': 'OF'}, 'Marlon Byrd_batter': {'Salary': 2200.0, 'projected_FD_points': 1.765513029979179, 'confidence': -0.049722264766168367, 'FD_Position': 'OF'}, 'Joey Votto_batter': {'Salary': 4600.0, 'projected_FD_points': 4.083582550625243, 'confidence': -0.50943418654876726, 'FD_Position': '1B'}, 'Martin Maldonado_batter': {'Salary': 2200.0, 'projected_FD_points': 2.0907624561433105, 'confidence': -0.012120613543403103, 'FD_Position': 'C'}}</t>
  </si>
  <si>
    <t>{'Russell Martin_batter': {'Salary': 3700.0, 'projected_FD_points': 2.8874622646560515, 'confidence': -0.12751900168845931, 'FD_Position': 'C'}, 'Ian Desmond_batter': {'Salary': 2800.0, 'projected_FD_points': 2.3391697458576513, 'confidence': 0.0041855089780117316, 'FD_Position': 'SS'}, 'Brandon Moss_batter': {'Salary': 3300.0, 'projected_FD_points': 3.248483793834207, 'confidence': -0.12967347283197528, 'FD_Position': 'OF'}, 'Mike Pelfrey_pitcher': {'Salary': 6600.0, 'projected_FD_points': 13.996808055953288, 'confidence': 0, 'FD_Position': 'P'}, 'Nolan Arenado_batter': {'Salary': 4000.0, 'projected_FD_points': 3.0817540255729119, 'confidence': -0.11307654125593758, 'FD_Position': '3B'},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'Chase Utley_batter': {'Salary': 3000.0, 'projected_FD_points': 2.8484078588357042, 'confidence': 0.025644677743585476, 'FD_Position': '2B'}, 'Jose Abreu_batter': {'Salary': 3600.0, 'projected_FD_points': 3.7605213001254834, 'confidence': 0.029331859660047255, 'FD_Position': '1B'}}</t>
  </si>
  <si>
    <t>{'Taijuan Walker_pitcher': {'Salary': 6900.0, 'projected_FD_points': 62.502277895539763, 'confidence': 0, 'FD_Position': 'P'}, 'Mark Teixeira_batter': {'Salary': 3600.0, 'projected_FD_points': 4.0773408265945594, 'confidence': -0.30588243348771682, 'FD_Position': '1B'}, 'Brian Dozier_batter': {'Salary': 3000.0, 'projected_FD_points': 2.7379631483789701, 'confidence': 0.019956240195919017, 'FD_Position': '2B'}, 'Paulo Orlando_batter': {'Salary': 3000.0, 'projected_FD_points': 3.5, 'confidence': 0, 'FD_Position': 'OF'}, 'Bobby Wilson_batter': {'Salary': 2200.0, 'projected_FD_points': 16.560802833530115, 'confidence': 0, 'FD_Position': 'C'}, 'A.J. Pollock_batter': {'Salary': 3500.0, 'projected_FD_points': 3.4368082629265313, 'confidence': -0.50286489471262219, 'FD_Position': 'OF'}, 'Dexter Fowler_batter': {'Salary': 3800.0, 'projected_FD_points': 3.4131617066575504, 'confidence': -0.20070499632140848, 'FD_Position': 'OF'}, 'Troy Tulowitzki_batter': {'Salary': 5300.0, 'projected_FD_points': 3.3457799513608109, 'confidence': -0.18850950105141773, 'FD_Position': 'SS'}, 'Kyle Seager_batter': {'Salary': 3600.0, 'projected_FD_points': 3.2736450999988684, 'confidence': 0.023729060352864817, 'FD_Position': '3B'}}</t>
  </si>
  <si>
    <t>{'Melky Cabrera_batter': {'Salary': 2700.0, 'projected_FD_points': 2.7061134421925681, 'confidence': -0.0081602731921726068, 'FD_Position': 'OF'}, 'Matt Kemp_batter': {'Salary': 4300.0, 'projected_FD_points': 2.8160073587661545, 'confidence': -0.034677564183499543, 'FD_Position': 'OF'}, 'Trevor Plouffe_batter': {'Salary': 2600.0, 'projected_FD_points': 2.3010993423956627, 'confidence': -0.64748855414096407, 'FD_Position': '3B'}, 'Paulo Orlando_batter': {'Salary': 3000.0, 'projected_FD_points': 3.5, 'confidence': 0, 'FD_Position': 'OF'}, 'Derek Norris_batter': {'Salary': 3000.0, 'projected_FD_points': 2.6684700124612726, 'confidence': 0.072414527859022693, 'FD_Position': 'C'}, 'Troy Tulowitzki_batter': {'Salary': 5300.0, 'projected_FD_points': 3.3457799513608109, 'confidence': -0.18850950105141773, 'FD_Position': 'SS'}, 'Tyler Matzek_pitcher': {'Salary': 6100.0, 'projected_FD_points': 14.027682029898976, 'confidence': -5.4604043264441549, 'FD_Position': 'P'}, 'Joey Votto_batter': {'Salary': 4400.0, 'projected_FD_points': 4.0789965727594559, 'confidence': -0.42029882103555249, 'FD_Position': '1B'}, 'Brian Dozier_batter': {'Salary': 3000.0, 'projected_FD_points': 2.7379631483789701, 'confidence': 0.019956240195919017, 'FD_Position': '2B'}}</t>
  </si>
  <si>
    <t>{'Starlin Castro_batter': {'Salary': 3000.0, 'projected_FD_points': 2.159050797510651, 'confidence': -0.24630411960500886, 'FD_Position': 'SS'}, 'Cameron Rupp_batter': {'Salary': 2200.0, 'projected_FD_points': 2.1484503216866293, 'confidence': 0.098965027499721692, 'FD_Position': 'C'}, 'A.J. Pollock_batter': {'Salary': 3600.0, 'projected_FD_points': 3.4701533617215925, 'confidence': 0.11327462920806752, 'FD_Position': 'OF'}, 'Max Muncy_batter': {'Salary': 2700.0, 'projected_FD_points': 4.8726752780827454, 'confidence': -2.1038689950681597, 'FD_Position': '1B'},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'Dexter Fowler_batter': {'Salary': 3500.0, 'projected_FD_points': 3.6849273364898689, 'confidence': -0.075543481137415824,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</si>
  <si>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2700.0, 'projected_FD_points': 2.7887953455975198, 'confidence': -1.3261531767998762, 'FD_Position': 'OF'}, 'Chris Davis_batter': {'Salary': 3200.0, 'projected_FD_points': 2.8852076730784764, 'confidence': -0.096927548213429526, 'FD_Position': '1B'}, 'Cameron Rupp_batter': {'Salary': 2200.0, 'projected_FD_points': 2.1484503216866293, 'confidence': 0.098965027499721692, 'FD_Position': 'C'}, 'Jhonny Peralta_batter': {'Salary': 3300.0, 'projected_FD_points': 2.3492047142260031, 'confidence': -0.065470625901099755, 'FD_Position': 'SS'}, 'A.J. Pollock_batter': {'Salary': 3600.0, 'projected_FD_points': 3.4701533617215925, 'confidence': 0.11327462920806752, 'FD_Position': 'OF'},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</si>
  <si>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3800.0, 'projected_FD_points': 3.1082274948001074, 'confidence': -0.049124324081223136, 'FD_Position': 'OF'}, 'Alex Rodriguez_batter': {'Salary': 3700.0, 'projected_FD_points': 3.4806737525290714, 'confidence': -1.9906418510144874, 'FD_Position': '3B'}, 'Brian Dozier_batter': {'Salary': 3100.0, 'projected_FD_points': 2.8793826674441441, 'confidence': -0.042851954077982146, 'FD_Position': '2B'}, 'Corey Dickerson_batter': {'Salary': 4900.0, 'projected_FD_points': 4.1584402407862129, 'confidence': -0.17148839204293287, 'FD_Position': 'OF'}, 'Jerry Sands_batter': {'Salary': 2200.0, 'projected_FD_points': 2.983959163901325, 'confidence': -0.26475538041925706, 'FD_Position': 'OF'},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'Joey Votto_batter': {'Salary': 4400.0, 'projected_FD_points': 4.0703734555879718, 'confidence': 0.27174917481044358, 'FD_Position': '1B'}, 'Jose Iglesias_batter': {'Salary': 2900.0, 'projected_FD_points': 4.8448761684227204, 'confidence': -4.0545920061624248, 'FD_Position': 'SS'}}</t>
  </si>
  <si>
    <t>{'Odubel Herrera_batter': {'Salary': 3000.0, 'projected_FD_points': 1.9938737793401213, 'confidence': -4.7281707316346013, 'FD_Position': 'OF'}, 'Brandon Belt_batter': {'Salary': 3400.0, 'projected_FD_points': 2.3284201786757013, 'confidence': -0.0055454892867570216, 'FD_Position': '1B'}, 'Cameron Rupp_batter': {'Salary': 2200.0, 'projected_FD_points': 2.1484503216866293, 'confidence': 0.098965027499721692, 'FD_Position': 'C'}, 'Jeff Francoeur_batter': {'Salary': 2700.0, 'projected_FD_points': 2.3259928555395577, 'confidence': -0.72694108744456254, 'FD_Position': 'OF'}, 'Casey McGehee_batter': {'Salary': 2200.0, 'projected_FD_points': 1.3783757316432672, 'confidence': -0.1430025214667372, 'FD_Position': '3B'}, 'Angel Pagan_batter': {'Salary': 2700.0, 'projected_FD_points': 1.6754693186958427, 'confidence': -0.70557271189081439, 'FD_Position': 'OF'}, 'Clayton Kershaw_pitcher': {'Salary': 11200.0, 'projected_FD_points': 16.981702391590233, 'confidence': -0.57661506016062658, 'FD_Position': 'P'}, 'Troy Tulowitzki_batter': {'Salary': 4500.0, 'projected_FD_points': 2.9351983811625311, 'confidence': -0.29743538997802443, 'FD_Position': 'SS'}, 'Chase Utley_batter': {'Salary': 3100.0, 'projected_FD_points': 3.174927485683531, 'confidence': -0.1726369024975476, 'FD_Position': '2B'}}</t>
  </si>
  <si>
    <t>{'Brian Dozier_batter': {'Salary': 3100.0, 'projected_FD_points': 2.8793826674441441, 'confidence': -0.042851954077982146, 'FD_Position': '2B'}, 'Jerry Sands_batter': {'Salary': 2200.0, 'projected_FD_points': 2.983959163901325, 'confidence': -0.26475538041925706, 'FD_Position': 'OF'}, 'Corey Dickerson_batter': {'Salary': 4900.0, 'projected_FD_points': 4.1584402407862129, 'confidence': -0.17148839204293287, 'FD_Position': 'OF'}, 'Will Middlebrooks_batter': {'Salary': 3000.0, 'projected_FD_points': 2.6065756621276233, 'confidence': -0.041062759418675876, 'FD_Position': '3B'},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'Troy Tulowitzki_batter': {'Salary': 5300.0, 'projected_FD_points': 2.927643859355272, 'confidence': 0.033812944163379766, 'FD_Position': 'SS'}, 'Jose Abreu_batter': {'Salary': 4400.0, 'projected_FD_points': 3.7606538339157956, 'confidence': 0.012276263801960119, 'FD_Position': '1B'}, 'Melky Cabrera_batter': {'Salary': 2700.0, 'projected_FD_points': 2.6841748516144728, 'confidence': -0.053451234795242719, 'FD_Position': 'OF'}}</t>
  </si>
  <si>
    <t>{'Michael Brantley_batter': {'Salary': 4700.0, 'projected_FD_points': 3.2363074324566865, 'confidence': -0.022417350764787569, 'FD_Position': 'OF'}, 'Jose Bautista_batter': {'Salary': 4800.0, 'projected_FD_points': 3.2261067243055415, 'confidence': -0.012430381696921566, 'FD_Position': 'OF'}, 'Max Muncy_batter': {'Salary': 2700.0, 'projected_FD_points': 4.8726752780827454, 'confidence': -2.1038689950681597, 'FD_Position': '1B'}, 'Miguel Montero_batter': {'Salary': 3000.0, 'projected_FD_points': 2.2512305837967892, 'confidence': -0.3698680227429878, 'FD_Position': 'C'}, 'Dexter Fowler_batter': {'Salary': 3500.0, 'projected_FD_points': 3.6849273364898689, 'confidence': -0.075543481137415824, 'FD_Position': 'OF'}, 'Brett Lawrie_batter': {'Salary': 2300.0, 'projected_FD_points': 2.5463099702332532, 'confidence': -0.07246593578638727, 'FD_Position': '3B'}, 'Danny Salazar_pitcher': {'Salary': 8900.0, 'projected_FD_points': 11.859620145903017, 'confidence': -0.25089732031871126, 'FD_Position': 'P'}, 'Alexei Ramirez_batter': {'Salary': 2300.0, 'projected_FD_points': 2.1486764506620291, 'confidence': -0.046688855782627048, 'FD_Position': 'SS'}, 'Dustin Pedroia_batter': {'Salary': 2800.0, 'projected_FD_points': 2.0493127924997956, 'confidence': -0.017715021239344431, 'FD_Position': '2B'}}</t>
  </si>
  <si>
    <t>{'Odubel Herrera_batter': {'Salary': 3000.0, 'projected_FD_points': 3.1305483217584218, 'confidence': 0.29219777496713617, 'FD_Position': 'OF'}, 'Alex Rodriguez_batter': {'Salary': 3700.0, 'projected_FD_points': 5.6591736644220507, 'confidence': 0, 'FD_Position': '3B'}, 'Kole Calhoun_batter': {'Salary': 3700.0, 'projected_FD_points': 3.2069790615602805, 'confidence': 0.14551185447437909, 'FD_Position': 'OF'}, 'Freddie Freeman_batter': {'Salary': 3700.0, 'projected_FD_points': 3.6077021212212448, 'confidence': -0.10131002328083594, 'FD_Position': '1B'}, 'Josh Phegley_batter': {'Salary': 2200.0, 'projected_FD_points': 3.6939940182702782, 'confidence': 0.18128774695817818, 'FD_Position': 'C'}, 'Dexter Fowler_batter': {'Salary': 3800.0, 'projected_FD_points': 3.2352406588532689, 'confidence': 0.11964247017110441, 'FD_Position': 'OF'}, 'Devon Travis_batter': {'Salary': 2800.0, 'projected_FD_points': 3.7048301215297776, 'confidence': -7.8623880909571504, 'FD_Position': '2B'}, 'Garrett Richards_pitcher': {'Salary': 8600.0, 'projected_FD_points': 16.294993335740351, 'confidence': 0.13566843107802196, 'FD_Position': 'P'}, 'Jose Iglesias_batter': {'Salary': 3000.0, 'projected_FD_points': 3.8781646490073909, 'confidence': 0, 'FD_Position': 'SS'}}</t>
  </si>
  <si>
    <t>{'Yoenis Cespedes_batter': {'Salary': 3000.0, 'projected_FD_points': 2.9191424661767145, 'confidence': -0.16143991850248707, 'FD_Position': 'OF'}, 'Kris Bryant_batter': {'Salary': 4000.0, 'projected_FD_points': 3.5534755884305125, 'confidence': -1.3336621345766155, 'FD_Position': '3B'}, 'Alexei Ramirez_batter': {'Salary': 2300.0, 'projected_FD_points': 2.210427118421848, 'confidence': 0.0084320843946705804, 'FD_Position': 'SS'}, 'Dexter Fowler_batter': {'Salary': 3600.0, 'projected_FD_points': 3.6169188970830279, 'confidence': -0.032847313149126256, 'FD_Position': 'OF'}, 'Preston Tucker_batter': {'Salary': 3000.0, 'projected_FD_points': 10.002361016601814, 'confidence': 0, 'FD_Position': 'OF'}, 'Chase Utley_batter': {'Salary': 2900.0, 'projected_FD_points': 2.8142225372666463, 'confidence': -0.14103767783052668, 'FD_Position': '2B'}, 'Miguel Cabrera_batter': {'Salary': 5100.0, 'projected_FD_points': 4.3068972921239954, 'confidence': -0.2304886318219812, 'FD_Position': '1B'}, 'Collin McHugh_pitcher': {'Salary': 8700.0, 'projected_FD_points': 16.644668225645962, 'confidence': -1.1313737889989559, 'FD_Position': 'P'}, 'Jason Castro_batter': {'Salary': 2300.0, 'projected_FD_points': 2.1903490082015953, 'confidence': -0.063430643901266182, 'FD_Position': 'C'}}</t>
  </si>
  <si>
    <t>{'Brian Dozier_batter': {'Salary': 3800.0, 'projected_FD_points': 2.7439571311329054, 'confidence': -0.064209082554679497, 'FD_Position': '2B'}, 'Paulo Orlando_batter': {'Salary': 2300.0, 'projected_FD_points': 1.8876158758833339, 'confidence': -4.2074302086278816, 'FD_Position': 'OF'}, 'Alex Gordon_batter': {'Salary': 3200.0, 'projected_FD_points': 2.4733368559329225, 'confidence': -0.035754499591861277, 'FD_Position': 'OF'}, 'Buster Posey_batter': {'Salary': 4600.0, 'projected_FD_points': 2.3410510806772034, 'confidence': 0.010961361243999823, 'FD_Position': 'C'}, 'Lance Lynn_pitcher': {'Salary': 8800.0, 'projected_FD_points': 12.48081277129827, 'confidence': -1.0829473004315431, 'FD_Position': 'P'}, 'Jose Abreu_batter': {'Salary': 3500.0, 'projected_FD_points': 3.2686270864706444, 'confidence': 0.050751111797597726, 'FD_Position': '1B'}, 'Nolan Arenado_batter': {'Salary': 3900.0, 'projected_FD_points': 2.9796149562721368, 'confidence': -0.081990351720499399, 'FD_Position': '3B'}, 'Alexei Ramirez_batter': {'Salary': 2300.0, 'projected_FD_points': 2.210427118421848, 'confidence': 0.0084320843946705804, 'FD_Position': 'SS'}, 'Melky Cabrera_batter': {'Salary': 2400.0, 'projected_FD_points': 2.4857603612995169, 'confidence': -0.094923578132434905, 'FD_Position': 'OF'}}</t>
  </si>
  <si>
    <t>{'Shin-Soo Choo_batter': {'Salary': 2800.0, 'projected_FD_points': 2.3131109434656936, 'confidence': -0.60521266086584302, 'FD_Position': 'OF'}, 'Brandon McCarthy_pitcher': {'Salary': 7900.0, 'projected_FD_points': 13.87134770887085, 'confidence': -0.5168062383108798, 'FD_Position': 'P'}, 'Rougned Odor_batter': {'Salary': 2900.0, 'projected_FD_points': 2.7245570687317526, 'confidence': -0.13173338093945319, 'FD_Position': '2B'}, 'Justin Ruggiano_batter': {'Salary': 2400.0, 'projected_FD_points': 2.0989267966472909, 'confidence': -0.029263379643456933, 'FD_Position': 'OF'}, 'Paul Goldschmidt_batter': {'Salary': 5200.0, 'projected_FD_points': 3.6166611351144264, 'confidence': -0.1220205683161586, 'FD_Position': '1B'}, 'Kyle Seager_batter': {'Salary': 3400.0, 'projected_FD_points': 2.734230913975797, 'confidence': -0.17768160029109858, 'FD_Position': '3B'}, 'Troy Tulowitzki_batter': {'Salary': 4900.0, 'projected_FD_points': 3.3870730901216195, 'confidence': -0.38957462354324712, 'FD_Position': 'SS'}, 'Mark Trumbo_batter': {'Salary': 3300.0, 'projected_FD_points': 2.6286696149330142, 'confidence': -0.37425560479443853, 'FD_Position': 'OF'}, 'Michael McKenry_batter': {'Salary': 2200.0, 'projected_FD_points': 2.4605745842330906, 'confidence': -0.061842672074910343, 'FD_Position': 'C'}}</t>
  </si>
  <si>
    <t>{'Jimmy Paredes_batter': {'Salary': 3300.0, 'projected_FD_points': 2.4321834372128723, 'confidence': -0.13393655941717686, 'FD_Position': '2B'}, 'Anthony Rizzo_batter': {'Salary': 4200.0, 'projected_FD_points': 3.5078868882589229, 'confidence': -0.02399093171336264, 'FD_Position': '1B'}, 'Dexter Fowler_batter': {'Salary': 3600.0, 'projected_FD_points': 3.6151341477189813, 'confidence': -0.25467232908540294, 'FD_Position': 'OF'}, 'J.J. Hardy_batter': {'Salary': 2300.0, 'projected_FD_points': 2.330197760877609, 'confidence': -0.021100516642348799, 'FD_Position': 'SS'}, 'Christian Yelich_batter': {'Salary': 2500.0, 'projected_FD_points': 2.6367167042253103, 'confidence': -0.05661085954336742, 'FD_Position': 'OF'}, 'Salvador Perez_batter': {'Salary': 2500.0, 'projected_FD_points': 1.7756039767447573, 'confidence': -0.029854679201591683, 'FD_Position': 'C'}, 'Jake Arrieta_pitcher': {'Salary': 9900.0, 'projected_FD_points': 14.32049653834212, 'confidence': 0.052586044984161862, 'FD_Position': 'P'}, 'Brock Holt_batter': {'Salary': 2200.0, 'projected_FD_points': 2.2416666666666667, 'confidence': -0.37989038128821795, 'FD_Position': '3B'}, 'Giancarlo Stanton_batter': {'Salary': 4500.0, 'projected_FD_points': 3.4942002952042572, 'confidence': -0.010778331399335483, 'FD_Position': 'OF'}}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</si>
  <si>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'P'}, 'Michael McKenry_batter': {'Salary': 3000.0, 'projected_FD_points': 2.0777519927771451, 'confidence': -0.10408788440093741, 'FD_Position': 'C'}}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</si>
  <si>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'Miguel Montero_batter': {'Salary': 2900.0, 'projected_FD_points': 1.982128123477866, 'confidence': -0.045965745532746016, 'FD_Position': 'C'},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'P'}}</t>
  </si>
  <si>
    <t>{'Robinson Chirinos_batter': {'Salary': 2600.0, 'projected_FD_points': 2.2529762267018447, 'confidence': -0.056574006843547853, 'FD_Position': 'C'}, 'Corey Dickerson_batter': {'Salary': 4800.0, 'projected_FD_points': 3.4027449638570175, 'confidence': -0.52039495702551863, 'FD_Position': 'OF'}, 'Carlos Peguero_batter': {'Salary': 2400.0, 'projected_FD_points': 3.1776258359445446, 'confidence': 0, 'FD_Position': 'OF'}, 'Rougned Odor_batter': {'Salary': 3000.0, 'projected_FD_points': 2.5596515671071547, 'confidence': 0.10261769996274339, 'FD_Position': '2B'}, 'Marcus Semien_batter': {'Salary': 2900.0, 'projected_FD_points': 2.4161086244825469, 'confidence': -0.046464207704467686, 'FD_Position': 'SS'}, 'Allan Dykstra_batter': {'Salary': 3000.0, 'projected_FD_points': 10.05300219261259, 'confidence': 0, 'FD_Position': '1B'}, 'Kyle Seager_batter': {'Salary': 3500.0, 'projected_FD_points': 2.8457022223033825, 'confidence': -0.54379783672003112, 'FD_Position': '3B'}, 'Michael Cuddyer_batter': {'Salary': 3300.0, 'projected_FD_points': 3.0186149333337169, 'confidence': -0.31570085264077163, 'FD_Position': 'OF'}, 'Jacob deGrom_pitcher': {'Salary': 9400.0, 'projected_FD_points': 12.921285977208591, 'confidence': -0.14448174391316959, 'FD_Position': 'P'}}</t>
  </si>
  <si>
    <t>{'Carlos Ruiz_batter': {'Salary': 2300.0, 'projected_FD_points': 2.0575005765860892, 'confidence': -0.7362556547465402, 'FD_Position': 'C'}, 'Odubel Herrera_batter': {'Salary': 3000.0, 'projected_FD_points': 4.6287868564423071, 'confidence': 0,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'Devon Travis_batter': {'Salary': 2800.0, 'projected_FD_points': 4.4627913107131327, 'confidence': 0, 'FD_Position': '2B'}, 'Prince Fielder_batter': {'Salary': 3600.0, 'projected_FD_points': 3.4288853396051397, 'confidence': -0.9517717100285239, 'FD_Position': '1B'}, 'Clayton Kershaw_pitcher': {'Salary': 11800.0, 'projected_FD_points': 16.994609451021795, 'confidence': 0.10626511257535443, 'FD_Position': 'P'}, 'Kyle Seager_batter': {'Salary': 3500.0, 'projected_FD_points': 3.0253875451872387, 'confidence': -0.12481232658312402, 'FD_Position': '3B'}, 'Michael Cuddyer_batter': {'Salary': 3000.0, 'projected_FD_points': 2.9670629436972784, 'confidence': -0.20692755714701816, 'FD_Position': 'OF'}}</t>
  </si>
  <si>
    <t>{'Sonny Gray_pitcher': {'Salary': 10200.0, 'projected_FD_points': 13.381721361154266, 'confidence': -0.16928664448774478, 'FD_Position': 'P'}, 'Kris Bryant_batter': {'Salary': 4000.0, 'projected_FD_points': 3.6068096695293033, 'confidence': -1.2525293195164084, 'FD_Position': '3B'}, 'Ian Desmond_batter': {'Salary': 3100.0, 'projected_FD_points': 2.579475927504705, 'confidence': -0.18145864924777944, 'FD_Position': 'SS'}, 'Russell Martin_batter': {'Salary': 3400.0, 'projected_FD_points': 2.7624383599362528, 'confidence': -0.076424894834600021, 'FD_Position': 'C'}, 'Max Muncy_batter': {'Salary': 2600.0, 'projected_FD_points': 4.3934792177469966, 'confidence': -5.519608614644679, 'FD_Position': '1B'}, 'Daniel Murphy_batter': {'Salary': 2700.0, 'projected_FD_points': 2.2489255433449102, 'confidence': 0.059704776890630584, 'FD_Position': '2B'}, 'Dexter Fowler_batter': {'Salary': 3800.0, 'projected_FD_points': 3.4847172445112076, 'confidence': -0.13829690631552594, 'FD_Position': 'OF'}, 'Michael Cuddyer_batter': {'Salary': 2300.0, 'projected_FD_points': 2.8774155867137865, 'confidence': -0.10439807079071906, 'FD_Position': 'OF'}, 'Rusney Castillo_batter': {'Salary': 2900.0, 'projected_FD_points': 2.9574751149509977, 'confidence': -0.41613581264893251, 'FD_Position': 'OF'}}</t>
  </si>
  <si>
    <t>{'Robinson Chirinos_batter': {'Salary': 2600.0, 'projected_FD_points': 1.8846417586250059, 'confidence': -0.088682931650668761, 'FD_Position': 'C'}, 'Shin-Soo Choo_batter': {'Salary': 2900.0, 'projected_FD_points': 2.5063103773407214, 'confidence': -0.16003533211561982,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'Rougned Odor_batter': {'Salary': 3000.0, 'projected_FD_points': 3.1854092268879399, 'confidence': 0.022062427654529149, 'FD_Position': '2B'}, 'Clayton Kershaw_pitcher': {'Salary': 11800.0, 'projected_FD_points': 16.994609451021795, 'confidence': 0.10626511257535443, 'FD_Position': 'P'}, 'Prince Fielder_batter': {'Salary': 3600.0, 'projected_FD_points': 3.4288853396051397, 'confidence': -0.9517717100285239, 'FD_Position': '1B'}, 'Austin Jackson_batter': {'Salary': 2600.0, 'projected_FD_points': 1.9379225101596396, 'confidence': -0.21929180302619145, 'FD_Position': 'OF'}, 'Kyle Seager_batter': {'Salary': 3500.0, 'projected_FD_points': 3.0253875451872387, 'confidence': -0.12481232658312402, 'FD_Position': '3B'}}</t>
  </si>
  <si>
    <t>{'Brian Dozier_batter': {'Salary': 3100.0, 'projected_FD_points': 2.7299634764256142, 'confidence': -1.527738194700448, 'FD_Position': '2B'}, 'Trevor Plouffe_batter': {'Salary': 2500.0, 'projected_FD_points': 1.9917683255845269, 'confidence': -0.043996180753872238, 'FD_Position': '3B'}, 'Johnny Cueto_pitcher': {'Salary': 10600.0, 'projected_FD_points': 15.300753039894445, 'confidence': 0.055435282156456989, 'FD_Position': 'P'}, 'Chris Iannetta_batter': {'Salary': 2500.0, 'projected_FD_points': 2.0457324726169688, 'confidence': -0.028194898737007978, 'FD_Position': 'C'}, 'Matt Holliday_batter': {'Salary': 3500.0, 'projected_FD_points': 2.817486743462625, 'confidence': -0.035971861220586154, 'FD_Position': 'OF'}, 'Brandon Moss_batter': {'Salary': 3500.0, 'projected_FD_points': 2.5769441875246519, 'confidence': -0.037127704336220591, 'FD_Position': '1B'}, 'Daniel Santana_batter': {'Salary': 3300.0, 'projected_FD_points': 2.6099077779671043, 'confidence': -0.46911606821525242, 'FD_Position': 'SS'}, 'Marlon Byrd_batter': {'Salary': 2400.0, 'projected_FD_points': 2.1601078420170423, 'confidence': -0.08464638502414723, 'FD_Position': 'OF'}, 'Josh Reddick_batter': {'Salary': 3300.0, 'projected_FD_points': 2.5948147686949432, 'confidence': -0.2020947857099209, 'FD_Position': 'OF'}}</t>
  </si>
  <si>
    <t>{'Sonny Gray_pitcher': {'Salary': 10200.0, 'projected_FD_points': 13.381721361154266, 'confidence': -0.16928664448774478, 'FD_Position': 'P'}, 'Russell Martin_batter': {'Salary': 3400.0, 'projected_FD_points': 2.7624383599362528, 'confidence': -0.076424894834600021, 'FD_Position': 'C'}, 'Robinson Cano_batter': {'Salary': 2800.0, 'projected_FD_points': 2.3173401052113634, 'confidence': -0.10788256107323968, 'FD_Position': '2B'}, 'Max Muncy_batter': {'Salary': 2600.0, 'projected_FD_points': 4.3934792177469966, 'confidence': -5.519608614644679, 'FD_Position': '1B'}, 'Rusney Castillo_batter': {'Salary': 2900.0, 'projected_FD_points': 2.9574751149509977, 'confidence': -0.41613581264893251, 'FD_Position': 'OF'}, 'Mike Trout_batter': {'Salary': 5400.0, 'projected_FD_points': 4.0873008217616142, 'confidence': -0.14396400963697564, 'FD_Position': 'OF'}, 'Kyle Seager_batter': {'Salary': 2900.0, 'projected_FD_points': 2.7371515062031255, 'confidence': 0.019957242921830654, 'FD_Position': '3B'}, 'Michael Cuddyer_batter': {'Salary': 2300.0, 'projected_FD_points': 2.8774155867137865, 'confidence': -0.10439807079071906, 'FD_Position': 'OF'}, 'Alexei Ramirez_batter': {'Salary': 2400.0, 'projected_FD_points': 2.1639761688848416, 'confidence': -0.37069858105579967, 'FD_Position': 'SS'}}</t>
  </si>
  <si>
    <t>{'Kris Bryant_batter': {'Salary': 4000.0, 'projected_FD_points': 3.6068096695293033, 'confidence': -1.2525293195164084, 'FD_Position': '3B'}, 'Robinson Chirinos_batter': {'Salary': 2600.0, 'projected_FD_points': 2.0711404574188297, 'confidence': 0.015093222662921901, 'FD_Position': 'C'}, 'Anthony Rizzo_batter': {'Salary': 4100.0, 'projected_FD_points': 3.8122926871420697, 'confidence': -0.054513700556801492, 'FD_Position': '1B'}, 'Chris Owings_batter': {'Salary': 2900.0, 'projected_FD_points': 2.3519699611119322, 'confidence': -0.34342400295366948, 'FD_Position': 'SS'}, 'Matt Kemp_batter': {'Salary': 2400.0, 'projected_FD_points': 2.3764286724922972, 'confidence': 0.023966644821038718, 'FD_Position': 'OF'}, 'Howie Kendrick_batter': {'Salary': 3000.0, 'projected_FD_points': 2.0848778525934848, 'confidence': -0.016482594277279938, 'FD_Position': '2B'}, 'James Shields_pitcher': {'Salary': 9200.0, 'projected_FD_points': 11.036785031426323, 'confidence': -0.836063973152257, 'FD_Position': 'P'}, 'Jorge Soler_batter': {'Salary': 2700.0, 'projected_FD_points': 2.5640958091641166, 'confidence': -0.15901208694331581, 'FD_Position': 'OF'}, 'Dexter Fowler_batter': {'Salary': 3800.0, 'projected_FD_points': 3.4847172445112076, 'confidence': -0.13829690631552594, 'FD_Position': 'OF'}}</t>
  </si>
  <si>
    <t>{'Adrian Beltre_batter': {'Salary': 2900.0, 'projected_FD_points': 2.9565698380539702, 'confidence': -1.14688580140959, 'FD_Position': '3B'}, 'Michael Brantley_batter': {'Salary': 4500.0, 'projected_FD_points': 3.583990347556993, 'confidence': -0.10850765887334157, 'FD_Position': 'OF'}, 'Anthony Rizzo_batter': {'Salary': 4400.0, 'projected_FD_points': 3.6709557040280281, 'confidence': -0.089727968912869827, 'FD_Position': '1B'}, 'Evan Gattis_batter': {'Salary': 3300.0, 'projected_FD_points': 2.4977041100537707, 'confidence': -0.049687747611236732, 'FD_Position': 'C'}, 'Robinson Cano_batter': {'Salary': 2700.0, 'projected_FD_points': 3.006471579800579, 'confidence': 0.041970646511994114, 'FD_Position': '2B'}, 'Preston Tucker_batter': {'Salary': 3000.0, 'projected_FD_points': 4.0725037964793751, 'confidence': -0.51601561225112413, 'FD_Position': 'OF'}, 'Jacob Elmore_batter': {'Salary': 2300.0, 'projected_FD_points': 2.3858265804468415, 'confidence': -0.84239957245850494, 'FD_Position': 'SS'}, 'Wei-Yin Chen_pitcher': {'Salary': 7300.0, 'projected_FD_points': 11.919155020121615, 'confidence': -0.51716623056764743, 'FD_Position': 'P'}, 'Andrew McCutchen_batter': {'Salary': 4300.0, 'projected_FD_points': 3.6862412693172786, 'confidence': -0.6481522336111003, 'FD_Position': 'OF'}}</t>
  </si>
  <si>
    <t>{'Russell Martin_batter': {'Salary': 3300.0, 'projected_FD_points': 2.4830633079019693, 'confidence': -0.11734390674098649, 'FD_Position': 'C'}, 'Robinson Cano_batter': {'Salary': 2700.0, 'projected_FD_points': 3.006471579800579, 'confidence': 0.041970646511994114, 'FD_Position': '2B'}, 'Jacob Elmore_batter': {'Salary': 2300.0, 'projected_FD_points': 2.3858265804468415, 'confidence': -0.84239957245850494, 'FD_Position': 'SS'}, 'Marcell Ozuna_batter': {'Salary': 2700.0, 'projected_FD_points': 2.4754723459049623, 'confidence': -0.0073937552606817558, 'FD_Position': 'OF'}, 'Kyle Seager_batter': {'Salary': 3000.0, 'projected_FD_points': 2.6267599538125221, 'confidence': 0.056421788639430925, 'FD_Position': '3B'}, 'Giancarlo Stanton_batter': {'Salary': 4300.0, 'projected_FD_points': 3.3522387768095614, 'confidence': -0.11697711638688513, 'FD_Position': 'OF'}, 'Jose Abreu_batter': {'Salary': 3200.0, 'projected_FD_points': 3.2854490602964761, 'confidence': 0.025021380203462229, 'FD_Position': '1B'}, 'Tyson Ross_pitcher': {'Salary': 9000.0, 'projected_FD_points': 11.950158570271709, 'confidence': -0.29302611909310206, 'FD_Position': 'P'}, 'Andrew McCutchen_batter': {'Salary': 4300.0, 'projected_FD_points': 3.6862412693172786, 'confidence': -0.6481522336111003, 'FD_Position': 'OF'}}</t>
  </si>
  <si>
    <t>{'Michael Brantley_batter': {'Salary': 4500.0, 'projected_FD_points': 3.583990347556993, 'confidence': -0.10850765887334157, 'FD_Position': 'OF'}, 'Jason Kipnis_batter': {'Salary': 4700.0, 'projected_FD_points': 3.1505887104058892, 'confidence': 0.056316765075608455, 'FD_Position': '2B'}, 'Anthony Rizzo_batter': {'Salary': 4400.0, 'projected_FD_points': 3.6709557040280281, 'confidence': -0.089727968912869827, 'FD_Position': '1B'}, 'Jorge Soler_batter': {'Salary': 2800.0, 'projected_FD_points': 3.1641748894738395, 'confidence': 0.49412830711598987, 'FD_Position': 'OF'}, 'Adrian Beltre_batter': {'Salary': 2900.0, 'projected_FD_points': 2.9565698380539702, 'confidence': -1.14688580140959, 'FD_Position': '3B'}, 'Preston Tucker_batter': {'Salary': 3000.0, 'projected_FD_points': 4.0725037964793751, 'confidence': -0.51601561225112413, 'FD_Position': 'OF'}, 'Brandon Crawford_batter': {'Salary': 2900.0, 'projected_FD_points': 2.5516493518567103, 'confidence': 0.041085074036604663, 'FD_Position': 'SS'}, 'Anthony Recker_batter': {'Salary': 2400.0, 'projected_FD_points': 2.2925878572593978, 'confidence': -0.044583441608107899, 'FD_Position': 'C'}, 'Wei-Yin Chen_pitcher': {'Salary': 7300.0, 'projected_FD_points': 11.919155020121615, 'confidence': -0.51716623056764743, 'FD_Position': 'P'}}</t>
  </si>
  <si>
    <t>{'Kris Bryant_batter': {'Salary': 4200.0, 'projected_FD_points': 3.5329959641815689, 'confidence': 0.0068134967777587763, 'FD_Position': '3B'}, 'Melky Cabrera_batter': {'Salary': 2200.0, 'projected_FD_points': 2.4703240472558674, 'confidence': -0.46970198181596134, 'FD_Position': 'OF'}, 'J.D. Martinez_batter': {'Salary': 3300.0, 'projected_FD_points': 2.9751429908872287, 'confidence': -0.004895917095735447, 'FD_Position': 'OF'}, 'Robinson Cano_batter': {'Salary': 2600.0, 'projected_FD_points': 2.9984939421566033, 'confidence': -0.30522621069477829, 'FD_Position': '2B'}, 'Josh Phegley_batter': {'Salary': 2200.0, 'projected_FD_points': 2.5375953879463418, 'confidence': -0.12409798786490822, 'FD_Position': 'C'}, 'Clayton Kershaw_pitcher': {'Salary': 11000.0, 'projected_FD_points': 17.062159439035362, 'confidence': -0.89479199353641237, 'FD_Position': 'P'}, 'Troy Tulowitzki_batter': {'Salary': 3900.0, 'projected_FD_points': 3.2222200562677736, 'confidence': -0.081916570064296534, 'FD_Position': 'SS'}, 'Jose Abreu_batter': {'Salary': 3300.0, 'projected_FD_points': 3.1854096424983998, 'confidence': -0.15716254131939245, 'FD_Position': '1B'}, 'Michael Cuddyer_batter': {'Salary': 2200.0, 'projected_FD_points': 2.6801553554837505, 'confidence': 0.019643435854794666, 'FD_Position': 'OF'}}</t>
  </si>
  <si>
    <t>{'Adrian Beltre_batter': {'Salary': 3000.0, 'projected_FD_points': 2.9235057568452656, 'confidence': -0.44224134180752528, 'FD_Position': '3B'}, 'Ben Revere_batter': {'Salary': 2800.0, 'projected_FD_points': 2.9205348195275094, 'confidence': -0.071320149851233472, 'FD_Position': 'OF'},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'Joey Butler_batter': {'Salary': 2200.0, 'projected_FD_points': 2.7474800537488075, 'confidence': -0.64924931999384472, 'FD_Position': 'OF'}, 'Carlos Santana_batter': {'Salary': 3800.0, 'projected_FD_points': 3.4194919218178779, 'confidence': -0.13631681884156621, 'FD_Position': '1B'}, 'Troy Tulowitzki_batter': {'Salary': 3900.0, 'projected_FD_points': 3.3528852151511335, 'confidence': 0.050880295956485577, 'FD_Position': 'SS'}, 'Michael Cuddyer_batter': {'Salary': 2400.0, 'projected_FD_points': 3.0469198900539682, 'confidence': -0.076020693352373936, 'FD_Position': 'OF'}, 'Michael McKenry_batter': {'Salary': 2500.0, 'projected_FD_points': 2.5405636220544596, 'confidence': -0.040825071090137, 'FD_Position': 'C'}}</t>
  </si>
  <si>
    <t>{'Kris Bryant_batter': {'Salary': 4600.0, 'projected_FD_points': 3.5501715087041772, 'confidence': -0.05084596656834095, 'FD_Position': '3B'}, 'Starlin Castro_batter': {'Salary': 2700.0, 'projected_FD_points': 2.2301486741215406, 'confidence': -0.12337495267764709, 'FD_Position': 'SS'}, 'Anthony Rizzo_batter': {'Salary': 4300.0, 'projected_FD_points': 3.2430744585313094, 'confidence': -0.021028705370427003, 'FD_Position': '1B'}, 'Matt Kemp_batter': {'Salary': 2300.0, 'projected_FD_points': 2.4775585175069459, 'confidence': -0.018719565260496562, 'FD_Position': 'OF'}, 'Matt Holliday_batter': {'Salary': 3200.0, 'projected_FD_points': 2.7088832528420861, 'confidence': 0.0089602582422713128, 'FD_Position': 'OF'}, 'Derek Norris_batter': {'Salary': 2700.0, 'projected_FD_points': 1.9486510778175679, 'confidence': -0.035854065143775982, 'FD_Position': 'C'}, 'Cory Spangenberg_batter': {'Salary': 2200.0, 'projected_FD_points': 1.5604247861157785, 'confidence': -0.79013268679292414, 'FD_Position': '2B'}, 'Dexter Fowler_batter': {'Salary': 3800.0, 'projected_FD_points': 3.0957378355333192, 'confidence': -0.03391468319193458, 'FD_Position': 'OF'}, 'Jon Lester_pitcher': {'Salary': 9100.0, 'projected_FD_points': 12.969894009710726, 'confidence': 0.0032775970000272769, 'FD_Position': 'P'}}</t>
  </si>
  <si>
    <t>{'Daniel Santana_batter': {'Salary': 2600.0, 'projected_FD_points': 2.8117209463087058, 'confidence': -0.038864563855127932, 'FD_Position': 'SS'}, 'David Ortiz_batter': {'Salary': 2700.0, 'projected_FD_points': 2.6736192606969946, 'confidence': -0.038296757145551696, 'FD_Position': '1B'},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'Evan Longoria_batter': {'Salary': 3300.0, 'projected_FD_points': 2.7002297564467814, 'confidence': -0.08424891163463788, 'FD_Position': '3B'}, 'Buster Posey_batter': {'Salary': 4000.0, 'projected_FD_points': 2.6699274709674774, 'confidence': -0.26669657702062977, 'FD_Position': 'C'}, 'Joey Butler_batter': {'Salary': 2200.0, 'projected_FD_points': 2.7474800537488075, 'confidence': -0.64924931999384472, 'FD_Position': 'OF'}, 'Michael Cuddyer_batter': {'Salary': 2400.0, 'projected_FD_points': 3.0469198900539682, 'confidence': -0.076020693352373936, 'FD_Position': 'OF'}, 'Hanley Ramirez_batter': {'Salary': 3200.0, 'projected_FD_points': 3.0012276330422472, 'confidence': -0.19721220435125231, 'FD_Position': 'OF'}}</t>
  </si>
  <si>
    <t>FD Median, Temp (doesn’t account for domed stads. Still has zero values.)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</si>
  <si>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'Alex Rodriguez_batter': {'Salary': 3300.0, 'projected_FD_points': 2.9433318679093565, 'confidence': 0.023458778069845643, 'FD_Position': '3B'}, 'Dustin Pedroia_batter': {'Salary': 2800.0, 'projected_FD_points': 2.3754155055937298, 'confidence': -0.12182208357059254, 'FD_Position': '2B'}, 'Steve Pearce_batter': {'Salary': 2800.0, 'projected_FD_points': 2.9856793179474233, 'confidence': -0.021563187134171269, 'FD_Position': 'OF'},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</si>
  <si>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'Steve Pearce_batter': {'Salary': 2800.0, 'projected_FD_points': 2.9856793179474233, 'confidence': -0.021563187134171269, 'FD_Position': 'OF'},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'Dustin Pedroia_batter': {'Salary': 2800.0, 'projected_FD_points': 2.3754155055937298, 'confidence': -0.12182208357059254, 'FD_Position': '2B'}, 'Marcus Semien_batter': {'Salary': 2800.0, 'projected_FD_points': 2.6942880013083816, 'confidence': -0.71565708953047014, 'FD_Position': 'SS'},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</si>
  <si>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'Michael Bourn_batter': {'Salary': 2200.0, 'projected_FD_points': 2.0288765809393876, 'confidence': -0.47102079131864727, 'FD_Position': 'OF'}, 'Neil Walker_batter': {'Salary': 2800.0, 'projected_FD_points': 2.3008002818506155, 'confidence': -0.066536851522417839, 'FD_Position': '2B'}}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</si>
  <si>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'Mookie Betts_batter': {'Salary': 3000.0, 'projected_FD_points': 2.7846010198173272, 'confidence': 0.010416698381384593, 'FD_Position': 'OF'}, 'Brock Holt_batter': {'Salary': 2500.0, 'projected_FD_points': 2.3634164823018979, 'confidence': -0.037306053227359026, 'FD_Position': '3B'}, 'Dustin Pedroia_batter': {'Salary': 2800.0, 'projected_FD_points': 2.3754155055937298, 'confidence': -0.12182208357059254, 'FD_Position': '2B'}}</t>
  </si>
  <si>
    <t>{'Anthony Rizzo_batter': {'Salary': 4200.0, 'projected_FD_points': 3.7129639241182169, 'confidence': -0.029808200727223344, 'FD_Position': '1B'}, 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'Josh Phegley_batter': {'Salary': 2200.0, 'projected_FD_points': 5.3602764777630867, 'confidence': -1.8325729400590243, 'FD_Position': 'C'}, 'Jorge Soler_batter': {'Salary': 2700.0, 'projected_FD_points': 3.1068983589238419, 'confidence': -0.25527854994265375, 'FD_Position': 'OF'}, 'Brock Holt_batter': {'Salary': 2600.0, 'projected_FD_points': 2.3432517834893027, 'confidence': -0.1541662463626845, 'FD_Position': '3B'},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'OF'}}</t>
  </si>
  <si>
    <t>{'Melky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'Freddie Freeman_batter': {'Salary': 3200.0, 'projected_FD_points': 2.9258557203808748, 'confidence': -0.066180455821922113, 'FD_Position': '1B'}, 'Josh Phegley_batter': {'Salary': 2200.0, 'projected_FD_points': 5.3602764777630867, 'confidence': -1.8325729400590243, 'FD_Position': 'C'}, 'Preston Tucker_batter': {'Salary': 3000.0, 'projected_FD_points': 2.9455375451824195, 'confidence': -0.53855325541242016, 'FD_Position': 'OF'},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'OF'}, 'Nolan Arenado_batter': {'Salary': 3200.0, 'projected_FD_points': 2.7662437200759813, 'confidence': -0.15836530405524973, 'FD_Position': '3B'}}</t>
  </si>
  <si>
    <t>{'Mark Teixeira_batter': {'Salary': 3600.0, 'projected_FD_points': 3.2168283995975813, 'confidence': -0.022278073649805608, 'FD_Position': '1B'}, 'Brian Dozier_batter': {'Salary': 3900.0, 'projected_FD_points': 2.9005610374833024, 'confidence': -0.24441383116452231, 'FD_Position': '2B'}, 'Stephen Vogt_batter': {'Salary': 3400.0, 'projected_FD_points': 2.8808095464984302, 'confidence': -1.7243484383032914, 'FD_Position': 'C'}, 'Brett Lawrie_batter': {'Salary': 2600.0, 'projected_FD_points': 2.6125448720099311, 'confidence': -0.40631724290305837, 'FD_Position': '3B'}, 'Roenis Elias_pitcher': {'Salary': 7400.0, 'projected_FD_points': 11.998727383333993, 'confidence': -1.4994041018272464, 'FD_Position': 'P'},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'Giancarlo Stanton_batter': {'Salary': 4400.0, 'projected_FD_points': 3.3487450826168503, 'confidence': -0.33588643514637151, 'FD_Position': 'OF'}, 'Michael Cuddyer_batter': {'Salary': 2700.0, 'projected_FD_points': 3.4721833139597402, 'confidence': -0.95351758786739871, 'FD_Position': 'OF'}}</t>
  </si>
  <si>
    <t>{'Michael Brantley_batter': {'Salary': 4300.0, 'projected_FD_points': 3.3482023656075093, 'confidence': 0.045448106132152, 'FD_Position': 'OF'}, 'Mark Teixeira_batter': {'Salary': 3600.0, 'projected_FD_points': 3.2168283995975813, 'confidence': -0.022278073649805608, 'FD_Position': '1B'}, 'Stephen Vogt_batter': {'Salary': 3400.0, 'projected_FD_points': 2.8808095464984302, 'confidence': -1.7243484383032914, 'FD_Position': 'C'}, 'Robinson Cano_batter': {'Salary': 2600.0, 'projected_FD_points': 2.4288576109823201, 'confidence': -0.027952030796696059, 'FD_Position': '2B'}, 'Roenis Elias_pitcher': {'Salary': 7400.0, 'projected_FD_points': 11.998727383333993, 'confidence': -1.4994041018272464, 'FD_Position': 'P'}, 'Marcus Semien_batter': {'Salary': 2800.0, 'projected_FD_points': 2.4723929404842866, 'confidence': 0.11726144795854843, 'FD_Position': 'SS'}, 'Brett Lawrie_batter': {'Salary': 2600.0, 'projected_FD_points': 2.6125448720099311, 'confidence': -0.40631724290305837, 'FD_Position': '3B'}, 'Nelson Cruz_batter': {'Salary': 4400.0, 'projected_FD_points': 3.1646099434963837, 'confidence': -0.08339840819746791, 'FD_Position': 'OF'}, 'Starling Marte_batter': {'Salary': 3900.0, 'projected_FD_points': 2.9999735658608877, 'confidence': -0.20750301868317567, 'FD_Position': 'OF'}}</t>
  </si>
  <si>
    <t>{'Russell Martin_batter': {'Salary': 3100.0, 'projected_FD_points': 2.4492887418771869, 'confidence': -0.21910219958624966, 'FD_Position': 'C'}, 'Adam Eaton_batter': {'Salary': 2600.0, 'projected_FD_points': 2.7116034889247311, 'confidence': -0.11123150544394966, 'FD_Position': 'OF'}, 'Brian Dozier_batter': {'Salary': 3900.0, 'projected_FD_points': 2.9005610374833024, 'confidence': -0.24441383116452231, 'FD_Position': '2B'}, 'Paul Goldschmidt_batter': {'Salary': 5100.0, 'projected_FD_points': 3.4155221580511474, 'confidence': 0.012726807593464229, 'FD_Position': '1B'}, 'Evan Longoria_batter': {'Salary': 3300.0, 'projected_FD_points': 2.5220881815502345, 'confidence': -0.0040634982718115165, 'FD_Position': '3B'},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'P'}}</t>
  </si>
  <si>
    <t>{'Adam Eaton_batter': {'Salary': 2600.0, 'projected_FD_points': 2.7116034889247311, 'confidence': -0.11123150544394966, 'FD_Position': 'OF'}, 'Evan Gattis_batter': {'Salary': 4000.0, 'projected_FD_points': 2.6292395151538708, 'confidence': -0.1003585700386036, 'FD_Position': 'C'}, 'Jose Altuve_batter': {'Salary': 3800.0, 'projected_FD_points': 2.8485806722370381, 'confidence': 0.0052993780879623253, 'FD_Position': '2B'}, 'Paul Goldschmidt_batter': {'Salary': 5100.0, 'projected_FD_points': 3.4155221580511474, 'confidence': 0.012726807593464229, 'FD_Position': '1B'}, 'J.J. Hardy_batter': {'Salary': 2200.0, 'projected_FD_points': 2.084637781392416, 'confidence': -0.18441137653428408, 'FD_Position': 'SS'}, 'Preston Tucker_batter': {'Salary': 3000.0, 'projected_FD_points': 3.19393419116928, 'confidence': -1.2551622634241859, 'FD_Position': 'OF'},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'P'}, 'Matt Carpenter_batter': {'Salary': 3900.0, 'projected_FD_points': 2.9119301462528728, 'confidence': -0.087005292778120857, 'FD_Position': '3B'}}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</si>
  <si>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'Melky Cabrera_batter': {'Salary': 2200.0, 'projected_FD_points': 2.63561397089883, 'confidence': -0.03897949378706822, 'FD_Position': 'OF'}, 'Robinson Cano_batter': {'Salary': 2600.0, 'projected_FD_points': 2.5498439298062743, 'confidence': -0.0010915247314453591, 'FD_Position': '2B'}, 'Steve Pearce_batter': {'Salary': 2800.0, 'projected_FD_points': 3.0237924271743628, 'confidence': 0.018498507485068094, 'FD_Position': 'OF'}, 'David Price_pitcher': {'Salary': 10800.0, 'projected_FD_points': 14.983519125417747, 'confidence': -0.76651284838922673, 'FD_Position': 'P'}, 'Preston Tucker_batter': {'Salary': 3100.0, 'projected_FD_points': 3.4055111890034384, 'confidence': -0.37004831582891562, 'FD_Position': 'OF'}, 'Marcus Semien_batter': {'Salary': 2800.0, 'projected_FD_points': 2.4267436991689166, 'confidence': 0.0097347274847050524, 'FD_Position': 'SS'}, 'Chris Carter_batter': {'Salary': 2900.0, 'projected_FD_points': 2.6525353446950941, 'confidence': -0.067781255727253464, 'FD_Position': '1B'}}</t>
  </si>
  <si>
    <t>{'Michael Brantley_batter': {'Salary': 4100.0, 'projected_FD_points': 3.2203281083276272, 'confidence': -0.055985291632574929, 'FD_Position': 'OF'}, 'Albert Pujols_batter': {'Salary': 3200.0, 'projected_FD_points': 2.8028064101161654, 'confidence': -0.35726751598993478, 'FD_Position': '1B'}, 'Matt Kemp_batter': {'Salary': 2300.0, 'projected_FD_points': 2.2237640510062056, 'confidence': 0.00066593776520329495, 'FD_Position': 'OF'}, 'J.D. Martinez_batter': {'Salary': 3000.0, 'projected_FD_points': 2.8054493797621873, 'confidence': -0.017931136931767622, 'FD_Position': 'OF'}, 'Robinson Cano_batter': {'Salary': 2600.0, 'projected_FD_points': 2.5498439298062743, 'confidence': -0.0010915247314453591, 'FD_Position': '2B'}, 'Yan Gomes_batter': {'Salary': 2600.0, 'projected_FD_points': 2.1763565891472867, 'confidence': -0.041941092349703224, 'FD_Position': 'C'}, 'Marcus Semien_batter': {'Salary': 2800.0, 'projected_FD_points': 2.4267436991689166, 'confidence': 0.0097347274847050524, 'FD_Position': 'SS'}, 'David Price_pitcher': {'Salary': 10800.0, 'projected_FD_points': 14.983519125417747, 'confidence': -0.76651284838922673, 'FD_Position': 'P'}, 'Kyle Seager_batter': {'Salary': 3500.0, 'projected_FD_points': 2.7999922346927164, 'confidence': -0.13584540121436439, 'FD_Position': '3B'}}</t>
  </si>
  <si>
    <t>{'Kris Bryant_batter': {'Salary': 4600.0, 'projected_FD_points': 3.6769284238647062, 'confidence': -1.7371964016072572, 'FD_Position': '3B'}, 'Jose Altuve_batter': {'Salary': 3800.0, 'projected_FD_points': 2.9176160311954424, 'confidence': -0.076656943222730423, 'FD_Position': '2B'}, 'Steve Pearce_batter': {'Salary': 2800.0, 'projected_FD_points': 3.0237924271743628, 'confidence': 0.018498507485068094, 'FD_Position': 'OF'}, 'Blake Swihart_batter': {'Salary': 2400.0, 'projected_FD_points': 2.1908032395444978, 'confidence': 0.48779608644618078, 'FD_Position': 'C'}, 'Daniel Santana_batter': {'Salary': 2400.0, 'projected_FD_points': 2.1558648442729496, 'confidence': 0.070417565716092034, 'FD_Position': 'SS'}, 'Jake Odorizzi_pitcher': {'Salary': 8700.0, 'projected_FD_points': 13.142459969494968, 'confidence': -4.5558884619130682, 'FD_Position': 'P'}, 'Preston Tucker_batter': {'Salary': 3100.0, 'projected_FD_points': 3.4055111890034384, 'confidence': -0.37004831582891562, 'FD_Position': 'OF'}, 'Giancarlo Stanton_batter': {'Salary': 4200.0, 'projected_FD_points': 3.512765708613196, 'confidence': 0.013222752852974917, 'FD_Position': 'OF'}, 'Chris Carter_batter': {'Salary': 2900.0, 'projected_FD_points': 2.6525353446950941, 'confidence': -0.067781255727253464, 'FD_Position': '1B'}}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</si>
  <si>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'Chris Owings_batter': {'Salary': 2600.0, 'projected_FD_points': 2.2237388372754721, 'confidence': 0.058642623286521034, 'FD_Position': 'SS'}, 'Melky Cabrera_batter': {'Salary': 2200.0, 'projected_FD_points': 2.63561397089883, 'confidence': -0.03897949378706822, 'FD_Position': 'OF'}, 'Brett Anderson_pitcher': {'Salary': 6700.0, 'projected_FD_points': 10.064650415859136, 'confidence': -0.56453385240928045, 'FD_Position': 'P'}, 'Preston Tucker_batter': {'Salary': 3100.0, 'projected_FD_points': 3.4055111890034384, 'confidence': -0.37004831582891562, 'FD_Position': 'OF'}, 'Paul Goldschmidt_batter': {'Salary': 5200.0, 'projected_FD_points': 3.4976373409474366, 'confidence': -0.17175646562064339, 'FD_Position': '1B'}, 'Dexter Fowler_batter': {'Salary': 3600.0, 'projected_FD_points': 2.908632684250871, 'confidence': 0.031477899444180779, 'FD_Position': 'OF'}, 'Jose Altuve_batter': {'Salary': 3800.0, 'projected_FD_points': 2.9176160311954424, 'confidence': -0.076656943222730423, 'FD_Position': '2B'}}</t>
  </si>
  <si>
    <t>{'Kris Bryant_batter': {'Salary': 4600.0, 'projected_FD_points': 3.5078143669665072, 'confidence': -0.025760195114076456, 'FD_Position': '3B'}, 'Anthony Rizzo_batter': {'Salary': 4100.0, 'projected_FD_points': 3.486112228937484, 'confidence': -0.10988412885909526, 'FD_Position': '1B'}, 'Chris Owings_batter': {'Salary': 2600.0, 'projected_FD_points': 2.3688325654125597, 'confidence': -0.2461314994782593, 'FD_Position': 'SS'}, 'Jonathan Lucroy_batter': {'Salary': 2900.0, 'projected_FD_points': 2.2770397581293231, 'confidence': -0.09302220797614047, 'FD_Position': 'C'}, 'Jose Altuve_batter': {'Salary': 3800.0, 'projected_FD_points': 2.8384278068940247, 'confidence': -0.022049150318358191, 'FD_Position': '2B'}, 'Todd Cunningham_batter': {'Salary': 2200.0, 'projected_FD_points': 4.5205810606529244, 'confidence': -1.7326549645679732, 'FD_Position': 'OF'}, 'Jorge Soler_batter': {'Salary': 2800.0, 'projected_FD_points': 3.3190931239545249, 'confidence': -5.541186781276501, 'FD_Position': 'OF'}, 'Christian Yelich_batter': {'Salary': 2300.0, 'projected_FD_points': 2.594793837256244, 'confidence': -0.023906201757576406, 'FD_Position': 'OF'}, 'Michael Pineda_pitcher': {'Salary': 9700.0, 'projected_FD_points': 14.689149739569185, 'confidence': -1.1482602499986307, 'FD_Position': 'P'}}</t>
  </si>
  <si>
    <t>{'Russell Martin_batter': {'Salary': 3100.0, 'projected_FD_points': 2.4745404966285727, 'confidence': -0.18196470624382144, 'FD_Position': 'C'}, 'Anthony Rizzo_batter': {'Salary': 4100.0, 'projected_FD_points': 3.301203017957187, 'confidence': -0.10053443092889935, 'FD_Position': '1B'}, 'Brian Dozier_batter': {'Salary': 4100.0, 'projected_FD_points': 3.1244866990570594, 'confidence': -0.05405830481815177, 'FD_Position': '2B'}, 'Dexter Fowler_batter': {'Salary': 3500.0, 'projected_FD_points': 3.2391815051677697, 'confidence': 0.055121204774903898, 'FD_Position': 'OF'}, 'Pablo Sandoval_batter': {'Salary': 2300.0, 'projected_FD_points': 2.3412339646188878, 'confidence': -0.050595104715321249, 'FD_Position': '3B'}, 'Todd Cunningham_batter': {'Salary': 2200.0, 'projected_FD_points': 3.4856189692388986, 'confidence': 0.67874064837561987, 'FD_Position': 'OF'}, 'A.J. Pollock_batter': {'Salary': 4300.0, 'projected_FD_points': 3.8959847084080432, 'confidence': -0.035845166426579977, 'FD_Position': 'OF'}, 'Chris Heston_pitcher': {'Salary': 6900.0, 'projected_FD_points': 19.612181640937045, 'confidence': -7.3686672749215472, 'FD_Position': 'P'}, 'Troy Tulowitzki_batter': {'Salary': 4500.0, 'projected_FD_points': 3.4410017312430563, 'confidence': -0.11278113383009813, 'FD_Position': 'SS'}}</t>
  </si>
  <si>
    <t>{'Michael Brantley_batter': {'Salary': 3900.0, 'projected_FD_points': 3.3832353815032401, 'confidence': -0.098495691776571359, 'FD_Position': 'OF'}, 'Lonnie Chisenhall_batter': {'Salary': 2500.0, 'projected_FD_points': 2.1202339884684989, 'confidence': -0.33113903233220365, 'FD_Position': '3B'}, 'Jonathan Lucroy_batter': {'Salary': 2900.0, 'projected_FD_points': 2.4494636959055689, 'confidence': -0.22081445767605135, 'FD_Position': 'C'}, 'Jose Altuve_batter': {'Salary': 3900.0, 'projected_FD_points': 2.8101253341259609, 'confidence': -0.029207867489854822, 'FD_Position': '2B'}, 'Adam LaRoche_batter': {'Salary': 2900.0, 'projected_FD_points': 2.4940141407944005, 'confidence': 0.0097016168611560039, 'FD_Position': '1B'}, 'Steve Pearce_batter': {'Salary': 2700.0, 'projected_FD_points': 2.8116471941754164, 'confidence': -0.0087027755303241694, 'FD_Position': 'OF'}, 'Preston Tucker_batter': {'Salary': 3000.0, 'projected_FD_points': 2.7400233358147355, 'confidence': -0.53130586752200215, 'FD_Position': 'OF'}, 'Troy Tulowitzki_batter': {'Salary': 4500.0, 'projected_FD_points': 3.4410017312430563, 'confidence': -0.11278113383009813, 'FD_Position': 'SS'}, 'Collin McHugh_pitcher': {'Salary': 8400.0, 'projected_FD_points': 12.021630585578006, 'confidence': -0.38055289624883537, 'FD_Position': 'P'}}</t>
  </si>
  <si>
    <t>{'Yasmany Tomas_batter': {'Salary': 2900.0, 'projected_FD_points': 3.1647606077327, 'confidence': -5.2477765784889314, 'FD_Position': '3B'}, 'Anthony Rizzo_batter': {'Salary': 4100.0, 'projected_FD_points': 3.4123311581494238, 'confidence': -0.12591234679780716, 'FD_Position': '1B'}, 'Todd Cunningham_batter': {'Salary': 2300.0, 'projected_FD_points': 4.6002759079824447, 'confidence': -0.25446009386875224, 'FD_Position': 'OF'}, 'Marcus Semien_batter': {'Salary': 2700.0, 'projected_FD_points': 2.4397217428219236, 'confidence': -0.81426022311329516, 'FD_Position': 'SS'}, 'A.J. Pollock_batter': {'Salary': 4300.0, 'projected_FD_points': 3.6516456390534056, 'confidence': 0.15046908748761845, 'FD_Position': 'OF'}, 'Dexter Fowler_batter': {'Salary': 3500.0, 'projected_FD_points': 3.4343485735153534, 'confidence': 0.1052627026257269, 'FD_Position': 'OF'}, 'Chase Utley_batter': {'Salary': 2600.0, 'projected_FD_points': 2.442981772993984, 'confidence': -0.17908793489137631, 'FD_Position': '2B'}, 'Chris Sale_pitcher': {'Salary': 10400.0, 'projected_FD_points': 16.88892700633091, 'confidence': -0.2350499067367029, 'FD_Position': 'P'}, 'Christian Bethancourt_batter': {'Salary': 2200.0, 'projected_FD_points': 2.3058877616613911, 'confidence': -0.11625190171240307, 'FD_Position': 'C'}}</t>
  </si>
  <si>
    <t>{'Yasmany Tomas_batter': {'Salary': 2900.0, 'projected_FD_points': 3.1647606077327, 'confidence': -5.2477765784889314, 'FD_Position': '3B'}, 'Brian Dozier_batter': {'Salary': 4100.0, 'projected_FD_points': 2.9597134777895175, 'confidence': 0.010167975938821794, 'FD_Position': '2B'}, 'Jonathan Lucroy_batter': {'Salary': 2800.0, 'projected_FD_points': 2.722705194038137, 'confidence': -0.041123235909028111, 'FD_Position': 'C'},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'Xander Bogaerts_batter': {'Salary': 2300.0, 'projected_FD_points': 2.0876675773498139, 'confidence': -0.10051927926971449, 'FD_Position': 'SS'}, 'A.J. Pollock_batter': {'Salary': 4300.0, 'projected_FD_points': 3.6516456390534056, 'confidence': 0.15046908748761845, 'FD_Position': 'OF'}, 'David Ortiz_batter': {'Salary': 2600.0, 'projected_FD_points': 2.5298970246891765, 'confidence': -0.026860747542083896, 'FD_Position': '1B'}, 'Nelson Cruz_batter': {'Salary': 4200.0, 'projected_FD_points': 3.3162363687461438, 'confidence': -0.30662825366245672, 'FD_Position': 'OF'}}</t>
  </si>
  <si>
    <t>{'Yasmany Tomas_batter': {'Salary': 2900.0, 'projected_FD_points': 3.1647606077327, 'confidence': -5.2477765784889314, 'FD_Position': '3B'}, 'Mark Teixeira_batter': {'Salary': 3700.0, 'projected_FD_points': 2.6696634629219833, 'confidence': 0.015631320363628798, 'FD_Position': '1B'}, 'Chris Owings_batter': {'Salary': 2600.0, 'projected_FD_points': 1.9551430129711991, 'confidence': -0.059732632992731682, 'FD_Position': 'SS'}, 'Neil Walker_batter': {'Salary': 2800.0, 'projected_FD_points': 2.6189907891764217, 'confidence': -1.1548431887841319, 'FD_Position': '2B'},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'A.J. Pollock_batter': {'Salary': 4300.0, 'projected_FD_points': 3.6516456390534056, 'confidence': 0.15046908748761845, 'FD_Position': 'OF'}, 'Nelson Cruz_batter': {'Salary': 4200.0, 'projected_FD_points': 3.3162363687461438, 'confidence': -0.30662825366245672, 'FD_Position': 'OF'}, 'Christian Bethancourt_batter': {'Salary': 2200.0, 'projected_FD_points': 2.3058877616613911, 'confidence': -0.11625190171240307, 'FD_Position': 'C'}}</t>
  </si>
  <si>
    <t>{'Carlos Perez_batter': {'Salary': 2900.0, 'projected_FD_points': 3.1050335570469798, 'confidence': -6.5416899249803961, 'FD_Position': 'C'}, 'Marcus Semien_batter': {'Salary': 2700.0, 'projected_FD_points': 2.4397217428219236, 'confidence': -0.81426022311329516, 'FD_Position': 'SS'}, 'Maikel Franco_batter': {'Salary': 2200.0, 'projected_FD_points': 2.3598369921752234, 'confidence': -0.39811790465378816, 'FD_Position': '3B'}, 'Dexter Fowler_batter': {'Salary': 3500.0, 'projected_FD_points': 3.4343485735153534, 'confidence': 0.1052627026257269, 'FD_Position': 'OF'}, 'Giancarlo Stanton_batter': {'Salary': 4500.0, 'projected_FD_points': 3.5472970412864648, 'confidence': -0.018525253328407931, 'FD_Position': 'OF'}, 'Steve Pearce_batter': {'Salary': 2700.0, 'projected_FD_points': 2.7466143289672171, 'confidence': 0.060292291209444571, 'FD_Position': 'OF'}, 'Chase Utley_batter': {'Salary': 2600.0, 'projected_FD_points': 2.442981772993984, 'confidence': -0.17908793489137631, 'FD_Position': '2B'}, 'Jose Abreu_batter': {'Salary': 3500.0, 'projected_FD_points': 2.8025768561045004, 'confidence': -0.033331098643825108, 'FD_Position': '1B'}, 'Chris Sale_pitcher': {'Salary': 10400.0, 'projected_FD_points': 16.88892700633091, 'confidence': -0.2350499067367029, 'FD_Position': 'P'}}</t>
  </si>
  <si>
    <t>{'Kris Bryant_batter': {'Salary': 4300.0, 'projected_FD_points': 3.5505499472605466, 'confidence': -0.46607237087786335, 'FD_Position': '3B'}, 'Starlin Castro_batter': {'Salary': 2700.0, 'projected_FD_points': 2.1870913180408098, 'confidence': -0.016564080363913325, 'FD_Position': 'SS'}, 'Evan Gattis_batter': {'Salary': 4200.0, 'projected_FD_points': 3.0559655618374459, 'confidence': -0.070530872666022315, 'FD_Position': 'C'}, 'David Ortiz_batter': {'Salary': 2500.0, 'projected_FD_points': 2.7486008388426644, 'confidence': -0.4810986806097941, 'FD_Position': '1B'}, 'Steve Pearce_batter': {'Salary': 2700.0, 'projected_FD_points': 2.931312290903183, 'confidence': 0.020447954515687483, 'FD_Position': 'OF'},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</si>
  <si>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{'Robinson Chirinos_batter': {'Salary': 2900.0, 'projected_FD_points': 2.013602752474037, 'confidence': -0.044872012453795795, 'FD_Position': 'C'}, 'Starlin Castro_batter': {'Salary': 2700.0, 'projected_FD_points': 2.1870913180408098, 'confidence': -0.016564080363913325, 'FD_Position': 'SS'}, 'Melky Cabrera_batter': {'Salary': 2200.0, 'projected_FD_points': 2.5029511932795097, 'confidence': -0.040314649326735452, 'FD_Position': 'OF'}, 'Kris Bryant_batter': {'Salary': 4300.0, 'projected_FD_points': 3.5505499472605466, 'confidence': -0.46607237087786335, 'FD_Position': '3B'},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'Carlos Santana_batter': {'Salary': 4100.0, 'projected_FD_points': 3.3126926646703851, 'confidence': -0.41613158934045291, 'FD_Position': '1B'},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</si>
  <si>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{'Yoenis Cespedes_batter': {'Salary': 3300.0, 'projected_FD_points': 2.3546788763514899, 'confidence': -0.24758796678420447, 'FD_Position': 'OF'}, 'Manny Machado_batter': {'Salary': 3400.0, 'projected_FD_points': 2.3794351114532248, 'confidence': -0.40917391310773077, 'FD_Position': '3B'}, 'Evan Gattis_batter': {'Salary': 4200.0, 'projected_FD_points': 3.0559655618374459, 'confidence': -0.070530872666022315, 'FD_Position': 'C'}, 'Jose Altuve_batter': {'Salary': 3800.0, 'projected_FD_points': 2.866232783324846, 'confidence': -0.015471874948099096, 'FD_Position': '2B'}, 'J.D. Martinez_batter': {'Salary': 3100.0, 'projected_FD_points': 2.8636461680420262, 'confidence': 0.011178869037135275, 'FD_Position': 'OF'}, 'Steve Pearce_batter': {'Salary': 2700.0, 'projected_FD_points': 2.931312290903183, 'confidence': 0.020447954515687483, 'FD_Position': 'OF'}, 'Xander Bogaerts_batter': {'Salary': 2400.0, 'projected_FD_points': 1.993348994058441, 'confidence': 0.0029300722548453173, 'FD_Position': 'SS'}, 'Wei-Yin Chen_pitcher': {'Salary': 7400.0, 'projected_FD_points': 10.213883119975931, 'confidence': 0.061911998240979926, 'FD_Position': 'P'}, 'Miguel Cabrera_batter': {'Salary': 4700.0, 'projected_FD_points': 3.3441484200779339, 'confidence': 0.04122156456228887, 'FD_Position': '1B'}}</t>
  </si>
  <si>
    <t>{'Russell Martin_batter': {'Salary': 3100.0, 'projected_FD_points': 2.5798908042176976, 'confidence': -0.052942716612973229, 'FD_Position': 'C'}, 'Joey Butler_batter': {'Salary': 3000.0, 'projected_FD_points': 3.3618230814975085, 'confidence': -1.2094701264433736, 'FD_Position': 'OF'}, 'Robinson Cano_batter': {'Salary': 2500.0, 'projected_FD_points': 2.6344024792288363, 'confidence': -0.061883061215425306, 'FD_Position': '2B'}, 'Marcus Semien_batter': {'Salary': 2600.0, 'projected_FD_points': 2.6788762907430961, 'confidence': -2.4701510807857643, 'FD_Position': 'SS'}, 'Dexter Fowler_batter': {'Salary': 3400.0, 'projected_FD_points': 3.3315640877912251, 'confidence': 0.023866983847169454, 'FD_Position': 'OF'}, 'Brett Lawrie_batter': {'Salary': 2800.0, 'projected_FD_points': 2.6242813779406999, 'confidence': -0.16000619102470059, 'FD_Position': '3B'}, 'Jose Abreu_batter': {'Salary': 3700.0, 'projected_FD_points': 3.5076948695237395, 'confidence': -0.17926816259030431, 'FD_Position': '1B'}, 'Tyson Ross_pitcher': {'Salary': 9000.0, 'projected_FD_points': 11.870925349574216, 'confidence': -0.04796093558722081, 'FD_Position': 'P'}, 'Andrew McCutchen_batter': {'Salary': 4800.0, 'projected_FD_points': 3.6200421792691433, 'confidence': -0.23846226066911114, 'FD_Position': 'OF'}}</t>
  </si>
  <si>
    <t>{'Chris Owings_batter': {'Salary': 2700.0, 'projected_FD_points': 2.0276102809854124, 'confidence': 0.062666591364666124, 'FD_Position': 'SS'}, 'Jake Odorizzi_pitcher': {'Salary': 8600.0, 'projected_FD_points': 10.71757662019453, 'confidence': 0.21437887625352325, 'FD_Position': 'P'}, 'Robinson Cano_batter': {'Salary': 2500.0, 'projected_FD_points': 2.6344024792288363, 'confidence': -0.061883061215425306, 'FD_Position': '2B'}, 'Paul Goldschmidt_batter': {'Salary': 5500.0, 'projected_FD_points': 3.559878326783156, 'confidence': 0.034856566538032707, 'FD_Position': '1B'}, 'Mike Zunino_batter': {'Salary': 2200.0, 'projected_FD_points': 1.92464779537376, 'confidence': -0.11119395828637924, 'FD_Position': 'C'}, 'Joey Butler_batter': {'Salary': 3000.0, 'projected_FD_points': 3.3618230814975085, 'confidence': -1.2094701264433736, 'FD_Position': 'OF'}, 'Michael Cuddyer_batter': {'Salary': 2700.0, 'projected_FD_points': 2.8333646634555349, 'confidence': 0.029044565160695424, 'FD_Position': 'OF'}, 'Nelson Cruz_batter': {'Salary': 4000.0, 'projected_FD_points': 3.0316787073735125, 'confidence': -0.023386646051563709, 'FD_Position': 'OF'}, 'Matt Carpenter_batter': {'Salary': 3800.0, 'projected_FD_points': 2.7563633245655721, 'confidence': -0.016357274645072639, 'FD_Position': '3B'}}</t>
  </si>
  <si>
    <t>{'Brian Dozier_batter': {'Salary': 4200.0, 'projected_FD_points': 2.7795209727775401, 'confidence': -0.007278141621473555, 'FD_Position': '2B'}, 'Jonathan Lucroy_batter': {'Salary': 2800.0, 'projected_FD_points': 2.4377185668864136, 'confidence': -0.27694452769231459, 'FD_Position': 'C'}, 'Trevor Plouffe_batter': {'Salary': 2800.0, 'projected_FD_points': 2.3591151870943845, 'confidence': -0.15738169578435879, 'FD_Position': '3B'}, 'Jose Quintana_pitcher': {'Salary': 7600.0, 'projected_FD_points': 9.9862775070909535, 'confidence': -3.2633269939739824, 'FD_Position': 'P'}, 'J.D. Martinez_batter': {'Salary': 3000.0, 'projected_FD_points': 2.8094610319971269, 'confidence': -0.14709700168548046, 'FD_Position': 'OF'}, 'Torii Hunter_batter': {'Salary': 3200.0, 'projected_FD_points': 2.5482116292276427, 'confidence': -0.051187395383625489, 'FD_Position': 'OF'}, 'Jose Abreu_batter': {'Salary': 3700.0, 'projected_FD_points': 3.5076948695237395, 'confidence': -0.17926816259030431, 'FD_Position': '1B'}, 'Giancarlo Stanton_batter': {'Salary': 5300.0, 'projected_FD_points': 3.5478428550355368, 'confidence': 0.00038510944757441656, 'FD_Position': 'OF'}, 'Alexei Ramirez_batter': {'Salary': 2300.0, 'projected_FD_points': 2.2102918154300193, 'confidence': -0.084223424540144087, 'FD_Position': 'SS'}}</t>
  </si>
  <si>
    <t>{'Matt Wieters_batter': {'Salary': 2900.0, 'projected_FD_points': 3.0507238867167077, 'confidence': -6.9117816989347629, 'FD_Position': 'C'}, 'Neil Walker_batter': {'Salary': 2700.0, 'projected_FD_points': 2.3256370130064354, 'confidence': -0.067764961813943092, 'FD_Position': '2B'}, 'Matt Kemp_batter': {'Salary': 2200.0, 'projected_FD_points': 2.2304349025973176, 'confidence': -0.071015756245211614, 'FD_Position': 'OF'}, 'David Ortiz_batter': {'Salary': 2500.0, 'projected_FD_points': 2.5081342246622467, 'confidence': -0.040428923852649623, 'FD_Position': '1B'}, 'Marcus Semien_batter': {'Salary': 2600.0, 'projected_FD_points': 2.374801486766243, 'confidence': -0.79662968133278755, 'FD_Position': 'SS'}, 'David Price_pitcher': {'Salary': 11000.0, 'projected_FD_points': 13.746610591190791, 'confidence': -0.082962759233053074, 'FD_Position': 'P'}, 'Adam Jones_batter': {'Salary': 3000.0, 'projected_FD_points': 2.7909076055288651, 'confidence': -0.021062437370736875, 'FD_Position': 'OF'}, 'Josh Harrison_batter': {'Salary': 3300.0, 'projected_FD_points': 2.6702758042554149, 'confidence': -0.3036000649692201, 'FD_Position': '3B'}, 'Andrew McCutchen_batter': {'Salary': 4800.0, 'projected_FD_points': 3.8196433363928222, 'confidence': -1.1894513931697479, 'FD_Position': 'OF'}}</t>
  </si>
  <si>
    <t>{'Yasmany Tomas_batter': {'Salary': 3000.0, 'projected_FD_points': 3.0766554861821547, 'confidence': 0.029648613872986562, 'FD_Position': '3B'}, 'Robinson Cano_batter': {'Salary': 2500.0, 'projected_FD_points': 2.9459590283703219, 'confidence': -0.35195511235326116, 'FD_Position': '2B'}, 'Adam LaRoche_batter': {'Salary': 2700.0, 'projected_FD_points': 2.7122371931259495, 'confidence': -0.11732842200625759, 'FD_Position': '1B'}, 'Clayton Kershaw_pitcher': {'Salary': 11700.0, 'projected_FD_points': 16.633255880681247, 'confidence': -7.1456515539719234, 'FD_Position': 'P'}, 'Joey Butler_batter': {'Salary': 3200.0, 'projected_FD_points': 3.2101862062945514, 'confidence': -0.17634602606236394, 'FD_Position': 'OF'}, 'Michael Cuddyer_batter': {'Salary': 2600.0, 'projected_FD_points': 2.8552963178491586, 'confidence': -0.15075882364887017, 'FD_Position': 'OF'}, 'Anthony Recker_batter': {'Salary': 2300.0, 'projected_FD_points': 2.989091019222947, 'confidence': -0.42796415704923763, 'FD_Position': 'C'}, 'Alexei Ramirez_batter': {'Salary': 2200.0, 'projected_FD_points': 2.1420432427694776, 'confidence': -0.012472607228335209, 'FD_Position': 'SS'}, 'Andrew McCutchen_batter': {'Salary': 4800.0, 'projected_FD_points': 3.8196433363928222, 'confidence': -1.1894513931697479, 'FD_Position': 'OF'}}</t>
  </si>
  <si>
    <t>{'Hanser Alberto_batter': {'Salary': 2600.0, 'projected_FD_points': 2.25, 'confidence': 0, 'FD_Position': '2B'}, 'Michael Brantley_batter': {'Salary': 3900.0, 'projected_FD_points': 3.1856684360494927, 'confidence': 0.034659309114457804, 'FD_Position': 'OF'}, 'Madison Bumgarner_pitcher': {'Salary': 10200.0, 'projected_FD_points': 14.022747531342024, 'confidence': -1.1961073489356839, 'FD_Position': 'P'}, 'David Ortiz_batter': {'Salary': 2500.0, 'projected_FD_points': 2.5081342246622467, 'confidence': -0.040428923852649623, 'FD_Position': '1B'}, 'Aramis Ramirez_batter': {'Salary': 2300.0, 'projected_FD_points': 2.2177682515929669, 'confidence': -0.088256971395470618, 'FD_Position': '3B'}, 'Daniel Santana_batter': {'Salary': 2200.0, 'projected_FD_points': 2.3443880425253107, 'confidence': -0.074629708521321891, 'FD_Position': 'SS'}, 'Adam Jones_batter': {'Salary': 3000.0, 'projected_FD_points': 2.7909076055288651, 'confidence': -0.021062437370736875, 'FD_Position': 'OF'}, 'Giancarlo Stanton_batter': {'Salary': 5300.0, 'projected_FD_points': 3.692893991442781, 'confidence': -0.067351129628254514, 'FD_Position': 'OF'}, 'Matt Wieters_batter': {'Salary': 2900.0, 'projected_FD_points': 3.0507238867167077, 'confidence': -6.9117816989347629, 'FD_Position': 'C'}}</t>
  </si>
  <si>
    <t>{'Anthony Rizzo_batter': {'Salary': 4400.0, 'projected_FD_points': 3.7120946838340267, 'confidence': -0.29184158097049107, 'FD_Position': '1B'}, 'Chris Owings_batter': {'Salary': 2600.0, 'projected_FD_points': 2.256767259022705, 'confidence': -0.097788405237122289, 'FD_Position': 'SS'}, 'Joey Butler_batter': {'Salary': 3200.0, 'projected_FD_points': 3.1732041867078697, 'confidence': 0.05050183983794887, 'FD_Position': 'OF'}, 'Ruben Tejada_batter': {'Salary': 2700.0, 'projected_FD_points': 2.3850577579570142, 'confidence': -0.43420142617972868, 'FD_Position': '2B'}, 'Dexter Fowler_batter': {'Salary': 3300.0, 'projected_FD_points': 3.9456172336779751, 'confidence': -0.28292529371275243, 'FD_Position': 'OF'}, 'Kyle Seager_batter': {'Salary': 3100.0, 'projected_FD_points': 2.6552104193992436, 'confidence': -0.076195131075149858, 'FD_Position': '3B'}, 'Michael Cuddyer_batter': {'Salary': 2700.0, 'projected_FD_points': 3.5347918132166809, 'confidence': -0.38344664364470393, 'FD_Position': 'OF'}, 'Jacob deGrom_pitcher': {'Salary': 10400.0, 'projected_FD_points': 18.208197061408967, 'confidence': -1.9459148810911753, 'FD_Position': 'P'}, 'Jarrod Saltalamacchia_batter': {'Salary': 2300.0, 'projected_FD_points': 1.968799066178526, 'confidence': -0.045377356370042143, 'FD_Position': 'C'}}</t>
  </si>
  <si>
    <t>{'Russell Martin_batter': {'Salary': 3000.0, 'projected_FD_points': 2.4810344827586208, 'confidence': -0.12278916403867046, 'FD_Position': 'C'}, 'Ian Kennedy_pitcher': {'Salary': 7300.0, 'projected_FD_points': 13.910641190054065, 'confidence': -4.0992863310043743, 'FD_Position': 'P'}, 'Trevor Plouffe_batter': {'Salary': 2600.0, 'projected_FD_points': 2.3413572186407299, 'confidence': 0.084446234967699874, 'FD_Position': '3B'}, 'Jose Altuve_batter': {'Salary': 3600.0, 'projected_FD_points': 2.7159059930078135, 'confidence': -0.076251057563635261, 'FD_Position': '2B'}, 'Kennys Vargas_batter': {'Salary': 2500.0, 'projected_FD_points': 2.7418684497536887, 'confidence': 0.012383728068127375, 'FD_Position': '1B'}, 'Justin Upton_batter': {'Salary': 4000.0, 'projected_FD_points': 3.1004216708708681, 'confidence': 0.028796326632577585, 'FD_Position': 'OF'}, 'Troy Tulowitzki_batter': {'Salary': 4800.0, 'projected_FD_points': 3.3554554098687643, 'confidence': 0.014899782108300008, 'FD_Position': 'SS'}, 'Giancarlo Stanton_batter': {'Salary': 4900.0, 'projected_FD_points': 3.874032493069715, 'confidence': -0.12468255745742862, 'FD_Position': 'OF'}, 'Melky Cabrera_batter': {'Salary': 2200.0, 'projected_FD_points': 2.4346256761592699, 'confidence': -0.016181106845242876, 'FD_Position': 'OF'}}</t>
  </si>
  <si>
    <t>{'Corey Kluber_pitcher': {'Salary': 11100.0, 'projected_FD_points': 14.606642918254671, 'confidence': -0.71440289509568133, 'FD_Position': 'P'}, 'Eddie Rosario_batter': {'Salary': 2600.0, 'projected_FD_points': 3.2917455388590273, 'confidence': -1.410183167088416, 'FD_Position': 'OF'}, 'Robinson Cano_batter': {'Salary': 2300.0, 'projected_FD_points': 2.4085086091159704, 'confidence': -0.0091868127047469716, 'FD_Position': '2B'}, 'Kennys Vargas_batter': {'Salary': 2500.0, 'projected_FD_points': 3.3942259724667752, 'confidence': -0.41694932104157578, 'FD_Position': '1B'}, 'Maikel Franco_batter': {'Salary': 3100.0, 'projected_FD_points': 3.2336105323370887, 'confidence': -0.87490241595344531, 'FD_Position': '3B'}, 'Dexter Fowler_batter': {'Salary': 3300.0, 'projected_FD_points': 3.714669878241156, 'confidence': -0.36227111186464311, 'FD_Position': 'OF'}, 'Troy Tulowitzki_batter': {'Salary': 4700.0, 'projected_FD_points': 3.6195346595276066, 'confidence': -0.50254266513525603, 'FD_Position': 'SS'}, 'Ramon Flores_batter': {'Salary': 2200.0, 'projected_FD_points': 4.3484126984126981, 'confidence': 0, 'FD_Position': 'OF'}, 'Matt Wieters_batter': {'Salary': 3100.0, 'projected_FD_points': 3.0063413700496611, 'confidence': -0.38902792343561687, 'FD_Position': 'C'}}</t>
  </si>
  <si>
    <t>{'Michael Brantley_batter': {'Salary': 3800.0, 'projected_FD_points': 3.4287254143485839, 'confidence': -0.028915971635021576, 'FD_Position': 'OF'},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'Anthony Rendon_batter': {'Salary': 3600.0, 'projected_FD_points': 2.9441157117689305, 'confidence': -0.018967478809862603, 'FD_Position': '3B'},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'Carlos Santana_batter': {'Salary': 3800.0, 'projected_FD_points': 3.5038354429451788, 'confidence': -0.022323985709489902, 'FD_Position': '1B'}, 'Brandon Crawford_batter': {'Salary': 2900.0, 'projected_FD_points': 2.4613700637325548, 'confidence': 0.016888721240062909, 'FD_Position': 'SS'}, 'Michael Cuddyer_batter': {'Salary': 2600.0, 'projected_FD_points': 2.7112221487241559, 'confidence': -0.074250533318305445, 'FD_Position': 'OF'}}</t>
  </si>
  <si>
    <t>{'Michael Brantley_batter': {'Salary': 3800.0, 'projected_FD_points': 3.4287254143485839, 'confidence': -0.028915971635021576, 'FD_Position': 'OF'}, 'Anthony Rizzo_batter': {'Salary': 4500.0, 'projected_FD_points': 3.8712939276964646, 'confidence': -0.19384071553248527, 'FD_Position': '1B'},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'Aramis Ramirez_batter': {'Salary': 2200.0, 'projected_FD_points': 2.1907461836237934, 'confidence': -0.054165404267912276, 'FD_Position': '3B'}, 'Marcus Semien_batter': {'Salary': 2400.0, 'projected_FD_points': 2.2884437080111821, 'confidence': -0.0045036328762575462, 'FD_Position': 'SS'},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'Hanley Ramirez_batter': {'Salary': 3800.0, 'projected_FD_points': 3.053121968807623, 'confidence': -0.21089758808226766, 'FD_Position': 'OF'}}</t>
  </si>
  <si>
    <t>{'Ben Revere_batter': {'Salary': 3000.0, 'projected_FD_points': 2.753408294304962, 'confidence': 0.046592195704915129, 'FD_Position': 'OF'}, 'Ian Desmond_batter': {'Salary': 3000.0, 'projected_FD_points': 2.2627779919992896, 'confidence': 0.0065185583683441406, 'FD_Position': 'SS'}, 'Dee Gordon_batter': {'Salary': 3400.0, 'projected_FD_points': 2.1809967163845507, 'confidence': -0.010224664998601307, 'FD_Position': '2B'}, 'Tom Koehler_pitcher': {'Salary': 6600.0, 'projected_FD_points': 8.5736568365235861, 'confidence': -0.25306532778066071, 'FD_Position': 'P'}, 'Anthony Rendon_batter': {'Salary': 3600.0, 'projected_FD_points': 2.9441157117689305, 'confidence': -0.018967478809862603, 'FD_Position': '3B'}, 'Edwin Encarnacion_batter': {'Salary': 3800.0, 'projected_FD_points': 2.6579669349792563, 'confidence': -0.16753879786180348, 'FD_Position': '1B'}, 'Brian McCann_batter': {'Salary': 3700.0, 'projected_FD_points': 2.6252667322310819, 'confidence': -0.15179126714771174, 'FD_Position': 'C'}, 'Giancarlo Stanton_batter': {'Salary': 5000.0, 'projected_FD_points': 3.872295474336394, 'confidence': -0.04765732318835969, 'FD_Position': 'OF'}, 'Denard Span_batter': {'Salary': 2800.0, 'projected_FD_points': 2.4754919732967648, 'confidence': -0.025268391831672288, 'FD_Position': 'OF'}}</t>
  </si>
  <si>
    <t>{'Anthony Rizzo_batter': {'Salary': 4400.0, 'projected_FD_points': 3.2651104037736269, 'confidence': -0.0083624274994018588, 'FD_Position': '1B'}, 'Joey Butler_batter': {'Salary': 3100.0, 'projected_FD_points': 3.3365334601717316, 'confidence': 0.013519975898646952, 'FD_Position': 'OF'}, 'Dilson Herrera_batter': {'Salary': 2200.0, 'projected_FD_points': 3.0081159764828538, 'confidence': -0.12103486975910993, 'FD_Position': '2B'}, 'Evan Longoria_batter': {'Salary': 3000.0, 'projected_FD_points': 2.6820609167213547, 'confidence': -0.116168336331407, 'FD_Position': '3B'}, 'Buster Posey_batter': {'Salary': 3700.0, 'projected_FD_points': 2.8786892956686785, 'confidence': -0.052006711861067867, 'FD_Position': 'C'}, 'Dexter Fowler_batter': {'Salary': 3200.0, 'projected_FD_points': 3.7657713651654974, 'confidence': -0.068325717005955244, 'FD_Position': 'OF'}, 'Troy Tulowitzki_batter': {'Salary': 4500.0, 'projected_FD_points': 3.9852019581752098, 'confidence': -0.074106435506489765, 'FD_Position': 'SS'}, 'Garrett Richards_pitcher': {'Salary': 8600.0, 'projected_FD_points': 13.394999840685699, 'confidence': -1.7127435021404214, 'FD_Position': 'P'}, 'Nolan Reimold_batter': {'Salary': 2200.0, 'projected_FD_points': 2.6561427859494131, 'confidence': 0.16630693488560011, 'FD_Position': 'OF'}}</t>
  </si>
  <si>
    <t>{'Starlin Castro_batter': {'Salary': 2700.0, 'projected_FD_points': 2.1724754854628272, 'confidence': -0.024379773258319082, 'FD_Position': 'SS'}, 'Anthony Rizzo_batter': {'Salary': 4400.0, 'projected_FD_points': 3.2651104037736269, 'confidence': -0.0083624274994018588, 'FD_Position': '1B'}, 'Matt Garza_pitcher': {'Salary': 6500.0, 'projected_FD_points': 10.738860228193698, 'confidence': -0.41035375005816999, 'FD_Position': 'P'}, 'Todd Frazier_batter': {'Salary': 4400.0, 'projected_FD_points': 2.7348217330677569, 'confidence': -0.084164858169367918, 'FD_Position': '3B'}, 'Miguel Montero_batter': {'Salary': 2500.0, 'projected_FD_points': 2.0501783661292201, 'confidence': -0.070563100190941253, 'FD_Position': 'C'}, 'Dexter Fowler_batter': {'Salary': 3200.0, 'projected_FD_points': 3.7657713651654974, 'confidence': -0.068325717005955244, 'FD_Position': 'OF'}, 'Denard Span_batter': {'Salary': 2800.0, 'projected_FD_points': 2.1554024277850115, 'confidence': -0.047584730946763854, 'FD_Position': 'OF'}, 'Addison Russell_batter': {'Salary': 2400.0, 'projected_FD_points': 2.0648590518873675, 'confidence': -3.4033553237556982, 'FD_Position': '2B'}, 'Bryce Harper_batter': {'Salary': 5600.0, 'projected_FD_points': 2.6493098701079174, 'confidence': 0.030405543600547924, 'FD_Position': 'OF'}}</t>
  </si>
  <si>
    <t>{'Michael Brantley_batter': {'Salary': 3600.0, 'projected_FD_points': 3.1950112043436869, 'confidence': -0.0088981153425469195, 'FD_Position': 'OF'}, 'Eddie Rosario_batter': {'Salary': 2600.0, 'projected_FD_points': 4.1725033318602112, 'confidence': -8.2685968029941499, 'FD_Position': 'OF'}, 'Johnny Cueto_pitcher': {'Salary': 10800.0, 'projected_FD_points': 16.519127492355945, 'confidence': -0.35552977029445887, 'FD_Position': 'P'},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'Dexter Fowler_batter': {'Salary': 3300.0, 'projected_FD_points': 3.6853709124673917, 'confidence': 0.065299926529980956, 'FD_Position': 'OF'}, 'Troy Tulowitzki_batter': {'Salary': 4500.0, 'projected_FD_points': 3.744068785812757, 'confidence': -0.065401466739143821, 'FD_Position': 'SS'}}</t>
  </si>
  <si>
    <t>{'Ben Revere_batter': {'Salary': 3000.0, 'projected_FD_points': 2.9530285159539043, 'confidence': -0.10534747291219904, 'FD_Position': 'OF'}, 'Adam Eaton_batter': {'Salary': 2700.0, 'projected_FD_points': 2.5470233706554835, 'confidence': -0.21336261234934462, 'FD_Position': 'OF'}, 'Eddie Rosario_batter': {'Salary': 2600.0, 'projected_FD_points': 4.1725033318602112, 'confidence': -8.2685968029941499, 'FD_Position': 'OF'},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'Clayton Kershaw_pitcher': {'Salary': 12000.0, 'projected_FD_points': 16.991216058346549, 'confidence': 0.097121217392438286, 'FD_Position': 'P'}, 'Troy Tulowitzki_batter': {'Salary': 4500.0, 'projected_FD_points': 3.744068785812757, 'confidence': -0.065401466739143821, 'FD_Position': 'SS'}}</t>
  </si>
  <si>
    <t>{'Kris Bryant_batter': {'Salary': 4000.0, 'projected_FD_points': 3.7793034371768055, 'confidence': -0.21027840308532664, 'FD_Position': '3B'}, 'Jimmy Paredes_batter': {'Salary': 3200.0, 'projected_FD_points': 3.207082258721325, 'confidence': -0.054318299524876767, 'FD_Position': '2B'}, 'Johnny Cueto_pitcher': {'Salary': 10200.0, 'projected_FD_points': 13.181482910146389, 'confidence': -3.689065159110914, 'FD_Position': 'P'}, 'Chris Iannetta_batter': {'Salary': 2300.0, 'projected_FD_points': 2.3896962723345125, 'confidence': -0.30590642149696379, 'FD_Position': 'C'}, 'Prince Fielder_batter': {'Salary': 3400.0, 'projected_FD_points': 3.2341653243038895, 'confidence': 0.058254706341734463, 'FD_Position': '1B'}, 'Daniel Santana_batter': {'Salary': 2800.0, 'projected_FD_points': 2.4651639344262297, 'confidence': -0.01635163878503354, 'FD_Position': 'SS'}, 'Dexter Fowler_batter': {'Salary': 3400.0, 'projected_FD_points': 3.6160462741599351, 'confidence': 0.060243704817092958, 'FD_Position': 'OF'}, 'Preston Tucker_batter': {'Salary': 3000.0, 'projected_FD_points': 3.5, 'confidence': 0, 'FD_Position': 'OF'}, 'Michael Cuddyer_batter': {'Salary': 2500.0, 'projected_FD_points': 2.6595289531771003, 'confidence': -0.43100575026773247,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</si>
  <si>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'Mike Pelfrey_pitcher': {'Salary': 6600.0, 'projected_FD_points': 12.277416907565588, 'confidence': 0, 'FD_Position': 'P'}, 'Prince Fielder_batter': {'Salary': 3400.0, 'projected_FD_points': 3.4154220779220785, 'confidence': -0.12266698083460303, 'FD_Position': '1B'}, 'Josh Phegley_batter': {'Salary': 2400.0, 'projected_FD_points': 3.0303048239123997, 'confidence': 0.34542681800368125, 'FD_Position': 'C'},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</si>
  <si>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'Devin Mesoraco_batter': {'Salary': 2200.0, 'projected_FD_points': 2.4619477560901206, 'confidence': -0.12451843401328055, 'FD_Position': 'C'}, 'Mike Pelfrey_pitcher': {'Salary': 6600.0, 'projected_FD_points': 12.277416907565588, 'confidence': 0, 'FD_Position': 'P'}, 'Prince Fielder_batter': {'Salary': 3400.0, 'projected_FD_points': 3.4154220779220785, 'confidence': -0.12266698083460303, 'FD_Position': '1B'},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</si>
  <si>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2.6371113170878688, 'confidence': -0.050740968684129806,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</si>
  <si>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2.6371113170878688, 'confidence': -0.050740968684129806, 'FD_Position': 'OF'}}</t>
  </si>
  <si>
    <t>{'Odubel Herrera_batter': {'Salary': 3000.0, 'projected_FD_points': 2.2302009197637975, 'confidence': -3.4906793353700145, 'FD_Position': 'OF'}, 'Hunter Pence_batter': {'Salary': 3400.0, 'projected_FD_points': 2.5621404231070124, 'confidence': 0.016655063570887529, 'FD_Position': 'OF'}, 'Casey McGehee_batter': {'Salary': 2200.0, 'projected_FD_points': 1.8128463569225868, 'confidence': -0.024562891492851957, 'FD_Position': '3B'}, 'Ben Paulsen_batter': {'Salary': 2200.0, 'projected_FD_points': 1.7156099350241041, 'confidence': -0.89502657994412904, 'FD_Position': '1B'}, 'Angel Pagan_batter': {'Salary': 2700.0, 'projected_FD_points': 1.7607355188170293, 'confidence': -0.24819416351392731, 'FD_Position': 'OF'}, 'Clayton Kershaw_pitcher': {'Salary': 11200.0, 'projected_FD_points': 16.387394797981354, 'confidence': 0.0342293703313582, 'FD_Position': 'P'}, 'Troy Tulowitzki_batter': {'Salary': 4500.0, 'projected_FD_points': 3.2899105741404515, 'confidence': -0.21301369705997808, 'FD_Position': 'SS'}, 'Chase Utley_batter': {'Salary': 3100.0, 'projected_FD_points': 2.7554378244605706, 'confidence': -0.12128945055516649, 'FD_Position': '2B'}, 'Michael McKenry_batter': {'Salary': 2700.0, 'projected_FD_points': 2.2125489852020821, 'confidence': -0.13182952802305103, 'FD_Position': 'C'}}</t>
  </si>
  <si>
    <t>{'Michael Brantley_batter': {'Salary': 4700.0, 'projected_FD_points': 3.2443255373246882, 'confidence': -0.037140590344805213, 'FD_Position': 'OF'}, 'Adrian Beltre_batter': {'Salary': 3100.0, 'projected_FD_points': 2.619048357953683, 'confidence': -0.033143751054731441, 'FD_Position': '3B'}, 'Chris Iannetta_batter': {'Salary': 2700.0, 'projected_FD_points': 2.2922445297682383, 'confidence': 0.069544214327730836, 'FD_Position': 'C'}, 'Julio Teheran_pitcher': {'Salary': 8200.0, 'projected_FD_points': 10.471389227450942, 'confidence': -0.30317726852153593, 'FD_Position': 'P'}, 'Max Muncy_batter': {'Salary': 2700.0, 'projected_FD_points': 3.2069972978449233, 'confidence': 0.39815518780066816, 'FD_Position': '1B'}, 'Dexter Fowler_batter': {'Salary': 3500.0, 'projected_FD_points': 3.6582098444199214, 'confidence': -0.059467503704932811, 'FD_Position': 'OF'}, 'Mike Trout_batter': {'Salary': 5000.0, 'projected_FD_points': 3.3989704125663298, 'confidence': 0.0016538874588778452, 'FD_Position': 'OF'}, 'Alexei Ramirez_batter': {'Salary': 2300.0, 'projected_FD_points': 2.0985714285714288, 'confidence': -0.0056273981868077971, 'FD_Position': 'SS'}, 'Dustin Pedroia_batter': {'Salary': 2800.0, 'projected_FD_points': 2.1586538461538463, 'confidence': -0.0041211537313909918, 'FD_Position': '2B'}}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</si>
  <si>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2.5741206858539698, 'confidence': -0.3323980886350133, 'FD_Position': 'OF'}, 'Jason Castro_batter': {'Salary': 2300.0, 'projected_FD_points': 2.0804381675765491, 'confidence': -0.060100000532271824, 'FD_Position': 'C'}}</t>
  </si>
  <si>
    <t>{'Phil Hughes_pitcher': {'Salary': 7800.0, 'projected_FD_points': 12.366036410391503, 'confidence': 0.2846094338280547, 'FD_Position': 'P'}, 'Brian Dozier_batter': {'Salary': 3800.0, 'projected_FD_points': 2.6199199553736015, 'confidence': -0.076147839383956528, 'FD_Position': '2B'}, 'Trevor Plouffe_batter': {'Salary': 2800.0, 'projected_FD_points': 2.3656038317146821, 'confidence': 0.022682478441879761, 'FD_Position': '3B'}, 'Hunter Pence_batter': {'Salary': 3300.0, 'projected_FD_points': 2.9927356849460871, 'confidence': 0.063317279509583546, 'FD_Position': 'OF'}, 'Alex Gordon_batter': {'Salary': 3200.0, 'projected_FD_points': 2.5073369852538763, 'confidence': -0.04130959956392255, 'FD_Position': 'OF'}, 'Buster Posey_batter': {'Salary': 4600.0, 'projected_FD_points': 2.4767759562841531, 'confidence': -0.0014944475785294564, 'FD_Position': 'C'}, 'Jose Abreu_batter': {'Salary': 3500.0, 'projected_FD_points': 3.106837838632388, 'confidence': 0.025452901586547672, 'FD_Position': '1B'}, 'Brandon Crawford_batter': {'Salary': 3400.0, 'projected_FD_points': 2.6146156873104713, 'confidence': -0.36548255208826341, 'FD_Position': 'SS'}, 'Melky Cabrera_batter': {'Salary': 2400.0, 'projected_FD_points': 2.5015723270440251, 'confidence': -0.094301834028619025, 'FD_Position': 'OF'}}</t>
  </si>
  <si>
    <t>{'Jimmy Paredes_batter': {'Salary': 3300.0, 'projected_FD_points': 3.3639771510174938, 'confidence': -0.35619215382023417, 'FD_Position': '2B'}, 'Albert Pujols_batter': {'Salary': 2800.0, 'projected_FD_points': 2.5513888888888889, 'confidence': -0.0055863196226764167, 'FD_Position': '1B'}, 'Hunter Pence_batter': {'Salary': 3300.0, 'projected_FD_points': 3.4569506872925335, 'confidence': -0.289677889511196, 'FD_Position': 'OF'}, 'Erick Aybar_batter': {'Salary': 2300.0, 'projected_FD_points': 1.9693085991773625, 'confidence': -0.089012364535306698, 'FD_Position': 'SS'},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'Brock Holt_batter': {'Salary': 2200.0, 'projected_FD_points': 2.2416666666666667, 'confidence': -0.37989038128821795, 'FD_Position': '3B'}, 'Giancarlo Stanton_batter': {'Salary': 4500.0, 'projected_FD_points': 3.5059523809523809, 'confidence': -0.011116667790769474, 'FD_Position': 'OF'},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</si>
  <si>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'Hunter Pence_batter': {'Salary': 3300.0, 'projected_FD_points': 3.4569506872925335, 'confidence': -0.289677889511196, 'FD_Position': 'OF'}, 'Justin Turner_batter': {'Salary': 2600.0, 'projected_FD_points': 2.125, 'confidence': -0.29648652865910763, 'FD_Position': '2B'}, 'Paul Goldschmidt_batter': {'Salary': 4800.0, 'projected_FD_points': 3.4209800505993115, 'confidence': -0.03753160687373569, 'FD_Position': '1B'},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</si>
  <si>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'Anthony Rizzo_batter': {'Salary': 4200.0, 'projected_FD_points': 3.2778264806975899, 'confidence': -0.0011089647205857478, 'FD_Position': '1B'},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'Justin Turner_batter': {'Salary': 2600.0, 'projected_FD_points': 2.125, 'confidence': -0.29648652865910763, 'FD_Position': '2B'}, 'A.J. Pollock_batter': {'Salary': 4000.0, 'projected_FD_points': 2.8892617225731829, 'confidence': 0.03963269173581041, 'FD_Position': 'OF'}, 'Miguel Montero_batter': {'Salary': 2900.0, 'projected_FD_points': 1.9738562091503269, 'confidence': -0.0010894914743742046, 'FD_Position': 'C'},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</si>
  <si>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2.6866764921239885, 'confidence': -0.12707222669683493, 'FD_Position': 'OF'}, 'Rusney Castillo_batter': {'Salary': 2900.0, 'projected_FD_points': 3.0561885612153707, 'confidence': -0.2047119186632127, 'FD_Position': 'OF'}}</t>
  </si>
  <si>
    <t>{'Sonny Gray_pitcher': {'Salary': 10200.0, 'projected_FD_points': 12.481797089753616, 'confidence': 0.11704325707400609, 'FD_Position': 'P'}, 'Russell Martin_batter': {'Salary': 3400.0, 'projected_FD_points': 2.7624383599362528, 'confidence': -0.076424894834600021, 'FD_Position': 'C'}, 'Ian Desmond_batter': {'Salary': 3100.0, 'projected_FD_points': 2.461249001830744, 'confidence': -0.18128720601107995, 'FD_Position': 'SS'}, 'Jimmy Paredes_batter': {'Salary': 3300.0, 'projected_FD_points': 3.1450025523226133, 'confidence': -5.5781434883138159, 'FD_Position': '2B'}, 'Max Muncy_batter': {'Salary': 2600.0, 'projected_FD_points': 2.8927890056252963, 'confidence': -3.7444472374485596, 'FD_Position': '1B'}, 'Chris Colabello_batter': {'Salary': 2500.0, 'projected_FD_points': 3.1749851936037641, 'confidence': -0.0995318926948352, 'FD_Position': 'OF'}, 'Kyle Seager_batter': {'Salary': 2900.0, 'projected_FD_points': 2.7691836793136195, 'confidence': 0.0011748253775495376, 'FD_Position': '3B'}, 'Rusney Castillo_batter': {'Salary': 2900.0, 'projected_FD_points': 3.0561885612153707, 'confidence': -0.2047119186632127, 'FD_Position': 'OF'}, 'Andrew McCutchen_batter': {'Salary': 4100.0, 'projected_FD_points': 3.2968458319134508, 'confidence': -0.10751434179489894, 'FD_Position': 'OF'}}</t>
  </si>
  <si>
    <t>{'Kris Bryant_batter': {'Salary': 4000.0, 'projected_FD_points': 3.9708540226517748, 'confidence': -3.095492527098, 'FD_Position': '3B'}, 'Robinson Chirinos_batter': {'Salary': 2600.0, 'projected_FD_points': 2.0519607323791726, 'confidence': 0.012110662728286981, 'FD_Position': 'C'}, 'Chris Owings_batter': {'Salary': 2900.0, 'projected_FD_points': 2.3362773317500065, 'confidence': -0.33640344771552888, 'FD_Position': 'SS'}, 'Matt Kemp_batter': {'Salary': 2400.0, 'projected_FD_points': 2.3843967282354663, 'confidence': 0.026503778063080796, 'FD_Position': 'OF'}, 'Hunter Pence_batter': {'Salary': 3400.0, 'projected_FD_points': 2.8075237695539332, 'confidence': 0.013773932386357601, 'FD_Position': 'OF'}, 'Howie Kendrick_batter': {'Salary': 3000.0, 'projected_FD_points': 2.0853634035512347, 'confidence': 0.026031745587140054, 'FD_Position': '2B'}, 'James Shields_pitcher': {'Salary': 9200.0, 'projected_FD_points': 11.29250875575628, 'confidence': -0.79850806741541391, 'FD_Position': 'P'}, 'Prince Fielder_batter': {'Salary': 3700.0, 'projected_FD_points': 2.867146092042407, 'confidence': 0.030905708439937896, 'FD_Position': '1B'}, 'Dexter Fowler_batter': {'Salary': 3800.0, 'projected_FD_points': 3.3472643952472838, 'confidence': -0.10184753802554503,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</si>
  <si>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'Russell Martin_batter': {'Salary': 3300.0, 'projected_FD_points': 2.5315602149126364, 'confidence': -0.10148889838600383, 'FD_Position': 'C'}, 'J.D. Martinez_batter': {'Salary': 3300.0, 'projected_FD_points': 3.0220515542046846, 'confidence': 0.002852857257055641, 'FD_Position': 'OF'}, 'Marcus Semien_batter': {'Salary': 3000.0, 'projected_FD_points': 2.465485280266138, 'confidence': -0.093321605076801317, 'FD_Position': 'SS'}, 'Preston Tucker_batter': {'Salary': 3000.0, 'projected_FD_points': 3.0681818181818183, 'confidence': -1.3966942148760335, 'FD_Position': 'OF'}, 'Chris Colabello_batter': {'Salary': 2700.0, 'projected_FD_points': 3.077945604557307, 'confidence': 0.27187300233557232, 'FD_Position': 'OF'}, 'Jose Abreu_batter': {'Salary': 3200.0, 'projected_FD_points': 3.1653569413475253, 'confidence': -0.0028931918424051073, 'FD_Position': '1B'}, 'Tyson Ross_pitcher': {'Salary': 9000.0, 'projected_FD_points': 11.876414697538033, 'confidence': -0.23591133121836649, 'FD_Position': 'P'}}</t>
  </si>
  <si>
    <t>{'Russell Martin_batter': {'Salary': 3300.0, 'projected_FD_points': 2.5315602149126364, 'confidence': -0.10148889838600383, 'FD_Position': 'C'}, 'Robinson Cano_batter': {'Salary': 2700.0, 'projected_FD_points': 2.3444444444444446, 'confidence': -0.001985211343263904, 'FD_Position': '2B'}, 'Tyson Ross_pitcher': {'Salary': 9000.0, 'projected_FD_points': 11.876414697538033, 'confidence': -0.23591133121836649, 'FD_Position': 'P'}, 'Chris Colabello_batter': {'Salary': 2700.0, 'projected_FD_points': 3.077945604557307, 'confidence': 0.27187300233557232, 'FD_Position': 'OF'}, 'Kyle Seager_batter': {'Salary': 3000.0, 'projected_FD_points': 2.7950723800684738, 'confidence': 0.031515768261125898, 'FD_Position': '3B'}, 'Giancarlo Stanton_batter': {'Salary': 4300.0, 'projected_FD_points': 3.3470588235294119, 'confidence': -0.11317444818378597, 'FD_Position': 'OF'}, 'Jose Abreu_batter': {'Salary': 3200.0, 'projected_FD_points': 3.1653569413475253, 'confidence': -0.0028931918424051073, 'FD_Position': '1B'}, 'Alexei Ramirez_batter': {'Salary': 2500.0, 'projected_FD_points': 2.069832402234637, 'confidence': -0.0011520316249968854, 'FD_Position': 'SS'}, 'Andrew McCutchen_batter': {'Salary': 4300.0, 'projected_FD_points': 3.4236356508335337, 'confidence': -0.58683968172749346,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</si>
  <si>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'Dexter Fowler_batter': {'Salary': 3800.0, 'projected_FD_points': 3.1463861664643358, 'confidence': -0.057907490484304214,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'Brian McCann_batter': {'Salary': 2800.0, 'projected_FD_points': 2.0985953857788209, 'confidence': -0.058892853647156906, 'FD_Position': 'C'}, 'Preston Tucker_batter': {'Salary': 3000.0, 'projected_FD_points': 3.0681818181818183, 'confidence': -1.3966942148760335, 'FD_Position': 'OF'}, 'Michael Cuddyer_batter': {'Salary': 2300.0, 'projected_FD_points': 2.7526930429882182, 'confidence': -0.71807270926285582,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</si>
  <si>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3.363797869322676, 'confidence': -0.13311474836032144,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2.6459078803899585, 'confidence': -0.071510242131485269, 'FD_Position': 'OF'}}</t>
  </si>
  <si>
    <t>{'Jimmy Paredes_batter': {'Salary': 3000.0, 'projected_FD_points': 2.847746394946967, 'confidence': 0.15362601410351795, 'FD_Position': '2B'}, 'Matt Kemp_batter': {'Salary': 2300.0, 'projected_FD_points': 2.5531923084820241, 'confidence': -0.011567937928477434, 'FD_Position': 'OF'},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</si>
  <si>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{'Ben Revere_batter': {'Salary': 2800.0, 'projected_FD_points': 2.7001064533921673, 'confidence': -0.071807792565463213, 'FD_Position': 'OF'}, 'Neil Walker_batter': {'Salary': 2700.0, 'projected_FD_points': 2.4861111111111112, 'confidence': -0.068872552457155845, 'FD_Position': '2B'},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</si>
  <si>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{'Kris Bryant_batter': {'Salary': 4600.0, 'projected_FD_points': 3.4472710100145809, 'confidence': -0.073860656351425691, 'FD_Position': '3B'}, 'Starlin Castro_batter': {'Salary': 2700.0, 'projected_FD_points': 2.261076202244475, 'confidence': -0.10805251161116747, 'FD_Position': 'SS'}, 'Albert Pujols_batter': {'Salary': 2800.0, 'projected_FD_points': 2.4483695652173911, 'confidence': -0.058174188126505877, 'FD_Position': '1B'}, 'Matt Kemp_batter': {'Salary': 2300.0, 'projected_FD_points': 2.5531923084820241, 'confidence': -0.011567937928477434, 'FD_Position': 'OF'}, 'Max Scherzer_pitcher': {'Salary': 11800.0, 'projected_FD_points': 14.138375886992588, 'confidence': -9.3632900395797591, 'FD_Position': 'P'}, 'Howie Kendrick_batter': {'Salary': 2900.0, 'projected_FD_points': 1.9877322653847034, 'confidence': -0.02923374972123316, 'FD_Position': '2B'}, 'Matt Holliday_batter': {'Salary': 3200.0, 'projected_FD_points': 2.6467051306422253, 'confidence': -0.017994470139456764, 'FD_Position': 'OF'}, 'Nick Markakis_batter': {'Salary': 2500.0, 'projected_FD_points': 2.1391891891891892, 'confidence': -0.0039963313489499441, 'FD_Position': 'OF'}, 'Yadier Molina_batter': {'Salary': 2200.0, 'projected_FD_points': 1.7393617021276595, 'confidence': -0.14140906501644013, 'FD_Position': 'C'}}</t>
  </si>
  <si>
    <t>{'Daniel Santana_batter': {'Salary': 2600.0, 'projected_FD_points': 2.3407019680765759, 'confidence': -0.0036743689531120172, 'FD_Position': 'SS'}, 'Ben Revere_batter': {'Salary': 2800.0, 'projected_FD_points': 2.7001064533921673, 'confidence': -0.071807792565463213, 'FD_Position': 'OF'}, 'Hunter Pence_batter': {'Salary': 3000.0, 'projected_FD_points': 2.8955298275684034, 'confidence': 0.050906473342068326, 'FD_Position': 'OF'}, 'David Ortiz_batter': {'Salary': 2700.0, 'projected_FD_points': 2.603030303030303, 'confidence': -0.037940531407480105, 'FD_Position': '1B'}, 'Robinson Cano_batter': {'Salary': 2700.0, 'projected_FD_points': 2.3977900552486187, 'confidence': -0.01856503405773946, 'FD_Position': '2B'}, 'Felix Hernandez_pitcher': {'Salary': 11500.0, 'projected_FD_points': 15.203501015852648, 'confidence': 0.53647789933828094, 'FD_Position': 'P'}, 'Buster Posey_batter': {'Salary': 4000.0, 'projected_FD_points': 2.5976454940620819, 'confidence': -0.2564790495871383, 'FD_Position': 'C'}, 'Kyle Seager_batter': {'Salary': 3200.0, 'projected_FD_points': 2.8164832790969148, 'confidence': -0.041315998116121966, 'FD_Position': '3B'}, 'Michael Cuddyer_batter': {'Salary': 2400.0, 'projected_FD_points': 2.7351683616956777, 'confidence': -0.092796722589024716, 'FD_Position': 'OF'}}</t>
  </si>
  <si>
    <t>{'Michael Brantley_batter': {'Salary': 4300.0, 'projected_FD_points': 3.3486486742659856, 'confidence': 0.014279218473793986, 'FD_Position': 'OF'}, 'Jimmy Paredes_batter': {'Salary': 3200.0, 'projected_FD_points': 3.0630659816572807, 'confidence': -0.045200147566757831, 'FD_Position': '2B'}, 'Alex Rodriguez_batter': {'Salary': 3300.0, 'projected_FD_points': 2.9881104960613158, 'confidence': 0.0070231323399785328, 'FD_Position': '3B'}, 'Melky Cabrera_batter': {'Salary': 2300.0, 'projected_FD_points': 2.4984756097560976, 'confidence': -0.39808421280728168, 'FD_Position': 'OF'},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'Jose Abreu_batter': {'Salary': 3400.0, 'projected_FD_points': 3.0765896148332375, 'confidence': -0.22528746223302298, 'FD_Position': '1B'}, 'Chris Sale_pitcher': {'Salary': 10000.0, 'projected_FD_points': 14.685030447132807, 'confidence': -0.30960374313318928, 'FD_Position': 'P'}}</t>
  </si>
  <si>
    <t>{'Yoenis Cespedes_batter': {'Salary': 3100.0, 'projected_FD_points': 2.6333333333333333, 'confidence': -0.063589351294705221, 'FD_Position': 'OF'}, 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'Corey Kluber_pitcher': {'Salary': 10500.0, 'projected_FD_points': 14.349877634387399, 'confidence': -0.10422932295819587, 'FD_Position': 'P'},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'Neil Walker_batter': {'Salary': 2800.0, 'projected_FD_points': 2.2677314341185353, 'confidence': -0.033174771630835487, 'FD_Position': '2B'}}</t>
  </si>
  <si>
    <t>{'Michael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'Neil Walker_batter': {'Salary': 2800.0, 'projected_FD_points': 2.2677314341185353, 'confidence': -0.033174771630835487, 'FD_Position': '2B'},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'Hanley Ramirez_batter': {'Salary': 3100.0, 'projected_FD_points': 2.644904458598726, 'confidence': -0.052252124585020709, 'FD_Position': 'OF'}, 'Corey Kluber_pitcher': {'Salary': 10500.0, 'projected_FD_points': 14.349877634387399, 'confidence': -0.10422932295819587, 'FD_Position': 'P'}}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</si>
  <si>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2.6666666666666665, 'confidence': -0.016254298011493473,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</si>
  <si>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2.8448663696057528, 'confidence': -0.53066049563752404, 'FD_Position': 'OF'}, 'Michael McKenry_batter': {'Salary': 2500.0, 'projected_FD_points': 3.3259572202937449, 'confidence': -7.5693089697483469, 'FD_Position': 'C'}}</t>
  </si>
  <si>
    <t>{'Michael Brantley_batter': {'Salary': 4300.0, 'projected_FD_points': 3.2917328861484894, 'confidence': 0.039111528276307705, 'FD_Position': 'OF'}, 'J.D. Martinez_batter': {'Salary': 3000.0, 'projected_FD_points': 2.7754292303966506, 'confidence': -0.12177818286898412, 'FD_Position': 'OF'}, 'Robinson Cano_batter': {'Salary': 2600.0, 'projected_FD_points': 2.3565573770491803, 'confidence': -0.0031834470796794356, 'FD_Position': '2B'}, 'Yan Gomes_batter': {'Salary': 2600.0, 'projected_FD_points': 2.23828125, 'confidence': -0.17706610998094163, 'FD_Position': 'C'}, 'Roenis Elias_pitcher': {'Salary': 7400.0, 'projected_FD_points': 12.016411136507367, 'confidence': -1.3264183304087478, 'FD_Position': 'P'}, 'Marcus Semien_batter': {'Salary': 2800.0, 'projected_FD_points': 2.3382900104907329, 'confidence': 0.074259849106773412, 'FD_Position': 'SS'}, 'Brett Lawrie_batter': {'Salary': 2600.0, 'projected_FD_points': 2.6125448720099311, 'confidence': -0.40631724290305837, 'FD_Position': '3B'}, 'Nelson Cruz_batter': {'Salary': 4400.0, 'projected_FD_points': 3.1997376157730861, 'confidence': -0.015294453394457674, 'FD_Position': 'OF'}, 'Miguel Cabrera_batter': {'Salary': 4900.0, 'projected_FD_points': 3.5209957640508445, 'confidence': -0.065262730873786534, 'FD_Position': '1B'}}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</si>
  <si>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2.8448663696057528, 'confidence': -0.53066049563752404,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</si>
  <si>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2.8448663696057528, 'confidence': -0.53066049563752404, 'FD_Position': 'OF'}, 'Matt Carpenter_batter': {'Salary': 3900.0, 'projected_FD_points': 2.9002951063338163, 'confidence': -0.10078734153614133, 'FD_Position': '3B'}}</t>
  </si>
  <si>
    <t>{'Jimmy Paredes_batter': {'Salary': 3100.0, 'projected_FD_points': 2.6916804569476325, 'confidence': -0.062346637423890572, 'FD_Position': '2B'}, 'Melky Cabrera_batter': {'Salary': 2200.0, 'projected_FD_points': 2.4727072819595382, 'confidence': -0.0064670890592397612, 'FD_Position': 'OF'}, 'Russell Martin_batter': {'Salary': 3100.0, 'projected_FD_points': 2.5744680851063828, 'confidence': -0.0053670813351489599, 'FD_Position': 'C'}, 'Nolan Arenado_batter': {'Salary': 3200.0, 'projected_FD_points': 3.291121188898801, 'confidence': -0.11954075801239306, 'FD_Position': '3B'},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'Christian Yelich_batter': {'Salary': 2300.0, 'projected_FD_points': 2.4028662420382165, 'confidence': -0.0088503000030879519, 'FD_Position': 'OF'}, 'Giancarlo Stanton_batter': {'Salary': 4200.0, 'projected_FD_points': 3.5131143884309868, 'confidence': 0.013208439298638353, 'FD_Position': 'OF'}, 'Joey Votto_batter': {'Salary': 3300.0, 'projected_FD_points': 2.9613986667968737, 'confidence': -0.0094337656164016348, 'FD_Position': '1B'}}</t>
  </si>
  <si>
    <t>{'Michael Brantley_batter': {'Salary': 4100.0, 'projected_FD_points': 3.1704316687923084, 'confidence': -0.075170488438918159, 'FD_Position': 'OF'}, 'Albert Pujols_batter': {'Salary': 3200.0, 'projected_FD_points': 2.7805028804399092, 'confidence': -0.32862544681758021, 'FD_Position': '1B'}, 'Matt Kemp_batter': {'Salary': 2300.0, 'projected_FD_points': 2.2959281174512105, 'confidence': 0.0024031875079094656, 'FD_Position': 'OF'}, 'J.D. Martinez_batter': {'Salary': 3000.0, 'projected_FD_points': 2.8151612000918589, 'confidence': -0.0088289426104202207, 'FD_Position': 'OF'}, 'Robinson Cano_batter': {'Salary': 2600.0, 'projected_FD_points': 2.3614130434782608, 'confidence': -0.0021764165190216733, 'FD_Position': '2B'}, 'Yan Gomes_batter': {'Salary': 2600.0, 'projected_FD_points': 2.1763565891472867, 'confidence': -0.041941092349703224, 'FD_Position': 'C'},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'Kyle Seager_batter': {'Salary': 3500.0, 'projected_FD_points': 2.864193755379123, 'confidence': -0.17731908695018506, 'FD_Position': '3B'}}</t>
  </si>
  <si>
    <t>{'Jimmy Paredes_batter': {'Salary': 3100.0, 'projected_FD_points': 2.6916804569476325, 'confidence': -0.062346637423890572, 'FD_Position': '2B'}, 'Anthony Rizzo_batter': {'Salary': 4100.0, 'projected_FD_points': 3.1864531679134149, 'confidence': -0.054797019326060736, 'FD_Position': '1B'}, 'Russell Martin_batter': {'Salary': 3100.0, 'projected_FD_points': 2.5744680851063828, 'confidence': -0.0053670813351489599, 'FD_Position': 'C'}, 'Jose Bautista_batter': {'Salary': 4600.0, 'projected_FD_points': 3.2035202486976981, 'confidence': -0.041790068846441208, 'FD_Position': 'OF'}, 'Brett Anderson_pitcher': {'Salary': 6700.0, 'projected_FD_points': 10.263605442176873, 'confidence': -1.1572168164163625, 'FD_Position': 'P'},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'Giancarlo Stanton_batter': {'Salary': 4200.0, 'projected_FD_points': 3.5131143884309868, 'confidence': 0.013208439298638353, 'FD_Position': 'OF'}, 'Nolan Arenado_batter': {'Salary': 3200.0, 'projected_FD_points': 3.291121188898801, 'confidence': -0.11954075801239306, 'FD_Position': '3B'}}</t>
  </si>
  <si>
    <t>{'Kris Bryant_batter': {'Salary': 4600.0, 'projected_FD_points': 3.7089674914264661, 'confidence': -1.6820279685511141, 'FD_Position': '3B'}, 'Russell Martin_batter': {'Salary': 3100.0, 'projected_FD_points': 2.5744680851063828, 'confidence': -0.0053670813351489599, 'FD_Position': 'C'}, 'Anthony Rizzo_batter': {'Salary': 4100.0, 'projected_FD_points': 3.1864531679134149, 'confidence': -0.054797019326060736, 'FD_Position': '1B'}, 'Melky Cabrera_batter': {'Salary': 2200.0, 'projected_FD_points': 2.4727072819595382, 'confidence': -0.0064670890592397612, 'FD_Position': 'OF'}, 'Jose Altuve_batter': {'Salary': 3800.0, 'projected_FD_points': 2.747311827956989, 'confidence': -0.032766434364869923, 'FD_Position': '2B'}, 'Ryan Braun_batter': {'Salary': 4500.0, 'projected_FD_points': 2.9024674649473146, 'confidence': -0.15125319428215445, 'FD_Position': 'OF'},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'Brett Anderson_pitcher': {'Salary': 6700.0, 'projected_FD_points': 10.263605442176873, 'confidence': -1.1572168164163625, 'FD_Position': 'P'}}</t>
  </si>
  <si>
    <t>{'Albert Pujols_batter': {'Salary': 3200.0, 'projected_FD_points': 2.6388888888888888, 'confidence': -0.012913935576793989, 'FD_Position': '1B'}, 'Matt Kemp_batter': {'Salary': 2300.0, 'projected_FD_points': 2.3658512633716096, 'confidence': -0.21068985013430841, 'FD_Position': 'OF'}, 'Jonathan Lucroy_batter': {'Salary': 2900.0, 'projected_FD_points': 2.3454335712101941, 'confidence': -0.011329170448311388, 'FD_Position': 'C'}, 'Robinson Cano_batter': {'Salary': 2600.0, 'projected_FD_points': 2.2445945945945946, 'confidence': -0.12167012637924235, 'FD_Position': '2B'}, 'Steve Pearce_batter': {'Salary': 2800.0, 'projected_FD_points': 2.5748972571705679, 'confidence': -0.069695651380452084, 'FD_Position': 'OF'}, 'Clayton Kershaw_pitcher': {'Salary': 11800.0, 'projected_FD_points': 16.80802202176795, 'confidence': -8.5594956920018053, 'FD_Position': 'P'}, 'Christian Yelich_batter': {'Salary': 2300.0, 'projected_FD_points': 2.5119476390039468, 'confidence': -0.044817444506262794, 'FD_Position': 'OF'}, 'Troy Tulowitzki_batter': {'Salary': 3900.0, 'projected_FD_points': 3.1610074193908329, 'confidence': 0.0042801916860261136, 'FD_Position': 'SS'}, 'Nolan Arenado_batter': {'Salary': 3200.0, 'projected_FD_points': 2.7368692862565549, 'confidence': -0.013861430988360235, 'FD_Position': '3B'}}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</si>
  <si>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'Chris Heston_pitcher': {'Salary': 6900.0, 'projected_FD_points': 20.068589413081845, 'confidence': -3.0791370645947449, 'FD_Position': 'P'}, 'Neil Walker_batter': {'Salary': 2800.0, 'projected_FD_points': 2.4880952380952381, 'confidence': -0.065429692719711774, 'FD_Position': '2B'},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'Dexter Fowler_batter': {'Salary': 3500.0, 'projected_FD_points': 3.1222309272187299, 'confidence': 0.083108565385550559, 'FD_Position': 'OF'},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</si>
  <si>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'Neil Walker_batter': {'Salary': 2800.0, 'projected_FD_points': 2.4880952380952381, 'confidence': -0.065429692719711774, 'FD_Position': '2B'}, 'Dexter Fowler_batter': {'Salary': 3500.0, 'projected_FD_points': 3.1222309272187299, 'confidence': 0.083108565385550559, 'FD_Position': 'OF'},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'Chris Heston_pitcher': {'Salary': 6900.0, 'projected_FD_points': 20.068589413081845, 'confidence': -3.0791370645947449, 'FD_Position': 'P'},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</si>
  <si>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'Jimmy Paredes_batter': {'Salary': 2900.0, 'projected_FD_points': 2.5458333333333334, 'confidence': -6.9047935823754774, 'FD_Position': '2B'}, 'Jonathan Lucroy_batter': {'Salary': 2900.0, 'projected_FD_points': 2.3749644515010071, 'confidence': 0.00032648279268554514, 'FD_Position': 'C'}, 'Adam LaRoche_batter': {'Salary': 2900.0, 'projected_FD_points': 2.5687134502923978, 'confidence': -0.0022671036847496939, 'FD_Position': '1B'}, 'Steve Pearce_batter': {'Salary': 2700.0, 'projected_FD_points': 2.6491543513444271, 'confidence': -0.029173358088753654, 'FD_Position': 'OF'}, 'Adam Jones_batter': {'Salary': 2800.0, 'projected_FD_points': 2.625, 'confidence': -0.13125364054106536, 'FD_Position': 'OF'}, 'Troy Tulowitzki_batter': {'Salary': 4500.0, 'projected_FD_points': 3.1715186535096827, 'confidence': 0.043626496245164903, 'FD_Position': 'SS'}, 'Nolan Arenado_batter': {'Salary': 4000.0, 'projected_FD_points': 2.8554677883940713, 'confidence': -0.0082669267233710375, 'FD_Position': '3B'}, 'Collin McHugh_pitcher': {'Salary': 8400.0, 'projected_FD_points': 12.087352756455676, 'confidence': -0.46953647766350248, 'FD_Position': 'P'}}</t>
  </si>
  <si>
    <t>{'Neil Walker_batter': {'Salary': 2800.0, 'projected_FD_points': 2.6320232283305267, 'confidence': -1.158122810630521, 'FD_Position': '2B'}, 'Carlos Perez_batter': {'Salary': 2900.0, 'projected_FD_points': 3.1050335570469798, 'confidence': -6.5416899249803961, 'FD_Position': 'C'}, 'David Ortiz_batter': {'Salary': 2600.0, 'projected_FD_points': 2.5490471905471388, 'confidence': -0.027369093415620105, 'FD_Position': '1B'}, 'Steve Pearce_batter': {'Salary': 2700.0, 'projected_FD_points': 2.6252085379853951, 'confidence': 0.020417869210954565, 'FD_Position': 'OF'}, 'Daniel Santana_batter': {'Salary': 2200.0, 'projected_FD_points': 2.303435114503817, 'confidence': -0.031128520004189975, 'FD_Position': 'SS'}, 'Chris Sale_pitcher': {'Salary': 10400.0, 'projected_FD_points': 16.280992907801419, 'confidence': -0.34573279007576807, 'FD_Position': 'P'}, 'Dexter Fowler_batter': {'Salary': 3500.0, 'projected_FD_points': 3.399573559312782, 'confidence': 0.10162766816634494, 'FD_Position': 'OF'},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'3B'}}</t>
  </si>
  <si>
    <t>{'Neil Walker_batter': {'Salary': 2800.0, 'projected_FD_points': 2.6320232283305267, 'confidence': -1.158122810630521, 'FD_Position': '2B'}, 'Jonathan Lucroy_batter': {'Salary': 2800.0, 'projected_FD_points': 2.3653056197678768, 'confidence': 0.00087277125213747198, 'FD_Position': 'C'}, 'Masahiro Tanaka_pitcher': {'Salary': 8900.0, 'projected_FD_points': 11.026150140822216, 'confidence': -0.62375757329223802, 'FD_Position': 'P'}, 'Matt Holliday_batter': {'Salary': 3100.0, 'projected_FD_points': 2.5582010582010581, 'confidence': -0.021338119551886692, 'FD_Position': 'OF'}, 'Daniel Santana_batter': {'Salary': 2200.0, 'projected_FD_points': 2.303435114503817, 'confidence': -0.031128520004189975, 'FD_Position': 'SS'}, 'David Ortiz_batter': {'Salary': 2600.0, 'projected_FD_points': 2.5490471905471388, 'confidence': -0.027369093415620105, 'FD_Position': '1B'},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'3B'}, 'Andrew McCutchen_batter': {'Salary': 4700.0, 'projected_FD_points': 3.1797752808988764, 'confidence': -0.025211154044987305, 'FD_Position': 'OF'}}</t>
  </si>
  <si>
    <t>{'Chris Owings_batter': {'Salary': 2600.0, 'projected_FD_points': 2.1174426848000127, 'confidence': -0.049310936343347489, 'FD_Position': 'SS'}, 'Neil Walker_batter': {'Salary': 2800.0, 'projected_FD_points': 2.6320232283305267, 'confidence': -1.158122810630521, 'FD_Position': '2B'}, 'Masahiro Tanaka_pitcher': {'Salary': 8900.0, 'projected_FD_points': 11.026150140822216, 'confidence': -0.62375757329223802, 'FD_Position': 'P'}, 'Freddie Freeman_batter': {'Salary': 3500.0, 'projected_FD_points': 2.6927672567020324, 'confidence': 0.00086897564478749523, 'FD_Position': '1B'}, 'Todd Cunningham_batter': {'Salary': 2300.0, 'projected_FD_points': 2.3177884615384614, 'confidence': -7.2097002469751796, 'FD_Position': 'OF'}, 'Buster Posey_batter': {'Salary': 3800.0, 'projected_FD_points': 2.4205729166666665, 'confidence': -0.054018117999074189, 'FD_Position': 'C'}, 'Kyle Seager_batter': {'Salary': 3500.0, 'projected_FD_points': 2.6517289050965642, 'confidence': 0.00075470308620562143, 'FD_Position': '3B'}, 'Nelson Cruz_batter': {'Salary': 4200.0, 'projected_FD_points': 3.2961692274548353, 'confidence': -0.31921059164245102, 'FD_Position': 'OF'}, 'Brett Gardner_batter': {'Salary': 3300.0, 'projected_FD_points': 2.453125, 'confidence': -0.027231188818420016, 'FD_Position': 'OF'}}</t>
  </si>
  <si>
    <t>{'Jimmy Paredes_batter': {'Salary': 2800.0, 'projected_FD_points': 2.4754098360655736, 'confidence': -1.219469211180976, 'FD_Position': '2B'}, 'Carlos Perez_batter': {'Salary': 2900.0, 'projected_FD_points': 3.1050335570469798, 'confidence': -6.5416899249803961, 'FD_Position': 'C'}, 'Steve Pearce_batter': {'Salary': 2700.0, 'projected_FD_points': 2.6252085379853951, 'confidence': 0.020417869210954565, 'FD_Position': 'OF'}, 'Maikel Franco_batter': {'Salary': 2200.0, 'projected_FD_points': 2.1787632104653278, 'confidence': -1.0931121200812259, 'FD_Position': '3B'}, 'Daniel Santana_batter': {'Salary': 2200.0, 'projected_FD_points': 2.303435114503817, 'confidence': -0.031128520004189975, 'FD_Position': 'SS'}, 'Dexter Fowler_batter': {'Salary': 3500.0, 'projected_FD_points': 3.399573559312782, 'confidence': 0.10162766816634494, 'FD_Position': 'OF'}, 'Giancarlo Stanton_batter': {'Salary': 4500.0, 'projected_FD_points': 3.5503631546583381, 'confidence': -0.018632659733180956, 'FD_Position': 'OF'}, 'Jose Abreu_batter': {'Salary': 3500.0, 'projected_FD_points': 2.9880836588089901, 'confidence': -0.057040388974950895, 'FD_Position': '1B'}, 'Chris Sale_pitcher': {'Salary': 10400.0, 'projected_FD_points': 16.280992907801419, 'confidence': -0.34573279007576807, 'FD_Position': 'P'}}</t>
  </si>
  <si>
    <t>{'Kris Bryant_batter': {'Salary': 4300.0, 'projected_FD_points': 3.400428028563077, 'confidence': -0.34797027777651057, 'FD_Position': '3B'}, 'Ben Revere_batter': {'Salary': 2600.0, 'projected_FD_points': 2.6334499770208759, 'confidence': -0.069077484524301846, 'FD_Position': 'OF'}, 'J.D. Martinez_batter': {'Salary': 3100.0, 'projected_FD_points': 2.8334824285621587, 'confidence': 0.010384192552634564,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'Josh Phegley_batter': {'Salary': 2300.0, 'projected_FD_points': 4.2483870967741932, 'confidence': -6.345295672558156, 'FD_Position': 'C'},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'1B'}, 'Alexei Ramirez_batter': {'Salary': 2300.0, 'projected_FD_points': 2.0691489361702127, 'confidence': -0.0520091079500975, 'FD_Position': 'SS'}}</t>
  </si>
  <si>
    <t>{'Robinson Chirinos_batter': {'Salary': 2900.0, 'projected_FD_points': 2.058522201665125, 'confidence': -0.045642662726264938, 'FD_Position': 'C'}, 'Starlin Castro_batter': {'Salary': 2700.0, 'projected_FD_points': 2.1280120481927711, 'confidence': -0.0040803096342942879, 'FD_Position': 'SS'}, 'Ben Revere_batter': {'Salary': 2600.0, 'projected_FD_points': 2.6334499770208759, 'confidence': -0.069077484524301846, 'FD_Position': 'OF'}, 'Melky Cabrera_batter': {'Salary': 2200.0, 'projected_FD_points': 2.4946824231462235, 'confidence': -0.038777286400564437,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'Kris Bryant_batter': {'Salary': 4300.0, 'projected_FD_points': 3.400428028563077, 'confidence': -0.34797027777651057, 'FD_Position': '3B'},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'1B'}}</t>
  </si>
  <si>
    <t>{'Manny Machado_batter': {'Salary': 3400.0, 'projected_FD_points': 2.2860743006730844, 'confidence': -0.40822882719856612, 'FD_Position': '3B'}, 'Josh Phegley_batter': {'Salary': 2300.0, 'projected_FD_points': 4.2483870967741932, 'confidence': -6.345295672558156, 'FD_Position': 'C'}, 'J.D. Martinez_batter': {'Salary': 3100.0, 'projected_FD_points': 2.8334824285621587, 'confidence': 0.010384192552634564, 'FD_Position': 'OF'}, 'Jose Altuve_batter': {'Salary': 3800.0, 'projected_FD_points': 2.7195767195767195, 'confidence': -0.03373919154920757, 'FD_Position': '2B'}, 'Xander Bogaerts_batter': {'Salary': 2400.0, 'projected_FD_points': 1.7750012276527345, 'confidence': -0.039237720232973228, 'FD_Position': 'SS'}, 'Adam Jones_batter': {'Salary': 2700.0, 'projected_FD_points': 2.5567010309278349, 'confidence': -0.013676406159407684, 'FD_Position': 'OF'}, 'Hanley Ramirez_batter': {'Salary': 3600.0, 'projected_FD_points': 2.5582822085889569, 'confidence': -0.01342088434935107, 'FD_Position': 'OF'}, 'Wei-Yin Chen_pitcher': {'Salary': 7400.0, 'projected_FD_points': 10.1129602207251, 'confidence': 0.063306445947608814, 'FD_Position': 'P'}, 'Miguel Cabrera_batter': {'Salary': 4700.0, 'projected_FD_points': 3.3722952308522416, 'confidence': 0.033479515137152971, 'FD_Position': '1B'}}</t>
  </si>
  <si>
    <t>San Francisco Giants</t>
  </si>
  <si>
    <t>L.A. Angels</t>
  </si>
  <si>
    <t>N.Y. Mets</t>
  </si>
  <si>
    <t>Boston Red Sox</t>
  </si>
  <si>
    <t>N.Y. Yankees</t>
  </si>
  <si>
    <t>L.A. Dodgers</t>
  </si>
  <si>
    <t>CH White Sox</t>
  </si>
  <si>
    <t>CH Cubs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</si>
  <si>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</si>
  <si>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{'Chris Owings_batter': {'Salary': 2700.0, 'projected_FD_points': 2.025790707351431, 'confidence': 0.062167044704663055, 'FD_Position': 'SS'}, 'Jake Odorizzi_pitcher': {'Salary': 8600.0, 'projected_FD_points': 11.611390236875176, 'confidence': 0.10447198980481098, 'FD_Position': 'P'}, 'Robinson Cano_batter': {'Salary': 2500.0, 'projected_FD_points': 2.2830687830687832, 'confidence': -0.028588103069504989, 'FD_Position': '2B'}, 'Matt Holliday_batter': {'Salary': 3000.0, 'projected_FD_points': 2.6793193717277486, 'confidence': -0.061612973457802589, 'FD_Position': 'OF'}, 'Paul Goldschmidt_batter': {'Salary': 5500.0, 'projected_FD_points': 3.547292119550856, 'confidence': 0.01758673809794109, 'FD_Position': '1B'}, 'Mike Zunino_batter': {'Salary': 2200.0, 'projected_FD_points': 1.7360248447204969, 'confidence': -0.15085379133904109, 'FD_Position': 'C'}, 'Joey Butler_batter': {'Salary': 3000.0, 'projected_FD_points': 3.4264245014245018, 'confidence': -1.0765217371329023, 'FD_Position': 'OF'}, 'Kyle Seager_batter': {'Salary': 3300.0, 'projected_FD_points': 2.7464480724010101, 'confidence': -0.019025387509273184, 'FD_Position': '3B'}, 'Nelson Cruz_batter': {'Salary': 4000.0, 'projected_FD_points': 3.1476971403397886, 'confidence': -0.016628546041023373, 'FD_Position': 'OF'}}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</si>
  <si>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</si>
  <si>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'Matt Wieters_batter': {'Salary': 2900.0, 'projected_FD_points': 3.0766975128178173, 'confidence': -7.4838791934480717, 'FD_Position': 'C'}, 'Steve Pearce_batter': {'Salary': 2600.0, 'projected_FD_points': 2.5953744321103751, 'confidence': 0.017605367017205498, 'FD_Position': 'OF'}, 'Garrett Richards_pitcher': {'Salary': 8600.0, 'projected_FD_points': 13.378125342027573, 'confidence': -1.3338692121895761, 'FD_Position': 'P'}, 'Jose Abreu_batter': {'Salary': 3600.0, 'projected_FD_points': 3.0853086406529489, 'confidence': -0.085686531549295175, 'FD_Position': '1B'},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'Starling Marte_batter': {'Salary': 3500.0, 'projected_FD_points': 2.9591891762200402, 'confidence': -0.22732678727357536, 'FD_Position': 'OF'}}</t>
  </si>
  <si>
    <t>{'Robinson Cano_batter': {'Salary': 2500.0, 'projected_FD_points': 2.39021164021164, 'confidence': -0.14801604598214424, 'FD_Position': '2B'}, 'Adam LaRoche_batter': {'Salary': 2700.0, 'projected_FD_points': 2.6542857142857144, 'confidence': -0.13292071773565639, 'FD_Position': '1B'}, 'Matt Holliday_batter': {'Salary': 3000.0, 'projected_FD_points': 2.7096354166666665, 'confidence': -0.26403387649561916, 'FD_Position': 'OF'}, 'Clayton Kershaw_pitcher': {'Salary': 11700.0, 'projected_FD_points': 15.982702773079156, 'confidence': -7.395155390080717, 'FD_Position': 'P'}, 'Joey Butler_batter': {'Salary': 3200.0, 'projected_FD_points': 3.1067743967333463, 'confidence': -0.12680482891988998, 'FD_Position': 'OF'}, 'Kyle Seager_batter': {'Salary': 3200.0, 'projected_FD_points': 2.8041925920067983, 'confidence': -0.011393293845044061, 'FD_Position': '3B'}, 'Nelson Cruz_batter': {'Salary': 3900.0, 'projected_FD_points': 3.1948382781159488, 'confidence': -0.066152637930070091, 'FD_Position': 'OF'}, 'Francisco Cervelli_batter': {'Salary': 2600.0, 'projected_FD_points': 1.8302469135802468, 'confidence': -0.0052274123082145518, 'FD_Position': 'C'}, 'Alexei Ramirez_batter': {'Salary': 2200.0, 'projected_FD_points': 2.0555555555555554, 'confidence': -0.016090857001992198, 'FD_Position': 'SS'}}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</si>
  <si>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'Madison Bumgarner_pitcher': {'Salary': 10200.0, 'projected_FD_points': 13.078738866464519, 'confidence': -1.3039921633031302, 'FD_Position': 'P'}, 'David Ortiz_batter': {'Salary': 2500.0, 'projected_FD_points': 2.4717392460636343, 'confidence': -0.025420639476804396, 'FD_Position': '1B'}, 'Steve Pearce_batter': {'Salary': 2600.0, 'projected_FD_points': 2.5953744321103751, 'confidence': 0.017605367017205498, 'FD_Position': 'OF'}, 'Adam Jones_batter': {'Salary': 3000.0, 'projected_FD_points': 2.6702378160451241, 'confidence': -0.0025953312887470048, 'FD_Position': 'OF'},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'Matt Wieters_batter': {'Salary': 2900.0, 'projected_FD_points': 3.0766975128178173, 'confidence': -7.4838791934480717, 'FD_Position': 'C'}}</t>
  </si>
  <si>
    <t>{'Kolten Wong_batter': {'Salary': 3200.0, 'projected_FD_points': 2.2665053770285484, 'confidence': -0.022476277752626839, 'FD_Position': '2B'}, 'Anthony Rizzo_batter': {'Salary': 4400.0, 'projected_FD_points': 3.4525862068965516, 'confidence': -0.21764570376050463, 'FD_Position': '1B'}, 'Chris Owings_batter': {'Salary': 2600.0, 'projected_FD_points': 2.256767259022705, 'confidence': -0.097788405237122289, 'FD_Position': 'SS'}, 'Jarrod Saltalamacchia_batter': {'Salary': 2300.0, 'projected_FD_points': 1.8751354934591598, 'confidence': -0.051681527664871663, 'FD_Position': 'C'}, 'Matt Holliday_batter': {'Salary': 2900.0, 'projected_FD_points': 2.5893782383419688, 'confidence': -0.00018190034049081483, 'FD_Position': 'OF'}, 'Dexter Fowler_batter': {'Salary': 3300.0, 'projected_FD_points': 3.8823709850811263, 'confidence': -0.28473714918919679, 'FD_Position': 'OF'}, 'Kyle Seager_batter': {'Salary': 3100.0, 'projected_FD_points': 2.8724816986319519, 'confidence': -0.10712519621368166, 'FD_Position': '3B'}, 'Michael Cuddyer_batter': {'Salary': 2700.0, 'projected_FD_points': 2.7510721105831406, 'confidence': -0.32228626482727951, 'FD_Position': 'OF'}, 'Jacob deGrom_pitcher': {'Salary': 10400.0, 'projected_FD_points': 14.550319520963296, 'confidence': -1.182114087828257, 'FD_Position': 'P'}}</t>
  </si>
  <si>
    <t>{'Russell Martin_batter': {'Salary': 3000.0, 'projected_FD_points': 2.4810344827586208, 'confidence': -0.12278916403867046, 'FD_Position': 'C'}, 'Chris Owings_batter': {'Salary': 2600.0, 'projected_FD_points': 2.2380799959868876, 'confidence': -0.3257009779393496, 'FD_Position': 'SS'}, 'Brian Dozier_batter': {'Salary': 4300.0, 'projected_FD_points': 2.8591960662543956, 'confidence': -0.011031379823359222, 'FD_Position': '2B'}, 'Maikel Franco_batter': {'Salary': 2900.0, 'projected_FD_points': 3.3029049109316446, 'confidence': -2.692996161266723, 'FD_Position': '3B'}, 'Alex Gordon_batter': {'Salary': 2700.0, 'projected_FD_points': 2.5108001121827335, 'confidence': -0.20264061964524127, 'FD_Position': 'OF'}, 'Chris Colabello_batter': {'Salary': 2900.0, 'projected_FD_points': 2.9163363555242987, 'confidence': 0.08004978037359356, 'FD_Position': 'OF'}, 'Jose Abreu_batter': {'Salary': 3500.0, 'projected_FD_points': 3.0650115898533405, 'confidence': -0.010664927019084391, 'FD_Position': '1B'}, 'Chris Sale_pitcher': {'Salary': 10900.0, 'projected_FD_points': 15.364368847555339, 'confidence': -0.87133053214405676, 'FD_Position': 'P'}, 'Melky Cabrera_batter': {'Salary': 2200.0, 'projected_FD_points': 2.4796335816986166, 'confidence': -0.015309201132348349, 'FD_Position': 'OF'}}</t>
  </si>
  <si>
    <t>SBR Odds</t>
  </si>
  <si>
    <t>{'Melky Cabrera_batter': {'Salary': 2200.0, 'projected_FD_points': 2.4376725752656747, 'confidence': 0.0013603052812275473, 'FD_Position': 'OF'}, 'Max Scherzer_pitcher': {'Salary': 11600.0, 'projected_FD_points': 15.096605259251783, 'confidence': -0.21802702861293577, 'FD_Position': 'P'}, 'Robinson Cano_batter': {'Salary': 2300.0, 'projected_FD_points': 2.3144736842105265, 'confidence': -0.0057163155419608369, 'FD_Position': '2B'}, 'Maikel Franco_batter': {'Salary': 3100.0, 'projected_FD_points': 3.6181688625922463, 'confidence': -0.77854618511473861, 'FD_Position': '3B'}, 'Dexter Fowler_batter': {'Salary': 3300.0, 'projected_FD_points': 3.6554755048231073, 'confidence': -0.35933833461556253, 'FD_Position': 'OF'}, 'Nelson Cruz_batter': {'Salary': 3700.0, 'projected_FD_points': 3.1188036175086946, 'confidence': -0.030914965769921476, 'FD_Position': 'OF'}, 'Jose Abreu_batter': {'Salary': 3400.0, 'projected_FD_points': 3.0866769916067414, 'confidence': 0.070807082110356578, 'FD_Position': '1B'}, 'Alexei Ramirez_batter': {'Salary': 2300.0, 'projected_FD_points': 2.1157298141576764, 'confidence': -0.045038906509107912, 'FD_Position': 'SS'}, 'Matt Wieters_batter': {'Salary': 3100.0, 'projected_FD_points': 3.0310304355605564, 'confidence': -0.35951584901460865, 'FD_Position': 'C'}}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</si>
  <si>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'Marcus Semien_batter': {'Salary': 2400.0, 'projected_FD_points': 2.2620055800207521, 'confidence': -0.089459899836913381, 'FD_Position': 'SS'}, 'Maikel Franco_batter': {'Salary': 3100.0, 'projected_FD_points': 3.3188988312358121, 'confidence': -0.57953607697362974, 'FD_Position': '3B'}, 'Buster Posey_batter': {'Salary': 3600.0, 'projected_FD_points': 2.6027918781725887, 'confidence': -0.11772245682839633, 'FD_Position': 'C'},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'Michael Cuddyer_batter': {'Salary': 2600.0, 'projected_FD_points': 2.6740255017654171, 'confidence': -0.096248530152078349, 'FD_Position': 'OF'}, 'Joey Votto_batter': {'Salary': 4000.0, 'projected_FD_points': 3.3800936741277106, 'confidence': -0.0022232631291974059, 'FD_Position': '1B'}}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</si>
  <si>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'Yan Gomes_batter': {'Salary': 2200.0, 'projected_FD_points': 2.1207999291994875, 'confidence': -0.0094641896122384939, 'FD_Position': 'C'}, 'Marcus Semien_batter': {'Salary': 2400.0, 'projected_FD_points': 2.2620055800207521, 'confidence': -0.089459899836913381, 'FD_Position': 'SS'},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'Kyle Seager_batter': {'Salary': 2900.0, 'projected_FD_points': 2.5660141236080949, 'confidence': -0.010072219680606675, 'FD_Position': '3B'}, 'Jose Abreu_batter': {'Salary': 3400.0, 'projected_FD_points': 3.1611497433685152, 'confidence': 0.077643526579746491, 'FD_Position': '1B'}, 'Andrew McCutchen_batter': {'Salary': 4700.0, 'projected_FD_points': 3.2843406593406592, 'confidence': -0.028216088210432089, 'FD_Position': 'OF'}}</t>
  </si>
  <si>
    <t>{'Russell Martin_batter': {'Salary': 3300.0, 'projected_FD_points': 2.5633561643835616, 'confidence': -0.016044491153492935, 'FD_Position': 'C'}, 'Ben Revere_batter': {'Salary': 3000.0, 'projected_FD_points': 2.4841488813170614, 'confidence': 0.020264190710255203, 'FD_Position': 'OF'}, 'Nathan Eovaldi_pitcher': {'Salary': 7500.0, 'projected_FD_points': 8.561516117422233, 'confidence': -0.026681779477209844, 'FD_Position': 'P'}, 'Maikel Franco_batter': {'Salary': 3100.0, 'projected_FD_points': 3.3188988312358121, 'confidence': -0.57953607697362974, 'FD_Position': '3B'}, 'Christian Yelich_batter': {'Salary': 2400.0, 'projected_FD_points': 2.3681818181818182, 'confidence': -0.019278430565399685, 'FD_Position': 'OF'}, 'Jose Reyes_batter': {'Salary': 4000.0, 'projected_FD_points': 2.4903225806451612, 'confidence': -0.059303729990514586, 'FD_Position': 'SS'}, 'Giancarlo Stanton_batter': {'Salary': 5000.0, 'projected_FD_points': 3.513389064546006, 'confidence': -0.003678539507135703, 'FD_Position': 'OF'}, 'Chase Utley_batter': {'Salary': 2500.0, 'projected_FD_points': 2.0912901626740048, 'confidence': -0.0037306103991132655, 'FD_Position': '2B'}, 'Joey Votto_batter': {'Salary': 4000.0, 'projected_FD_points': 3.3800936741277106, 'confidence': -0.0022232631291974059, 'FD_Position': '1B'}}</t>
  </si>
  <si>
    <t>{'Anthony Rizzo_batter': {'Salary': 4400.0, 'projected_FD_points': 3.3107344632768361, 'confidence': -0.0029861194505316213, 'FD_Position': '1B'}, 'Joey Butler_batter': {'Salary': 3100.0, 'projected_FD_points': 3.0867091416254597, 'confidence': -0.076960745723142043, 'FD_Position': 'OF'}, 'Steve Pearce_batter': {'Salary': 2600.0, 'projected_FD_points': 2.6769723536231398, 'confidence': -0.10340416118772278, 'FD_Position': 'OF'}, 'Anthony Rendon_batter': {'Salary': 3500.0, 'projected_FD_points': 2.8578767123287672, 'confidence': -0.0013556343799054904, 'FD_Position': '3B'}, 'Dexter Fowler_batter': {'Salary': 3200.0, 'projected_FD_points': 3.7634747202600565, 'confidence': -0.05857344001464182, 'FD_Position': 'OF'}, 'Garrett Richards_pitcher': {'Salary': 8600.0, 'projected_FD_points': 11.538176363962762, 'confidence': -1.2717603103894524, 'FD_Position': 'P'}, 'Brandon Crawford_batter': {'Salary': 2900.0, 'projected_FD_points': 2.4382869357051584, 'confidence': -0.053762291371092896, 'FD_Position': 'SS'}, 'Dustin Pedroia_batter': {'Salary': 3400.0, 'projected_FD_points': 2.3701854807526184, 'confidence': 0.010020731775421066, 'FD_Position': '2B'}, 'Matt Wieters_batter': {'Salary': 3300.0, 'projected_FD_points': 2.6488996365772182, 'confidence': -3.3390255737509529, 'FD_Position': 'C'}}</t>
  </si>
  <si>
    <t>{'Starlin Castro_batter': {'Salary': 2700.0, 'projected_FD_points': 2.1695906432748537, 'confidence': -0.026984655715541983, 'FD_Position': 'SS'}, 'Anthony Rizzo_batter': {'Salary': 4400.0, 'projected_FD_points': 3.3107344632768361, 'confidence': -0.0029861194505316213, 'FD_Position': '1B'}, 'Jonathan Lucroy_batter': {'Salary': 2700.0, 'projected_FD_points': 2.3390043925012955, 'confidence': 0.0061452315205933195, 'FD_Position': 'C'}, 'Ryan Braun_batter': {'Salary': 4000.0, 'projected_FD_points': 2.5146198830409356, 'confidence': -0.12676485261627191, 'FD_Position': 'OF'}, 'Matt Garza_pitcher': {'Salary': 6500.0, 'projected_FD_points': 10.684773355882376, 'confidence': -0.16717254390887359, 'FD_Position': 'P'}, 'Anthony Rendon_batter': {'Salary': 3500.0, 'projected_FD_points': 2.8578767123287672, 'confidence': -0.0013556343799054904, 'FD_Position': '3B'}, 'Bryce Harper_batter': {'Salary': 5600.0, 'projected_FD_points': 2.5285769002429457, 'confidence': 0.028309182860467241, 'FD_Position': 'OF'}, 'Dexter Fowler_batter': {'Salary': 3200.0, 'projected_FD_points': 3.7634747202600565, 'confidence': -0.05857344001464182, 'FD_Position': 'OF'}, 'Addison Russell_batter': {'Salary': 2400.0, 'projected_FD_points': 2.0743243243243241, 'confidence': -3.851721913272514, 'FD_Position': '2B'}}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</si>
  <si>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'David Ortiz_batter': {'Salary': 2400.0, 'projected_FD_points': 2.4049962561543383, 'confidence': -0.035846948546131241, 'FD_Position': '1B'}, 'Marcus Semien_batter': {'Salary': 2300.0, 'projected_FD_points': 2.141811092358727, 'confidence': 0.0041179704669497275, 'FD_Position': 'SS'},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'Dexter Fowler_batter': {'Salary': 3300.0, 'projected_FD_points': 3.715170186335405, 'confidence': 0.064248037953653081, 'FD_Position': 'OF'}, 'Kyle Seager_batter': {'Salary': 3400.0, 'projected_FD_points': 2.7836196999478222, 'confidence': -0.05460604369657629, 'FD_Position': '3B'}, 'Ben Zobrist_batter': {'Salary': 2600.0, 'projected_FD_points': 2.3391509682380796, 'confidence': -0.15302996406415503, 'FD_Position': '2B'}}</t>
  </si>
  <si>
    <t>TeamOdds.py</t>
  </si>
  <si>
    <t>C:\Users\Ian Whitestone\Documents\Python Projects\Fanduel-master\fanduel\modules\TeamOdds.py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</si>
  <si>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'Melky Cabrera_batter': {'Salary': 2200.0, 'projected_FD_points': 2.5104791408248617, 'confidence': -0.10273988788549504, 'FD_Position': 'OF'}, 'Robinson Cano_batter': {'Salary': 2400.0, 'projected_FD_points': 2.2681347150259068, 'confidence': -0.016365701344725148, 'FD_Position': '2B'},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'Kyle Seager_batter': {'Salary': 3400.0, 'projected_FD_points': 2.7836196999478222, 'confidence': -0.05460604369657629, 'FD_Position': '3B'}, 'Jose Abreu_batter': {'Salary': 3800.0, 'projected_FD_points': 3.1043219984729262, 'confidence': -0.0007489546164538563, 'FD_Position': '1B'}, 'Alexei Ramirez_batter': {'Salary': 2200.0, 'projected_FD_points': 1.9702072538860103, 'confidence': -0.014564697775935942, 'FD_Position': 'SS'}}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</si>
  <si>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2.5154207336473071, 'confidence': -0.034051438210048746,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</si>
  <si>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2.5154207336473071, 'confidence': -0.034051438210048746, 'FD_Position': 'OF'}}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</si>
  <si>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2.608080451853386, 'confidence': -0.28573208787748761, 'FD_Position': 'OF'}, 'Jason Castro_batter': {'Salary': 2300.0, 'projected_FD_points': 2.0804381675765491, 'confidence': -0.060100000532271824, 'FD_Position': 'C'}}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</si>
  <si>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2.5527710305282492, 'confidence': -0.13163445298456455, 'FD_Position': 'OF'}, 'Rusney Castillo_batter': {'Salary': 2900.0, 'projected_FD_points': 3.0561885612153707, 'confidence': -0.2047119186632127,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</si>
  <si>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'Carlos Corporan_batter': {'Salary': 2200.0, 'projected_FD_points': 1.9073834301713954, 'confidence': -1.5859134794654892, 'FD_Position': 'C'}, 'Hunter Pence_batter': {'Salary': 3000.0, 'projected_FD_points': 2.9019087521663822, 'confidence': 0.0037497767821386141,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'Dexter Fowler_batter': {'Salary': 3800.0, 'projected_FD_points': 3.1463861664643358, 'confidence': -0.057907490484304214, 'FD_Position': 'OF'}, 'Preston Tucker_batter': {'Salary': 3000.0, 'projected_FD_points': 3.0681818181818183, 'confidence': -1.3966942148760335,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</si>
  <si>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3.3637978684928247, 'confidence': -0.13311474817695235,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2.6359571085319988, 'confidence': -0.070614570855755954, 'FD_Position': 'OF'}}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</si>
  <si>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2.5910498439334448, 'confidence': -0.026667046203557199,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</si>
  <si>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2.8448663313210165, 'confidence': -0.53066052647677497, 'FD_Position': 'OF'}, 'Michael McKenry_batter': {'Salary': 2500.0, 'projected_FD_points': 3.3259572202937449, 'confidence': -7.5693089697483469, 'FD_Position': 'C'}}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</si>
  <si>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2.8448663313210165, 'confidence': -0.53066052647677497,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</si>
  <si>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2.8448663313210165, 'confidence': -0.53066052647677497, 'FD_Position': 'OF'}, 'Matt Carpenter_batter': {'Salary': 3900.0, 'projected_FD_points': 2.9002951063338163, 'confidence': -0.10078734153614133, 'FD_Position': '3B'}}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</si>
  <si>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</si>
  <si>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</si>
  <si>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r>
      <rPr>
        <u/>
        <sz val="11"/>
        <color theme="1"/>
        <rFont val="Calibri"/>
        <family val="2"/>
        <scheme val="minor"/>
      </rPr>
      <t>All Players:</t>
    </r>
    <r>
      <rPr>
        <sz val="11"/>
        <color theme="1"/>
        <rFont val="Calibri"/>
        <family val="2"/>
        <scheme val="minor"/>
      </rPr>
      <t xml:space="preserve"> rain prediction</t>
    </r>
  </si>
  <si>
    <t>Things/Features To Add</t>
  </si>
  <si>
    <t>XML Stats</t>
  </si>
  <si>
    <t>texas-rangers</t>
  </si>
  <si>
    <t>chicago-cubs</t>
  </si>
  <si>
    <t>colorado-rockies</t>
  </si>
  <si>
    <t>st-louis-cardinals</t>
  </si>
  <si>
    <t>san-francisco-giants</t>
  </si>
  <si>
    <t>kansas-city-royals</t>
  </si>
  <si>
    <t>boston-red-sox</t>
  </si>
  <si>
    <t>tampa-bay-rays</t>
  </si>
  <si>
    <t>cincinnati-reds</t>
  </si>
  <si>
    <t>cleveland-indians</t>
  </si>
  <si>
    <t>houston-astros</t>
  </si>
  <si>
    <t>seattle-mariners</t>
  </si>
  <si>
    <t>oakland-athletics</t>
  </si>
  <si>
    <t>san-diego-padres</t>
  </si>
  <si>
    <t>new-york-yankees</t>
  </si>
  <si>
    <t>new-york-mets</t>
  </si>
  <si>
    <t>detroit-tigers</t>
  </si>
  <si>
    <t>los-angeles-angels</t>
  </si>
  <si>
    <t>los-angeles-dodgers</t>
  </si>
  <si>
    <t>atlanta-braves</t>
  </si>
  <si>
    <t>arizona-diamondbacks</t>
  </si>
  <si>
    <t>miami-marlins</t>
  </si>
  <si>
    <t>washington-nationals</t>
  </si>
  <si>
    <t>philadelphia-phillies</t>
  </si>
  <si>
    <t>toronto-blue-jays</t>
  </si>
  <si>
    <t>minnesota-twins</t>
  </si>
  <si>
    <t>chicago-white-sox</t>
  </si>
  <si>
    <t>baltimore-orioles</t>
  </si>
  <si>
    <t>milwaukee-brewers</t>
  </si>
  <si>
    <t>pittsburgh-pirates</t>
  </si>
  <si>
    <t>FD Median, Moneyline Odds for All</t>
  </si>
  <si>
    <t>{'Yoenis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'Dexter Fowler_batter': {'Salary': 3200.0, 'projected_FD_points': 4.0984013296730559, 'confidence': -0.057601383615715429, 'FD_Position': 'OF'}, 'Chris Colabello_batter': {'Salary': 2400.0, 'projected_FD_points': 3.0500981726042489, 'confidence': -0.19569369101876499, 'FD_Position': 'OF'}, 'Kyle Seager_batter': {'Salary': 3200.0, 'projected_FD_points': 3.0321416547999922, 'confidence': 0.0046616477284378011, 'FD_Position': '3B'}, 'Jason Castro_batter': {'Salary': 2300.0, 'projected_FD_points': 2.283503091592153, 'confidence': -0.21043956873222247, 'FD_Position': 'C'}, 'Jose Iglesias_batter': {'Salary': 2400.0, 'projected_FD_points': 2.3331134999329635, 'confidence': 0.014161600535445573, 'FD_Position': 'SS'}}</t>
  </si>
  <si>
    <t>{'Michael Brantley_batter': {'Salary': 4400.0, 'projected_FD_points': 3.3029457251690792, 'confidence': -0.079876180292626664, 'FD_Position': 'OF'}, 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'Vance Worley_pitcher': {'Salary': 6600.0, 'projected_FD_points': 11.644911571663069, 'confidence': -0.84917625889471382, 'FD_Position': 'P'}, 'Brian Dozier_batter': {'Salary': 3500.0, 'projected_FD_points': 2.7889197055632162, 'confidence': 0.0021411508370381416, 'FD_Position': '2B'}, 'Adrian Beltre_batter': {'Salary': 3100.0, 'projected_FD_points': 2.7234075394664865, 'confidence': -0.11251727425084135, 'FD_Position': '3B'}, 'Dexter Fowler_batter': {'Salary': 3200.0, 'projected_FD_points': 4.0984013296730559, 'confidence': -0.057601383615715429, 'FD_Position': 'OF'}, 'Jose Iglesias_batter': {'Salary': 2400.0, 'projected_FD_points': 2.3331134999329635, 'confidence': 0.014161600535445573, 'FD_Position': 'SS'}}</t>
  </si>
  <si>
    <t>{'Johnny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'Chris Colabello_batter': {'Salary': 2400.0, 'projected_FD_points': 3.0500981726042489, 'confidence': -0.19569369101876499, 'FD_Position': 'OF'}, 'Edwin Encarnacion_batter': {'Salary': 4400.0, 'projected_FD_points': 3.0751542079975698, 'confidence': -0.86890304977549326, 'FD_Position': '1B'}, 'Jay Bruce_batter': {'Salary': 2500.0, 'projected_FD_points': 2.6640693049180308, 'confidence': 0.008643389158625614, 'FD_Position': 'OF'}, 'Justin Upton_batter': {'Salary': 4100.0, 'projected_FD_points': 2.909419801473482, 'confidence': -0.01192356537389494, 'FD_Position': 'OF'}, 'Kyle Seager_batter': {'Salary': 3200.0, 'projected_FD_points': 3.0321416547999922, 'confidence': 0.0046616477284378011, 'FD_Position': '3B'}, 'Jose Pirela_batter': {'Salary': 2200.0, 'projected_FD_points': 2.0248167431473796, 'confidence': 0, 'FD_Position': 'SS'}, 'Jason Castro_batter': {'Salary': 2300.0, 'projected_FD_points': 2.283503091592153, 'confidence': -0.21043956873222247, 'FD_Position': 'C'}}</t>
  </si>
  <si>
    <t>{'Adrian Beltre_batter': {'Salary': 3100.0, 'projected_FD_points': 2.7234075394664865, 'confidence': -0.11251727425084135, 'FD_Position': '3B'}, 'Starlin Castro_batter': {'Salary': 3100.0, 'projected_FD_points': 1.9396453530089868, 'confidence': -0.017867389815747758, 'FD_Position': 'SS'},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'Delino Deshields Jr._batter': {'Salary': 3100.0, 'projected_FD_points': 2.8851658083313545, 'confidence': -0.94496151214543311, 'FD_Position': 'OF'}, 'Alex Gordon_batter': {'Salary': 3500.0, 'projected_FD_points': 2.434867220107324, 'confidence': -0.0095633926123877, 'FD_Position': 'OF'}, 'Dexter Fowler_batter': {'Salary': 3200.0, 'projected_FD_points': 4.0984013296730559, 'confidence': -0.057601383615715429, 'FD_Position': 'OF'}, 'Omar Infante_batter': {'Salary': 2300.0, 'projected_FD_points': 1.6191968290190251, 'confidence': 0.00204906195203991, 'FD_Position': '2B'}, 'Travis Wood_pitcher': {'Salary': 7000.0, 'projected_FD_points': 9.6643048396917699, 'confidence': 0.29415101718766623, 'FD_Position': 'P'}}</t>
  </si>
  <si>
    <t>{'Michael Brantley_batter': {'Salary': 4200.0, 'projected_FD_points': 3.5275643638208054, 'confidence': -0.047907582137538096, 'FD_Position': 'OF'}, 'Jimmy Paredes_batter': {'Salary': 3500.0, 'projected_FD_points': 2.8032974482342095, 'confidence': -0.0072157133062382695, 'FD_Position': '2B'}, 'Trevor Plouffe_batter': {'Salary': 2900.0, 'projected_FD_points': 3.1391442513626937, 'confidence': -0.63011173378143415, 'FD_Position': '3B'},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'Dexter Fowler_batter': {'Salary': 3100.0, 'projected_FD_points': 4.4147443136308739, 'confidence': -0.055816318609043458,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</si>
  <si>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{'Trevor Plouffe_batter': {'Salary': 2900.0, 'projected_FD_points': 3.1391442513626937, 'confidence': -0.63011173378143415, 'FD_Position': '3B'}, 'Devon Travis_batter': {'Salary': 3300.0, 'projected_FD_points': 2.6361418296755246, 'confidence': -0.61901971704795899, 'FD_Position': '2B'},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'Christian Yelich_batter': {'Salary': 2900.0, 'projected_FD_points': 3.0201762202428015, 'confidence': 0.090025413686848799, 'FD_Position': 'OF'}, 'Giancarlo Stanton_batter': {'Salary': 4600.0, 'projected_FD_points': 3.9424304984917145, 'confidence': -0.079901895062348016,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</si>
  <si>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{'Kris Bryant_batter': {'Salary': 3800.0, 'projected_FD_points': 3.8583251316207527, 'confidence': -0.93198457226135334, 'FD_Position': '3B'}, 'Jimmy Paredes_batter': {'Salary': 3500.0, 'projected_FD_points': 3.4433938855979855, 'confidence': -0.43368414683436596, 'FD_Position': '2B'}, 'Lucas Duda_batter': {'Salary': 3100.0, 'projected_FD_points': 3.1659436437839368, 'confidence': -0.13173638569793744, 'FD_Position': '1B'}, 'Blake Swihart_batter': {'Salary': 2200.0, 'projected_FD_points': 5.9209036915086521, 'confidence': 0, 'FD_Position': 'C'}, 'Daniel Santana_batter': {'Salary': 2700.0, 'projected_FD_points': 3.055872927007603, 'confidence': -0.097473971242933333, 'FD_Position': 'SS'}, 'Dexter Fowler_batter': {'Salary': 3400.0, 'projected_FD_points': 4.1848839298313969, 'confidence': -0.2139928363824386, 'FD_Position': 'OF'}, 'Giancarlo Stanton_batter': {'Salary': 4600.0, 'projected_FD_points': 4.3193681785705973, 'confidence': -0.043161316654935833, 'FD_Position': 'OF'},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</si>
  <si>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{'Kris Bryant_batter': {'Salary': 3800.0, 'projected_FD_points': 3.8583251316207527, 'confidence': -0.93198457226135334, 'FD_Position': '3B'}, 'Gerrit Cole_pitcher': {'Salary': 9300.0, 'projected_FD_points': 14.494100928370882, 'confidence': -1.1931026064380665, 'FD_Position': 'P'}, 'Neil Walker_batter': {'Salary': 2900.0, 'projected_FD_points': 2.3481444003678997, 'confidence': -0.2537929348860728, 'FD_Position': '2B'}, 'Daniel Santana_batter': {'Salary': 2700.0, 'projected_FD_points': 3.055872927007603, 'confidence': -0.097473971242933333, 'FD_Position': 'SS'}, 'Kurt Suzuki_batter': {'Salary': 2400.0, 'projected_FD_points': 1.9555487727303211, 'confidence': -0.8785041676713552, 'FD_Position': 'C'}, 'Dexter Fowler_batter': {'Salary': 3400.0, 'projected_FD_points': 4.1848839298313969, 'confidence': -0.2139928363824386, 'FD_Position': 'OF'}, 'Marcell Ozuna_batter': {'Salary': 3100.0, 'projected_FD_points': 2.9049689030531551, 'confidence': 0.0179651761241163, 'FD_Position': 'OF'}, 'Giancarlo Stanton_batter': {'Salary': 4600.0, 'projected_FD_points': 4.3193681785705973, 'confidence': -0.043161316654935833, 'FD_Position': 'OF'}, 'Joe Mauer_batter': {'Salary': 2800.0, 'projected_FD_points': 2.2762796556405585, 'confidence': 0.01678731955205981, 'FD_Position': '1B'}}</t>
  </si>
  <si>
    <t>{'Jimmy Paredes_batter': {'Salary': 3500.0, 'projected_FD_points': 3.4433938855979855, 'confidence': -0.43368414683436596, 'FD_Position': '2B'}, 'Chris Owings_batter': {'Salary': 3200.0, 'projected_FD_points': 2.7327493571453267, 'confidence': -3.3523005341615777, 'FD_Position': 'SS'}, 'Paul Goldschmidt_batter': {'Salary': 5300.0, 'projected_FD_points': 3.7602590516266909, 'confidence': -0.11147311555609907, 'FD_Position': '1B'}, 'Blake Swihart_batter': {'Salary': 2200.0, 'projected_FD_points': 5.9209036915086521, 'confidence': 0, 'FD_Position': 'C'}, 'Chris Colabello_batter': {'Salary': 2300.0, 'projected_FD_points': 2.9477958184247992, 'confidence': -0.3376291486276044, 'FD_Position': 'OF'}, 'Adam Jones_batter': {'Salary': 3600.0, 'projected_FD_points': 3.0177676598041492, 'confidence': -1.1111391856510728, 'FD_Position': 'OF'}, 'Kyle Seager_batter': {'Salary': 3100.0, 'projected_FD_points': 3.6616038229056231, 'confidence': -0.14385291423505353, 'FD_Position': '3B'},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</si>
  <si>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{'Jimmy Paredes_batter': {'Salary': 3400.0, 'projected_FD_points': 3.5889843585947405, 'confidence': -0.089121079591376828, 'FD_Position': '2B'}, 'Ian Desmond_batter': {'Salary': 2700.0, 'projected_FD_points': 2.2455637778678352, 'confidence': 0.039678723544858796, 'FD_Position': 'SS'}, 'Lucas Duda_batter': {'Salary': 3000.0, 'projected_FD_points': 2.9623533548195882, 'confidence': -0.004894817866479606, 'FD_Position': '1B'}, 'James McCann_batter': {'Salary': 2400.0, 'projected_FD_points': 3.8829569707656812, 'confidence': -0.58089735390923503, 'FD_Position': 'C'},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'Kyle Seager_batter': {'Salary': 3000.0, 'projected_FD_points': 3.2176561158984791, 'confidence': -0.14826497186920151, 'FD_Position': '3B'},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</si>
  <si>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{'Robinson Chirinos_batter': {'Salary': 2400.0, 'projected_FD_points': 2.2899147842361778, 'confidence': -0.35797603307873138, 'FD_Position': 'C'}, 'Adrian Beltre_batter': {'Salary': 3200.0, 'projected_FD_points': 2.6551804612864305, 'confidence': -0.11196885286552405, 'FD_Position': '3B'}, 'Eddie Rosario_batter': {'Salary': 2600.0, 'projected_FD_points': 2.5002558171391147, 'confidence': 0, 'FD_Position': 'OF'}, 'Jose Altuve_batter': {'Salary': 4700.0, 'projected_FD_points': 3.4200640236286519, 'confidence': -0.035456722997917911, 'FD_Position': '2B'}, 'Prince Fielder_batter': {'Salary': 3500.0, 'projected_FD_points': 3.1657130418220518, 'confidence': -0.35424604634237711,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'Chris Colabello_batter': {'Salary': 2400.0, 'projected_FD_points': 2.5290030341377174, 'confidence': -0.91192726872738983, 'FD_Position': 'OF'}}</t>
  </si>
  <si>
    <t>{'Robinson Chirinos_batter': {'Salary': 2400.0, 'projected_FD_points': 2.2899147842361778, 'confidence': -0.35797603307873138, 'FD_Position': 'C'}, 'Yasmany Tomas_batter': {'Salary': 2700.0, 'projected_FD_points': 2.5592745888128503, 'confidence': 0.41192678792694781, 'FD_Position': '3B'}, 'Jimmy Paredes_batter': {'Salary': 3400.0, 'projected_FD_points': 3.5889843585947405, 'confidence': -0.089121079591376828, 'FD_Position': '2B'}, 'Lucas Duda_batter': {'Salary': 3000.0, 'projected_FD_points': 2.9623533548195882, 'confidence': -0.004894817866479606,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</si>
  <si>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{'Adam Eaton_batter': {'Salary': 2700.0, 'projected_FD_points': 2.8874062201176751, 'confidence': -0.7735526032750748,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3.8829569707656812, 'confidence': -0.58089735390923503, 'FD_Position': 'C'}, 'Marcus Semien_batter': {'Salary': 3400.0, 'projected_FD_points': 2.2713145987924208, 'confidence': -0.11855790321037141, 'FD_Position': 'SS'}, 'Justin Upton_batter': {'Salary': 4000.0, 'projected_FD_points': 2.8913818782435121, 'confidence': -0.17097469654415431, 'FD_Position': 'OF'}, 'Kyle Seager_batter': {'Salary': 3000.0, 'projected_FD_points': 3.2176561158984791, 'confidence': -0.14826497186920151, 'FD_Position': '3B'}, 'Lance Lynn_pitcher': {'Salary': 8600.0, 'projected_FD_points': 12.714195258351317, 'confidence': -0.52665020576330068, 'FD_Position': 'P'}, 'Jose Abreu_batter': {'Salary': 3600.0, 'projected_FD_points': 3.39182160310706, 'confidence': -0.12690597641584089, 'FD_Position': '1B'}}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</si>
  <si>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'Aramis Ramirez_batter': {'Salary': 2900.0, 'projected_FD_points': 2.4612743119104517, 'confidence': -1.9873648371406212, 'FD_Position': '3B'}, 'Chris Sale_pitcher': {'Salary': 10000.0, 'projected_FD_points': 17.034840470070726, 'confidence': -0.41798767625422539, 'FD_Position': 'P'}, 'Chris Colabello_batter': {'Salary': 2300.0, 'projected_FD_points': 2.8944484097827696, 'confidence': -0.062543403196056557, 'FD_Position': 'OF'}, 'Giancarlo Stanton_batter': {'Salary': 4800.0, 'projected_FD_points': 4.2270091712421358, 'confidence': -0.0016441355760077325, 'FD_Position': 'OF'},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'Jason Castro_batter': {'Salary': 2300.0, 'projected_FD_points': 2.3196808133372686, 'confidence': -0.003075529524496412, 'FD_Position': 'C'}}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</si>
  <si>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'Chris Sale_pitcher': {'Salary': 10000.0, 'projected_FD_points': 17.034840470070726, 'confidence': -0.41798767625422539, 'FD_Position': 'P'}, 'Martin Prado_batter': {'Salary': 2400.0, 'projected_FD_points': 1.9509874485118006, 'confidence': -0.040020201217535911, 'FD_Position': '3B'}, 'Giancarlo Stanton_batter': {'Salary': 4800.0, 'projected_FD_points': 4.2270091712421358, 'confidence': -0.0016441355760077325, 'FD_Position': 'OF'}, 'Jason Castro_batter': {'Salary': 2300.0, 'projected_FD_points': 2.3196808133372686, 'confidence': -0.003075529524496412, 'FD_Position': 'C'},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'Christian Yelich_batter': {'Salary': 2900.0, 'projected_FD_points': 3.0175410154861031, 'confidence': 0.048774010972925441, 'FD_Position': 'OF'}}</t>
  </si>
  <si>
    <t>{'Albert Pujols_batter': {'Salary': 2900.0, 'projected_FD_points': 2.5683457071635583, 'confidence': -0.17595289299288597, 'FD_Position': '1B'}, 'Erick Aybar_batter': {'Salary': 2200.0, 'projected_FD_points': 1.9621833175910437, 'confidence': -0.16578640485063167, 'FD_Position': 'SS'}, 'Kole Calhoun_batter': {'Salary': 3100.0, 'projected_FD_points': 2.7402512736764297, 'confidence': -0.075551763342441181, 'FD_Position': 'OF'}, 'James Shields_pitcher': {'Salary': 8700.0, 'projected_FD_points': 11.087589610921514, 'confidence': -0.67408583062621874, 'FD_Position': 'P'}, 'Mike Zunino_batter': {'Salary': 2200.0, 'projected_FD_points': 1.5599356030427214, 'confidence': -0.10902983265789978, 'FD_Position': 'C'}, 'Johnny Giavotella_batter': {'Salary': 2200.0, 'projected_FD_points': 1.8651909121260031, 'confidence': -2.0348035383030036, 'FD_Position': '2B'}, 'Mike Trout_batter': {'Salary': 5400.0, 'projected_FD_points': 3.5407888612931391, 'confidence': -0.10441623409490286, 'FD_Position': 'OF'}, 'Kyle Seager_batter': {'Salary': 3000.0, 'projected_FD_points': 2.7168878113837645, 'confidence': 0.091418012673401217, 'FD_Position': '3B'}, 'Nelson Cruz_batter': {'Salary': 4800.0, 'projected_FD_points': 3.2883959371003746, 'confidence': -0.30971914546812718, 'FD_Position': 'OF'}}</t>
  </si>
  <si>
    <t>{'Jimmy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'Ian Kennedy_pitcher': {'Salary': 8000.0, 'projected_FD_points': 12.860542005385453, 'confidence': -3.0089236194606492, 'FD_Position': 'P'}, 'Kole Calhoun_batter': {'Salary': 3100.0, 'projected_FD_points': 3.2126058098049328, 'confidence': -0.020082781159571406,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'Dexter Fowler_batter': {'Salary': 3300.0, 'projected_FD_points': 4.2429210922647762, 'confidence': -0.06078002466679977, 'FD_Position': 'OF'},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</si>
  <si>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'Brandon Moss_batter': {'Salary': 3200.0, 'projected_FD_points': 2.9267169147921219, 'confidence': -0.25338359654329312,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'Lance Lynn_pitcher': {'Salary': 8200.0, 'projected_FD_points': 12.495110520122779, 'confidence': -0.40524895866827282, 'FD_Position': 'P'},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</si>
  <si>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{'Kole Calhoun_batter': {'Salary': 3100.0, 'projected_FD_points': 3.2126058098049328, 'confidence': -0.020082781159571406, 'FD_Position': 'OF'}, 'Ian Kennedy_pitcher': {'Salary': 8000.0, 'projected_FD_points': 12.860542005385453, 'confidence': -3.0089236194606492, 'FD_Position': 'P'}, 'David Ortiz_batter': {'Salary': 2800.0, 'projected_FD_points': 2.5368044534056962, 'confidence': -0.31936435487597525, 'FD_Position': '1B'}, 'Stephen Vogt_batter': {'Salary': 3700.0, 'projected_FD_points': 2.9034909187139037, 'confidence': -3.9568776704871507, 'FD_Position': 'C'}, 'Mike Trout_batter': {'Salary': 5400.0, 'projected_FD_points': 3.7602661503488215, 'confidence': -0.18943965074660829, 'FD_Position': 'OF'}, 'Kyle Seager_batter': {'Salary': 3000.0, 'projected_FD_points': 2.7510227136294434, 'confidence': -0.057393209089868114, 'FD_Position': '3B'}, 'Dustin Pedroia_batter': {'Salary': 2900.0, 'projected_FD_points': 2.4313444658638632, 'confidence': -0.19481241974705932, 'FD_Position': '2B'}, 'Jayson Werth_batter': {'Salary': 3000.0, 'projected_FD_points': 2.6355182443126068, 'confidence': -0.010569763027189927, 'FD_Position': 'OF'}, 'Ian Desmond_batter': {'Salary': 2900.0, 'projected_FD_points': 2.4306152622905222, 'confidence': -0.089041591638642448, 'FD_Position': 'SS'}}</t>
  </si>
  <si>
    <t>{'Adrian Beltre_batter': {'Salary': 2900.0, 'projected_FD_points': 2.7117072008362433, 'confidence': -0.17564150432267356,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3.0114983028863764, 'confidence': -0.0089307366180193526, 'FD_Position': '2B'}, 'Alexei Ramirez_batter': {'Salary': 2700.0, 'projected_FD_points': 2.4379775041799308, 'confidence': -0.06803506204236065, 'FD_Position': 'SS'}, 'Dexter Fowler_batter': {'Salary': 3300.0, 'projected_FD_points': 4.2429210922647762, 'confidence': -0.06078002466679977, 'FD_Position': 'OF'}, 'Kyle Blanks_batter': {'Salary': 2700.0, 'projected_FD_points': 2.5414639876955443, 'confidence': -0.46686024084207234, 'FD_Position': 'OF'}, 'Chris Sale_pitcher': {'Salary': 9600.0, 'projected_FD_points': 12.876054713002759, 'confidence': -0.21118051244181846, 'FD_Position': 'P'}, 'Jason Castro_batter': {'Salary': 2200.0, 'projected_FD_points': 2.2664592625339757, 'confidence': 0.054536626184414905, 'FD_Position': 'C'}}</t>
  </si>
  <si>
    <t>{'Alex Rodriguez_batter': {'Salary': 3400.0, 'projected_FD_points': 2.9831301182893539, 'confidence': 0.0, 'FD_Position': '3B'}, 'Adrian Gonzalez_batter': {'Salary': 4500.0, 'projected_FD_points': 3.7430669131645318, 'confidence': 0.0090288636174493675, 'FD_Position': '1B'}, 'Devon Travis_batter': {'Salary': 3400.0, 'projected_FD_points': 6.1058475674706481, 'confidence': -0.27318906141982979, 'FD_Position': '2B'}, 'Steve Pearce_batter': {'Salary': 2900.0, 'projected_FD_points': 2.8219479407155137, 'confidence': -0.38226450678140611, 'FD_Position': 'OF'}, 'Jacob Realmuto_batter': {'Salary': 2200.0, 'projected_FD_points': 2.8042248781802517, 'confidence': -2.1999566572137632, 'FD_Position': 'C'}, 'Dexter Fowler_batter': {'Salary': 3300.0, 'projected_FD_points': 4.5667255304203103, 'confidence': -0.13512860142797711, 'FD_Position': 'OF'}, 'Jordy Mercer_batter': {'Salary': 2300.0, 'projected_FD_points': 2.405835751436364, 'confidence': 0.049294010384271059, 'FD_Position': 'SS'}, 'Jon Lester_pitcher': {'Salary': 9100.0, 'projected_FD_points': 13.564368832531166, 'confidence': -1.0960971999653881, 'FD_Position': 'P'}, 'Andrew McCutchen_batter': {'Salary': 3800.0, 'projected_FD_points': 3.4675639411113695, 'confidence': -0.035428919784843638, 'FD_Position': 'OF'}}</t>
  </si>
  <si>
    <t>{'Ian Desmond_batter': {'Salary': 2900.0, 'projected_FD_points': 2.4848321418998713, 'confidence': 0.025879322144750305, 'FD_Position': 'SS'}, 'Jacob Realmuto_batter': {'Salary': 2200.0, 'projected_FD_points': 2.8042248781802517, 'confidence': -2.1999566572137632, 'FD_Position': 'C'}, 'Denard Span_batter': {'Salary': 3200.0, 'projected_FD_points': 2.6268930192939379, 'confidence': -0.028566778441081242, 'FD_Position': 'OF'}, 'Zack Greinke_pitcher': {'Salary': 10300.0, 'projected_FD_points': 13.985411632316787, 'confidence': -2.912883713456154, 'FD_Position': 'P'}, 'Mookie Betts_batter': {'Salary': 3300.0, 'projected_FD_points': 2.6914358848010091, 'confidence': -0.16707679464134695, 'FD_Position': 'OF'}, 'Adrian Gonzalez_batter': {'Salary': 4500.0, 'projected_FD_points': 3.7430669131645318, 'confidence': 0.0090288636174493675, 'FD_Position': '1B'}, 'Brett Lawrie_batter': {'Salary': 2400.0, 'projected_FD_points': 2.327860614601879, 'confidence': -0.049382855743208331, 'FD_Position': '3B'}, 'Jayson Werth_batter': {'Salary': 3100.0, 'projected_FD_points': 2.8336077085763454, 'confidence': -0.43296787483709775, 'FD_Position': 'OF'},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</si>
  <si>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'Adrian Beltre_batter': {'Salary': 2700.0, 'projected_FD_points': 2.5729408457916163, 'confidence': 0.018666479129796909, 'FD_Position': '3B'}, 'Anthony Rizzo_batter': {'Salary': 4400.0, 'projected_FD_points': 3.4996985138337724, 'confidence': -0.032064300077377705, 'FD_Position': '1B'}, 'Lorenzo Cain_batter': {'Salary': 3400.0, 'projected_FD_points': 2.3876131505702958, 'confidence': -0.025057501740931576, 'FD_Position': 'OF'},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4.5667255304203103, 'confidence': -0.13512860142797711, 'FD_Position': 'OF'}, 'Alcides Escobar_batter': {'Salary': 2600.0, 'projected_FD_points': 1.9408187994315289, 'confidence': -0.022679356593996669, 'FD_Position': 'SS'}, 'Jon Lester_pitcher': {'Salary': 9100.0, 'projected_FD_points': 13.564368832531166, 'confidence': -1.0960971999653881, 'FD_Position': 'P'}}</t>
  </si>
  <si>
    <t>{'Ben Revere_batter': {'Salary': 2700.0, 'projected_FD_points': 2.5416509401447276, 'confidence': 0.025716984772148233, 'FD_Position': 'OF'}, 'Alex Rodriguez_batter': {'Salary': 3400.0, 'projected_FD_points': 5.3317586310370562, 'confidence': -0.76384715867062325, 'FD_Position': '3B'}, 'Stephen Vogt_batter': {'Salary': 3500.0, 'projected_FD_points': 3.0097980028580378, 'confidence': 0.046344543505064895, 'FD_Position': 'C'}, 'Wilmer Flores_batter': {'Salary': 2200.0, 'projected_FD_points': 2.5332554813027253, 'confidence': -0.3994135923226847, 'FD_Position': 'SS'}, 'Lucas Duda_batter': {'Salary': 3100.0, 'projected_FD_points': 3.2993893612580441, 'confidence': -0.029918231321020228, 'FD_Position': '1B'}, 'Felix Hernandez_pitcher': {'Salary': 11300.0, 'projected_FD_points': 15.628769149292793, 'confidence': -4.6329246648686953, 'FD_Position': 'P'}, 'Dexter Fowler_batter': {'Salary': 3200.0, 'projected_FD_points': 4.2009575426103476, 'confidence': -0.2889186704018234, 'FD_Position': 'OF'}, 'Devon Travis_batter': {'Salary': 3300.0, 'projected_FD_points': 4.4904555931338859, 'confidence': -0.99664877085117132, 'FD_Position': '2B'}, 'Chris Colabello_batter': {'Salary': 2300.0, 'projected_FD_points': 3.520377985423508, 'confidence': -0.43858719778171062, 'FD_Position': 'OF'}}</t>
  </si>
  <si>
    <t>{'Alex Rodriguez_batter': {'Salary': 3400.0, 'projected_FD_points': 5.3317586310370562, 'confidence': -0.76384715867062325, 'FD_Position': '3B'}, 'Jose Bautista_batter': {'Salary': 4800.0, 'projected_FD_points': 3.4820383408479709, 'confidence': -0.036738299522098838, 'FD_Position': 'OF'}, 'Devon Travis_batter': {'Salary': 3300.0, 'projected_FD_points': 4.4904555931338859, 'confidence': -0.99664877085117132, 'FD_Position': '2B'}, 'Freddie Freeman_batter': {'Salary': 3900.0, 'projected_FD_points': 3.4616449576857908, 'confidence': -0.09550744979727499, 'FD_Position': '1B'}, 'Dexter Fowler_batter': {'Salary': 3200.0, 'projected_FD_points': 4.2009575426103476, 'confidence': -0.2889186704018234, 'FD_Position': 'OF'}, 'Chris Colabello_batter': {'Salary': 2300.0, 'projected_FD_points': 3.520377985423508, 'confidence': -0.43858719778171062, 'FD_Position': 'OF'}, 'Michael Pineda_pitcher': {'Salary': 8800.0, 'projected_FD_points': 14.116667276063076, 'confidence': -0.67229910777009083, 'FD_Position': 'P'}, 'Caleb Joseph_batter': {'Salary': 2700.0, 'projected_FD_points': 2.2064109321770125, 'confidence': -4.3218887031104627, 'FD_Position': 'C'}, 'Alexei Ramirez_batter': {'Salary': 2400.0, 'projected_FD_points': 2.551351483351457, 'confidence': 0.0030289303117708721, 'FD_Position': 'SS'}}</t>
  </si>
  <si>
    <t>{'Yoenis Cespedes_batter': {'Salary': 3000.0, 'projected_FD_points': 2.6200955121192075, 'confidence': 0.036519284381726358, 'FD_Position': 'OF'}, 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3.0097980028580378, 'confidence': 0.046344543505064895, 'FD_Position': 'C'}, 'Felix Hernandez_pitcher': {'Salary': 11300.0, 'projected_FD_points': 15.628769149292793, 'confidence': -4.6329246648686953, 'FD_Position': 'P'}, 'Marcus Semien_batter': {'Salary': 2700.0, 'projected_FD_points': 2.3474362351118323, 'confidence': -0.039102467428980603, 'FD_Position': 'SS'}, 'Christian Yelich_batter': {'Salary': 2800.0, 'projected_FD_points': 2.6749139227077716, 'confidence': -0.0096396590303127194, 'FD_Position': 'OF'}, 'Kyle Seager_batter': {'Salary': 3000.0, 'projected_FD_points': 3.4240099123714112, 'confidence': -0.20025427238794968, 'FD_Position': '3B'}, 'Rickie Weeks_batter': {'Salary': 2400.0, 'projected_FD_points': 2.4375512071548737, 'confidence': -0.066786653945104524, 'FD_Position': '2B'}}</t>
  </si>
  <si>
    <t>{'Anthony Rizzo_batter': {'Salary': 4400.0, 'projected_FD_points': 3.4056165365343718, 'confidence': -0.02679216507130322, 'FD_Position': '1B'}, 'Melky Cabrera_batter': {'Salary': 2800.0, 'projected_FD_points': 2.7025676078326453, 'confidence': -0.037042423272209302, 'FD_Position': 'OF'}, 'Jose Altuve_batter': {'Salary': 4700.0, 'projected_FD_points': 2.8976359290840117, 'confidence': -0.18912488235289038, 'FD_Position': '2B'}, 'Josh Phegley_batter': {'Salary': 2200.0, 'projected_FD_points': 2.7468787335722813, 'confidence': -2.8851745127183026, 'FD_Position': 'C'}, 'Matt Shoemaker_pitcher': {'Salary': 8500.0, 'projected_FD_points': 13.684197888814777, 'confidence': 0.1545707556691116, 'FD_Position': 'P'}, 'Dexter Fowler_batter': {'Salary': 2900.0, 'projected_FD_points': 3.5984587902265837, 'confidence': 0.089635663542770194, 'FD_Position': 'OF'}, 'Kyle Seager_batter': {'Salary': 3000.0, 'projected_FD_points': 2.903943775860097, 'confidence': 0.065820217651454072, 'FD_Position': '3B'}, 'Alexei Ramirez_batter': {'Salary': 2400.0, 'projected_FD_points': 2.4973888114942953, 'confidence': 0.09030478378736051, 'FD_Position': 'SS'}, 'Andrew McCutchen_batter': {'Salary': 3900.0, 'projected_FD_points': 3.1846184154806374, 'confidence': -0.038718587878020072, 'FD_Position': 'OF'}}</t>
  </si>
  <si>
    <t>{'Michael Brantley_batter': {'Salary': 4200.0, 'projected_FD_points': 3.4229795697220355, 'confidence': -0.2175432086576421, 'FD_Position': 'OF'}, 'Robinson Chirinos_batter': {'Salary': 2400.0, 'projected_FD_points': 2.1227995977230956, 'confidence': -0.078967495732830573, 'FD_Position': 'C'}, 'Brian Dozier_batter': {'Salary': 3200.0, 'projected_FD_points': 2.4046164513792991, 'confidence': -0.075872974528647052, 'FD_Position': '2B'}, 'Brandon Moss_batter': {'Salary': 3400.0, 'projected_FD_points': 2.8145227883602191, 'confidence': -0.02389215282765389, 'FD_Position': 'OF'}, 'Freddie Freeman_batter': {'Salary': 3900.0, 'projected_FD_points': 3.3156762977241945, 'confidence': 0.0046426171589345477, 'FD_Position': '1B'}, 'Doug Fister_pitcher': {'Salary': 8000.0, 'projected_FD_points': 11.422008270050954, 'confidence': -0.04896295555194996, 'FD_Position': 'P'}, 'Evan Longoria_batter': {'Salary': 3500.0, 'projected_FD_points': 2.4913258857551179, 'confidence': -0.022399782898297138, 'FD_Position': '3B'}, 'Daniel Santana_batter': {'Salary': 2900.0, 'projected_FD_points': 2.7855976793063117, 'confidence': 0.044976831898357328, 'FD_Position': 'SS'}, 'Kyle Blanks_batter': {'Salary': 2900.0, 'projected_FD_points': 3.2444204600827979, 'confidence': -0.1865205972727475, 'FD_Position': 'OF'}}</t>
  </si>
  <si>
    <t>{'Devon Travis_batter': {'Salary': 3400.0, 'projected_FD_points': 4.8661717603372612, 'confidence': -0.55346018890458937, 'FD_Position': '2B'}, 'Freddie Freeman_batter': {'Salary': 3900.0, 'projected_FD_points': 3.6127911379083741, 'confidence': -0.032806828183182812, 'FD_Position': '1B'}, 'Kyle Blanks_batter': {'Salary': 2900.0, 'projected_FD_points': 3.3795089177705147, 'confidence': -0.19775190652859687, 'FD_Position': 'OF'}, 'David Price_pitcher': {'Salary': 10900.0, 'projected_FD_points': 13.601626256511729, 'confidence': -0.081665585551916831, 'FD_Position': 'P'}, 'Dexter Fowler_batter': {'Salary': 3000.0, 'projected_FD_points': 3.4978719853238935, 'confidence': -0.46528856050342071, 'FD_Position': 'OF'}, 'Brett Lawrie_batter': {'Salary': 2600.0, 'projected_FD_points': 2.4847198498861545, 'confidence': -0.094401497364512865, 'FD_Position': '3B'}, 'Victor Martinez_batter': {'Salary': 3300.0, 'projected_FD_points': 2.7948496924432629, 'confidence': -0.0045608436088753201, 'FD_Position': 'C'}, 'Jose Pirela_batter': {'Salary': 2200.0, 'projected_FD_points': 5.8676966434165614, 'confidence': 0, 'FD_Position': 'SS'}, 'Michael Cuddyer_batter': {'Salary': 2600.0, 'projected_FD_points': 3.4136988118877314, 'confidence': -0.63714573859234491, 'FD_Position': 'OF'}}</t>
  </si>
  <si>
    <t>{'Jimmy Paredes_batter': {'Salary': 3000.0, 'projected_FD_points': 2.9827621915720344, 'confidence': 0.37635210598853186, 'FD_Position': '2B'}, 'Prince Fielder_batter': {'Salary': 3300.0, 'projected_FD_points': 3.3047840486697524, 'confidence': 0.14315558289842834, 'FD_Position': '1B'}, 'Todd Frazier_batter': {'Salary': 3800.0, 'projected_FD_points': 2.5576154050536415, 'confidence': -0.14972080517974251, 'FD_Position': '3B'}, 'Jacob Elmore_batter': {'Salary': 2200.0, 'projected_FD_points': 8.1201446407528479, 'confidence': 0, 'FD_Position': 'SS'}, 'Giancarlo Stanton_batter': {'Salary': 4700.0, 'projected_FD_points': 3.377117625140075, 'confidence': 0.025358750809829966, 'FD_Position': 'OF'}, 'Jason Castro_batter': {'Salary': 2200.0, 'projected_FD_points': 2.2368645933595888, 'confidence': -0.064767681150509349, 'FD_Position': 'C'}, 'Kyle Blanks_batter': {'Salary': 3000.0, 'projected_FD_points': 3.3538366508667661, 'confidence': -0.098661517789769393, 'FD_Position': 'OF'}, 'Collin McHugh_pitcher': {'Salary': 8400.0, 'projected_FD_points': 12.268065807497441, 'confidence': -0.0088277168610084722, 'FD_Position': 'P'}, 'Andrew McCutchen_batter': {'Salary': 3700.0, 'projected_FD_points': 3.0572494877705871, 'confidence': -0.12743128374132962, 'FD_Position': 'OF'}}</t>
  </si>
  <si>
    <t>{'Kris Bryant_batter': {'Salary': 3600.0, 'projected_FD_points': 3.5649592551441458, 'confidence': 0.19177571261107351, 'FD_Position': '3B'}, 'Michael Brantley_batter': {'Salary': 4100.0, 'projected_FD_points': 3.4983466342968104, 'confidence': -0.063150531558047618, 'FD_Position': 'OF'}, 'Anthony Rizzo_batter': {'Salary': 4300.0, 'projected_FD_points': 3.3072255312521106, 'confidence': -0.040805854389454499, 'FD_Position': '1B'}, 'Devon Travis_batter': {'Salary': 3600.0, 'projected_FD_points': 5.5665586757499224, 'confidence': -1.9465509485449197, 'FD_Position': '2B'}, 'Michael Cuddyer_batter': {'Salary': 2700.0, 'projected_FD_points': 3.5000232043928889, 'confidence': -2.1979101236221874, 'FD_Position': 'OF'}, 'Jason Castro_batter': {'Salary': 2200.0, 'projected_FD_points': 2.4293091576951351, 'confidence': -0.0048985398408665226, 'FD_Position': 'C'}, 'Kyle Blanks_batter': {'Salary': 2800.0, 'projected_FD_points': 3.7025493075954601, 'confidence': -5.2147738278313174, 'FD_Position': 'OF'}, 'Alexei Ramirez_batter': {'Salary': 2500.0, 'projected_FD_points': 2.9485570407944133, 'confidence': 0.025797947550060485, 'FD_Position': 'SS'}, 'Jacob deGrom_pitcher': {'Salary': 8900.0, 'projected_FD_points': 14.353744363778759, 'confidence': 0.58062384636269515, 'FD_Position': 'P'}}</t>
  </si>
  <si>
    <t>{'Kris Bryant_batter': {'Salary': 3500.0, 'projected_FD_points': 4.0296750919978006, 'confidence': 0.49084114726094041, 'FD_Position': '3B'}, 'Kevin Plawecki_batter': {'Salary': 2200.0, 'projected_FD_points': 4.4201783184884604, 'confidence': 0, 'FD_Position': 'C'}, 'Devon Travis_batter': {'Salary': 3700.0, 'projected_FD_points': 7.1053624087554184, 'confidence': -0.0085178070217204471, 'FD_Position': '2B'}, 'Lucas Duda_batter': {'Salary': 3300.0, 'projected_FD_points': 3.3838307740797702, 'confidence': -0.16150440778620578, 'FD_Position': '1B'}, 'Daniel Santana_batter': {'Salary': 2800.0, 'projected_FD_points': 2.7490816819207211, 'confidence': 0.0059240272912796099, 'FD_Position': 'SS'}, 'Dexter Fowler_batter': {'Salary': 3300.0, 'projected_FD_points': 3.2840399660156758, 'confidence': -0.0072161048867114275, 'FD_Position': 'OF'}, 'Mike Trout_batter': {'Salary': 5400.0, 'projected_FD_points': 3.7607958263311807, 'confidence': -0.058117946863933012, 'FD_Position': 'OF'}, 'Danny Salazar_pitcher': {'Salary': 7700.0, 'projected_FD_points': 12.788113440236728, 'confidence': -0.63010076575098672, 'FD_Position': 'P'}, 'Michael Cuddyer_batter': {'Salary': 2700.0, 'projected_FD_points': 3.0644371800077983, 'confidence': 0.078357428173244426, 'FD_Position': 'OF'}}</t>
  </si>
  <si>
    <t>{'Kris Bryant_batter': {'Salary': 3500.0, 'projected_FD_points': 3.7886387496506106, 'confidence': -2.1743579995107787, 'FD_Position': '3B'}, 'Ben Revere_batter': {'Salary': 2400.0, 'projected_FD_points': 2.8850742348241076, 'confidence': -0.69718484085285803, 'FD_Position': 'OF'}, 'Evan Gattis_batter': {'Salary': 3400.0, 'projected_FD_points': 2.7864113142650733, 'confidence': -0.15493096538025597, 'FD_Position': 'C'}, 'Kennys Vargas_batter': {'Salary': 2200.0, 'projected_FD_points': 2.9308663261789665, 'confidence': 0.1277083008265204, 'FD_Position': '1B'}, 'Daniel Santana_batter': {'Salary': 2800.0, 'projected_FD_points': 2.8594658031159774, 'confidence': -0.45206607599475057, 'FD_Position': 'SS'}, 'Clayton Kershaw_pitcher': {'Salary': 11300.0, 'projected_FD_points': 15.667394185799239, 'confidence': 0.42769180751648972, 'FD_Position': 'P'},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</si>
  <si>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{'Phil Hughes_pitcher': {'Salary': 7400.0, 'projected_FD_points': 10.552380106877905, 'confidence': 0.44359671450534255, 'FD_Position': 'P'}, 'Kris Bryant_batter': {'Salary': 3500.0, 'projected_FD_points': 3.7886387496506106, 'confidence': -2.1743579995107787, 'FD_Position': '3B'}, 'George Springer_batter': {'Salary': 3900.0, 'projected_FD_points': 3.1886816230946726, 'confidence': -0.029968708090019058, 'FD_Position': 'OF'}, 'Evan Gattis_batter': {'Salary': 3400.0, 'projected_FD_points': 2.7864113142650733, 'confidence': -0.15493096538025597, 'FD_Position': 'C'}, 'Anthony Rizzo_batter': {'Salary': 4200.0, 'projected_FD_points': 3.3709325661898717, 'confidence': -0.062153667757285369, 'FD_Position': '1B'}, 'Daniel Santana_batter': {'Salary': 2800.0, 'projected_FD_points': 2.8594658031159774, 'confidence': -0.45206607599475057, 'FD_Position': 'SS'},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</si>
  <si>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{'Albert Pujols_batter': {'Salary': 3100.0, 'projected_FD_points': 2.8779809083606294, 'confidence': -0.063430186829880775, 'FD_Position': '1B'}, 'Joe Panik_batter': {'Salary': 2500.0, 'projected_FD_points': 2.0400753373452849, 'confidence': -0.49872569347241513, 'FD_Position': '2B'}, 'Seth Smith_batter': {'Salary': 2200.0, 'projected_FD_points': 2.1032304581457852, 'confidence': -0.095918274719095198, 'FD_Position': 'OF'}, 'Felix Hernandez_pitcher': {'Salary': 11000.0, 'projected_FD_points': 15.311545548959877, 'confidence': 0.7336311948359564, 'FD_Position': 'P'}, 'Angel Pagan_batter': {'Salary': 3000.0, 'projected_FD_points': 2.4494897559975564, 'confidence': 0.11086286450122351, 'FD_Position': 'OF'}, 'Buster Posey_batter': {'Salary': 3500.0, 'projected_FD_points': 2.6365619197003722, 'confidence': -0.17518835571781755, 'FD_Position': 'C'}, 'Kyle Seager_batter': {'Salary': 2800.0, 'projected_FD_points': 2.846924896940354, 'confidence': 0.016109933306170499, 'FD_Position': '3B'}, 'Justin Upton_batter': {'Salary': 4000.0, 'projected_FD_points': 3.1241305261442136, 'confidence': -0.2277648369131533, 'FD_Position': 'OF'}, 'Brandon Crawford_batter': {'Salary': 2500.0, 'projected_FD_points': 2.3882574151476366, 'confidence': -0.1192772215722393, 'FD_Position': 'SS'}}</t>
  </si>
  <si>
    <t>{'Chris Owings_batter': {'Salary': 2300.0, 'projected_FD_points': 2.181855582587418, 'confidence': -0.40692406719259444, 'FD_Position': 'SS'}, 'Matt Kemp_batter': {'Salary': 3700.0, 'projected_FD_points': 2.8658141688218142, 'confidence': -0.066483160228727023, 'FD_Position': 'OF'}, 'David Ortiz_batter': {'Salary': 3200.0, 'projected_FD_points': 2.826160811184907, 'confidence': -0.0031136949652517121, 'FD_Position': '1B'}, 'Pablo Sandoval_batter': {'Salary': 3200.0, 'projected_FD_points': 2.3508784119160642, 'confidence': -0.062017544951830095, 'FD_Position': '3B'}, 'James Shields_pitcher': {'Salary': 8600.0, 'projected_FD_points': 11.627883575762338, 'confidence': -0.21782050654212282, 'FD_Position': 'P'}, 'Johnny Giavotella_batter': {'Salary': 2200.0, 'projected_FD_points': 1.9140298219285268, 'confidence': -0.38569453844853974, 'FD_Position': '2B'}, 'Mike Trout_batter': {'Salary': 5500.0, 'projected_FD_points': 3.5756164455337403, 'confidence': -0.10172961337002806, 'FD_Position': 'OF'}, 'Justin Upton_batter': {'Salary': 4000.0, 'projected_FD_points': 2.8160414709750086, 'confidence': -0.072706897886450239, 'FD_Position': 'OF'}, 'Michael McKenry_batter': {'Salary': 2200.0, 'projected_FD_points': 2.0481907525009722, 'confidence': -0.063907347545568927, 'FD_Position': 'C'}}</t>
  </si>
  <si>
    <t>{'Trevor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'Paulo Orlando_batter': {'Salary': 3000.0, 'projected_FD_points': 4.0840631179979452, 'confidence': 0.0, 'FD_Position': 'OF'}, 'Josh Phegley_batter': {'Salary': 2200.0, 'projected_FD_points': 2.3240763621705591, 'confidence': -3.3491461548557107, 'FD_Position': 'C'}, 'Daniel Santana_batter': {'Salary': 2800.0, 'projected_FD_points': 3.1161158903666397, 'confidence': -0.50846835085638786, 'FD_Position': 'SS'}, 'David Price_pitcher': {'Salary': 10900.0, 'projected_FD_points': 16.335863198685757, 'confidence': -0.22970935119045865, 'FD_Position': 'P'}, 'Dexter Fowler_batter': {'Salary': 3500.0, 'projected_FD_points': 4.3720433923722712, 'confidence': -0.12644941442918967, 'FD_Position': 'OF'}, 'Marcell Ozuna_batter': {'Salary': 2800.0, 'projected_FD_points': 3.0982032807977546, 'confidence': -0.18630292958785177, 'FD_Position': 'OF'}, 'Jose Abreu_batter': {'Salary': 4000.0, 'projected_FD_points': 3.3989854562639681, 'confidence': -1.2308873618118805, 'FD_Position': '1B'}}</t>
  </si>
  <si>
    <t>{'Russell Martin_batter': {'Salary': 3200.0, 'projected_FD_points': 2.6600529674847362, 'confidence': 0.002100022335495999, 'FD_Position': 'C'}, 'Corey Kluber_pitcher': {'Salary': 9500.0, 'projected_FD_points': 15.716795643446089, 'confidence': -0.13874579029464207, 'FD_Position': 'P'}, 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'Daniel Santana_batter': {'Salary': 2800.0, 'projected_FD_points': 3.1161158903666397, 'confidence': -0.50846835085638786, 'FD_Position': 'SS'}, 'Dexter Fowler_batter': {'Salary': 3500.0, 'projected_FD_points': 4.3720433923722712, 'confidence': -0.12644941442918967, 'FD_Position': 'OF'}, 'David Ortiz_batter': {'Salary': 3300.0, 'projected_FD_points': 2.9448484174891933, 'confidence': -0.082214900789816747, 'FD_Position': '1B'}, 'Marcell Ozuna_batter': {'Salary': 2800.0, 'projected_FD_points': 3.0982032807977546, 'confidence': -0.18630292958785177, 'FD_Position': 'OF'}, 'Andrew McCutchen_batter': {'Salary': 4100.0, 'projected_FD_points': 3.1693765353425691, 'confidence': -0.053627660344954586, 'FD_Position': 'OF'}}</t>
  </si>
  <si>
    <t>{'Adrian Beltre_batter': {'Salary': 2900.0, 'projected_FD_points': 2.6750051690551668, 'confidence': -0.048436656870939343, 'FD_Position': '3B'}, 'Jimmy Paredes_batter': {'Salary': 3200.0, 'projected_FD_points': 3.2970951656686136, 'confidence': 0.45655134297722222, 'FD_Position': '2B'}, 'George Springer_batter': {'Salary': 3800.0, 'projected_FD_points': 3.2710597962476959, 'confidence': -0.057332416764633187, 'FD_Position': 'OF'}, 'Paulo Orlando_batter': {'Salary': 3000.0, 'projected_FD_points': 4.0840631179979452,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'Josh Phegley_batter': {'Salary': 2200.0, 'projected_FD_points': 2.3240763621705591, 'confidence': -3.3491461548557107, 'FD_Position': 'C'}, 'David Price_pitcher': {'Salary': 10900.0, 'projected_FD_points': 16.335863198685757, 'confidence': -0.22970935119045865, 'FD_Position': 'P'}, 'Marlon Byrd_batter': {'Salary': 2300.0, 'projected_FD_points': 2.2102961863574966, 'confidence': -0.09748438545753868, 'FD_Position': 'OF'}}</t>
  </si>
  <si>
    <t>{'Russell Martin_batter': {'Salary': 3200.0, 'projected_FD_points': 2.6600529674847362, 'confidence': 0.002100022335495999, 'FD_Position': 'C'}, 'Ben Revere_batter': {'Salary': 2500.0, 'projected_FD_points': 2.6841930403891818, 'confidence': -0.082826200813460149, 'FD_Position': 'OF'}, 'Corey Kluber_pitcher': {'Salary': 9500.0, 'projected_FD_points': 15.716795643446089, 'confidence': -0.13874579029464207, 'FD_Position': 'P'}, 'Erick Aybar_batter': {'Salary': 2500.0, 'projected_FD_points': 2.0150728283692256, 'confidence': -0.04554481448865122, 'FD_Position': 'SS'}, 'Devon Travis_batter': {'Salary': 3400.0, 'projected_FD_points': 9.8322797894883873, 'confidence': -0.69740798570853002, 'FD_Position': '2B'}, 'Carlos Santana_batter': {'Salary': 3300.0, 'projected_FD_points': 2.8670831984375655, 'confidence': -0.044265151786774926, 'FD_Position': '1B'}, 'Martin Prado_batter': {'Salary': 2700.0, 'projected_FD_points': 1.9351976182650867, 'confidence': 0.0018256261801451457, 'FD_Position': '3B'}, 'Marcell Ozuna_batter': {'Salary': 2800.0, 'projected_FD_points': 3.0982032807977546, 'confidence': -0.18630292958785177, 'FD_Position': 'OF'}, 'Giancarlo Stanton_batter': {'Salary': 5100.0, 'projected_FD_points': 3.425736586008, 'confidence': -0.49424087574373843, 'FD_Position': 'OF'}}</t>
  </si>
  <si>
    <t>{'Jimmy Paredes_batter': {'Salary': 3200.0, 'projected_FD_points': 3.732345195969244, 'confidence': -2.0911259178745563, 'FD_Position': '2B'}, 'Ian Kennedy_pitcher': {'Salary': 7300.0, 'projected_FD_points': 13.242374207025861, 'confidence': -1.6039692731964958, 'FD_Position': 'P'}, 'Kevin Plawecki_batter': {'Salary': 2200.0, 'projected_FD_points': 7.9289627465302885, 'confidence': 0, 'FD_Position': 'C'}, 'Trevor Plouffe_batter': {'Salary': 2400.0, 'projected_FD_points': 2.86644237183669, 'confidence': 0.0086606787339157387, 'FD_Position': '3B'},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'Mike Trout_batter': {'Salary': 5400.0, 'projected_FD_points': 3.4072107661242637, 'confidence': 0.01060535800168394, 'FD_Position': 'OF'}, 'Giancarlo Stanton_batter': {'Salary': 5100.0, 'projected_FD_points': 4.4984073406691394, 'confidence': 0.011570172908108689, 'FD_Position': 'OF'}, 'J.D. Martinez_batter': {'Salary': 3500.0, 'projected_FD_points': 3.4928502290360677, 'confidence': -0.15813398026447745, 'FD_Position': 'OF'}}</t>
  </si>
  <si>
    <t>{'Kyle Gibson_pitcher': {'Salary': 6200.0, 'projected_FD_points': 12.037050523394175, 'confidence': 0.079781883809257215, 'FD_Position': 'P'}, 'Trevor Plouffe_batter': {'Salary': 2400.0, 'projected_FD_points': 2.86644237183669, 'confidence': 0.0086606787339157387, 'FD_Position': '3B'}, 'Jose Altuve_batter': {'Salary': 4500.0, 'projected_FD_points': 3.1268610562554384, 'confidence': -0.060196677375583096, 'FD_Position': '2B'}, 'J.D. Martinez_batter': {'Salary': 3500.0, 'projected_FD_points': 3.4928502290360677, 'confidence': -0.15813398026447745, 'FD_Position': 'OF'},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'Victor Martinez_batter': {'Salary': 3400.0, 'projected_FD_points': 2.9436083286936898, 'confidence': 0.015111298623116665, 'FD_Position': 'C'}, 'Nelson Cruz_batter': {'Salary': 5200.0, 'projected_FD_points': 3.2579289731585654, 'confidence': -0.046788371875571499, 'FD_Position': 'OF'}, 'Andrew McCutchen_batter': {'Salary': 4100.0, 'projected_FD_points': 3.3273867625145113, 'confidence': -0.059008697929788578, 'FD_Position': 'OF'}}</t>
  </si>
  <si>
    <t>{'Kris Bryant_batter': {'Salary': 3800.0, 'projected_FD_points': 3.7475909315086486, 'confidence': 0, 'FD_Position': '3B'}, 'Odubel Herrera_batter': {'Salary': 3000.0, 'projected_FD_points': 2.8233512272231032, 'confidence': 0.56700951730055704, 'FD_Position': 'OF'}, 'Chris Owings_batter': {'Salary': 2400.0, 'projected_FD_points': 2.1942143930292897, 'confidence': -0.045390069926396492, 'FD_Position': 'SS'}, 'Freddie Freeman_batter': {'Salary': 3200.0, 'projected_FD_points': 3.0091808187679359, 'confidence': -0.18206805211195509, 'FD_Position': '1B'}, 'Matt Holliday_batter': {'Salary': 3400.0, 'projected_FD_points': 3.2450810557339449, 'confidence': -0.0097030730627194473, 'FD_Position': 'OF'}, 'Felix Hernandez_pitcher': {'Salary': 11100.0, 'projected_FD_points': 16.019014165736323, 'confidence': 0.50376295892955736, 'FD_Position': 'P'}, 'Dexter Fowler_batter': {'Salary': 3400.0, 'projected_FD_points': 4.0805058828776488, 'confidence': -0.20333542373466185, 'FD_Position': 'OF'}, 'Rickie Weeks_batter': {'Salary': 2200.0, 'projected_FD_points': 2.1122903697219195, 'confidence': -0.13340720241617077,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</si>
  <si>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3.2584252708573507, 'confidence': -0.38571473754854391, 'FD_Position': 'OF'}, 'Xander Bogaerts_batter': {'Salary': 3000.0, 'projected_FD_points': 1.8979415445016325, 'confidence': -0.067025625494265162, 'FD_Position': 'SS'}, 'Salvador Perez_batter': {'Salary': 2800.0, 'projected_FD_points': 1.7534487467327016, 'confidence': -0.097323931244390982, 'FD_Position': 'C'}, 'David Ortiz_batter': {'Salary': 3300.0, 'projected_FD_points': 2.9494614120354945, 'confidence': -0.10654186309670721, 'FD_Position': '1B'}, 'Brock Holt_batter': {'Salary': 2400.0, 'projected_FD_points': 2.5280743695253296, 'confidence': -0.15603329931478149, 'FD_Position': '3B'}, 'Andrew Cashner_pitcher': {'Salary': 8500.0, 'projected_FD_points': 11.876047711296316, 'confidence': 0.17774914702144562, 'FD_Position': 'P'}}</t>
  </si>
  <si>
    <t>{'Dexter Fowler_batter': {'Salary': 3300.0, 'projected_FD_points': 4.2385939808466304, 'confidence': -0.067231819133382942, 'FD_Position': 'OF'}, 'Johnny Cueto_pitcher': {'Salary': 10400.0, 'projected_FD_points': 16.99214808047952, 'confidence': -0.62065527095874007, 'FD_Position': 'P'}, 'Matt Holliday_batter': {'Salary': 3400.0, 'projected_FD_points': 3.6694214494044779, 'confidence': -0.10929804287342537, 'FD_Position': 'OF'}, 'Prince Fielder_batter': {'Salary': 3300.0, 'projected_FD_points': 3.0584395008565064, 'confidence': -0.22548370436280729, 'FD_Position': '1B'}, 'Daniel Santana_batter': {'Salary': 2500.0, 'projected_FD_points': 2.7096692526049244, 'confidence': -0.10241149977961483, 'FD_Position': 'SS'}, 'Jay Bruce_batter': {'Salary': 2800.0, 'projected_FD_points': 3.4180809834106833, 'confidence': -0.099443363070997215, 'FD_Position': 'OF'}, 'Johnny Giavotella_batter': {'Salary': 2300.0, 'projected_FD_points': 3.1885169613225157, 'confidence': -0.75532783540593362, 'FD_Position': '2B'}, 'Kyle Seager_batter': {'Salary': 3300.0, 'projected_FD_points': 2.9264989258829175, 'confidence': 0.066180347420937813, 'FD_Position': '3B'}, 'Victor Martinez_batter': {'Salary': 3400.0, 'projected_FD_points': 2.6899321808841878, 'confidence': -0.13340603326298961, 'FD_Position': 'C'}}</t>
  </si>
  <si>
    <t>{'Russell Martin_batter': {'Salary': 3100.0, 'projected_FD_points': 2.4792521372805068, 'confidence': -0.026659629873741375, 'FD_Position': 'C'}, 'Johnny Cueto_pitcher': {'Salary': 10400.0, 'projected_FD_points': 16.99214808047952, 'confidence': -0.62065527095874007, 'FD_Position': 'P'}, 'David Ortiz_batter': {'Salary': 3300.0, 'projected_FD_points': 2.797270328127933, 'confidence': -0.038921350664722576, 'FD_Position': '1B'}, 'Marcell Ozuna_batter': {'Salary': 2800.0, 'projected_FD_points': 3.0419663962101491, 'confidence': -0.12079301454618618, 'FD_Position': 'OF'}, 'Jay Bruce_batter': {'Salary': 2800.0, 'projected_FD_points': 3.4180809834106833, 'confidence': -0.099443363070997215, 'FD_Position': 'OF'}, 'Brock Holt_batter': {'Salary': 2500.0, 'projected_FD_points': 2.5252837646421193, 'confidence': -0.086714458159335317,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</si>
  <si>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{'Ben Revere_batter': {'Salary': 2400.0, 'projected_FD_points': 2.7777062959735428, 'confidence': -0.25547462546222954, 'FD_Position': 'OF'}, 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'Freddie Freeman_batter': {'Salary': 3100.0, 'projected_FD_points': 2.8915083772996981, 'confidence': 0.018228042153594859, 'FD_Position': '1B'}, 'Dexter Fowler_batter': {'Salary': 3400.0, 'projected_FD_points': 4.2741746425586005, 'confidence': -0.74420240600015486, 'FD_Position': 'OF'}, 'Brock Holt_batter': {'Salary': 2400.0, 'projected_FD_points': 3.0559216232953954, 'confidence': -0.44470742621534742, 'FD_Position': '3B'}, 'Troy Tulowitzki_batter': {'Salary': 4300.0, 'projected_FD_points': 3.0352199223124665, 'confidence': -0.18037963232264298, 'FD_Position': 'SS'}, 'Michael Cuddyer_batter': {'Salary': 2800.0, 'projected_FD_points': 2.9246831205197914, 'confidence': -0.27155088901938451, 'FD_Position': 'OF'}, 'Victor Martinez_batter': {'Salary': 3400.0, 'projected_FD_points': 2.915066683311478, 'confidence': -0.15182797047635987, 'FD_Position': 'C'}}</t>
  </si>
  <si>
    <t>{'Adrian Beltre_batter': {'Salary': 3100.0, 'projected_FD_points': 2.8224632834015488, 'confidence': 0.018402813311322319, 'FD_Position': '3B'}, 'Brian Dozier_batter': {'Salary': 2900.0, 'projected_FD_points': 2.6604254220216599, 'confidence': -0.046801843179226532, 'FD_Position': '2B'}, 'Tim Beckham_batter': {'Salary': 2400.0, 'projected_FD_points': 3.0504900273920783, 'confidence': -7.1180908023561695, 'FD_Position': 'SS'}, 'Chase Anderson_pitcher': {'Salary': 6300.0, 'projected_FD_points': 13.352874485976267, 'confidence': 0.14808854009046502, 'FD_Position': 'P'}, 'Paul Goldschmidt_batter': {'Salary': 4500.0, 'projected_FD_points': 3.4020419517267433, 'confidence': -0.21033790331269731, 'FD_Position': '1B'}, 'Dexter Fowler_batter': {'Salary': 3400.0, 'projected_FD_points': 4.2741746425586005, 'confidence': -0.74420240600015486,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</si>
  <si>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'Michael Cuddyer_batter': {'Salary': 2800.0, 'projected_FD_points': 2.9246831205197914, 'confidence': -0.27155088901938451, 'FD_Position': 'OF'},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'Brock Holt_batter': {'Salary': 2400.0, 'projected_FD_points': 3.0559216232953954, 'confidence': -0.44470742621534742, 'FD_Position': '3B'}, 'Rene Rivera_batter': {'Salary': 2400.0, 'projected_FD_points': 2.0952962045166279, 'confidence': -0.37870976457478389, 'FD_Position': 'C'}, 'Jayson Werth_batter': {'Salary': 2800.0, 'projected_FD_points': 2.7520750818242106, 'confidence': -0.46778218518088499, 'FD_Position': 'OF'}, 'Giancarlo Stanton_batter': {'Salary': 4800.0, 'projected_FD_points': 3.6811867262645421, 'confidence': 0.050678021292514974, 'FD_Position': 'OF'}}</t>
  </si>
  <si>
    <t>{'Paulo Orlando_batter': {'Salary': 3000.0, 'projected_FD_points': 10.811181548613273, 'confidence': 0, 'FD_Position': 'OF'}, 'Edwin Encarnacion_batter': {'Salary': 3700.0, 'projected_FD_points': 3.1755704538918446, 'confidence': -0.33904535887801956, 'FD_Position': '1B'}, 'Cameron Rupp_batter': {'Salary': 2200.0, 'projected_FD_points': 2.6028217429014973, 'confidence': -1.4120134063166958, 'FD_Position': 'C'}, 'Devon Travis_batter': {'Salary': 3300.0, 'projected_FD_points': 12.211190327008721, 'confidence': -1.2447147312837337, 'FD_Position': '2B'}, 'J.D. Martinez_batter': {'Salary': 3500.0, 'projected_FD_points': 3.3430315288137069, 'confidence': -0.082061993635576203, 'FD_Position': 'OF'}, 'Daniel Santana_batter': {'Salary': 2500.0, 'projected_FD_points': 2.5603186045007726, 'confidence': -0.09362494608554206, 'FD_Position': 'SS'}, 'Dexter Fowler_batter': {'Salary': 3400.0, 'projected_FD_points': 4.4247560173462057, 'confidence': -0.32035541714434634, 'FD_Position': 'OF'}, 'Jake Arrieta_pitcher': {'Salary': 9600.0, 'projected_FD_points': 13.559386721215208, 'confidence': -0.41727700409792168, 'FD_Position': 'P'}, 'Kyle Seager_batter': {'Salary': 3400.0, 'projected_FD_points': 3.3619338941377155, 'confidence': -0.15219067931268282, 'FD_Position': '3B'}}</t>
  </si>
  <si>
    <t>{'Joc Pederson_batter': {'Salary': 3000.0, 'projected_FD_points': 2.8016311392584319, 'confidence': 0.22461351206487634, 'FD_Position': 'OF'}, 'Neil Walker_batter': {'Salary': 2900.0, 'projected_FD_points': 2.7447267677264833, 'confidence': -0.10023623893778355, 'FD_Position': '2B'}, 'Francisco Liriano_pitcher': {'Salary': 8000.0, 'projected_FD_points': 11.237272725005036, 'confidence': -1.3233153826823507, 'FD_Position': 'P'}, 'Paul Goldschmidt_batter': {'Salary': 4700.0, 'projected_FD_points': 3.3534905165278124, 'confidence': -0.057602009740876703, 'FD_Position': '1B'}, 'Derek Norris_batter': {'Salary': 3000.0, 'projected_FD_points': 1.8597366659016805, 'confidence': -0.01305975239998669, 'FD_Position': 'C'}, 'Daniel Santana_batter': {'Salary': 2500.0, 'projected_FD_points': 2.5603186045007726, 'confidence': -0.09362494608554206, 'FD_Position': 'SS'}, 'Justin Upton_batter': {'Salary': 3400.0, 'projected_FD_points': 2.9910897152104208, 'confidence': -0.11249137722271851, 'FD_Position': 'OF'}, 'Kyle Seager_batter': {'Salary': 3400.0, 'projected_FD_points': 3.3619338941377155, 'confidence': -0.15219067931268282, 'FD_Position': '3B'}, 'Andrew McCutchen_batter': {'Salary': 4000.0, 'projected_FD_points': 3.095764445165071, 'confidence': -0.037584410131751955, 'FD_Position': 'OF'}}</t>
  </si>
  <si>
    <t>{'Robinson Chirinos_batter': {'Salary': 2400.0, 'projected_FD_points': 2.023091324680689, 'confidence': -0.10652756201737801, 'FD_Position': 'C'}, 'Kole Calhoun_batter': {'Salary': 3400.0, 'projected_FD_points': 2.9638446220787062, 'confidence': 0.068595027824973509, 'FD_Position': 'OF'}, 'Brian Dozier_batter': {'Salary': 2800.0, 'projected_FD_points': 2.5950082679730384, 'confidence': -0.21574147740809901, 'FD_Position': '2B'}, 'Brandon McCarthy_pitcher': {'Salary': 7800.0, 'projected_FD_points': 12.48704936377845, 'confidence': -0.87817225297054669, 'FD_Position': 'P'}, 'Charlie Blackmon_batter': {'Salary': 4000.0, 'projected_FD_points': 3.8525377556789362, 'confidence': -0.58605441193536323, 'FD_Position': 'OF'}, 'Matt Holliday_batter': {'Salary': 3200.0, 'projected_FD_points': 2.7759767178331862, 'confidence': -0.32625856704951017, 'FD_Position': 'OF'}, 'Kyle Seager_batter': {'Salary': 3400.0, 'projected_FD_points': 3.6566893957233986, 'confidence': -0.17712592937925375, 'FD_Position': '3B'}, 'David Ortiz_batter': {'Salary': 3200.0, 'projected_FD_points': 3.043525461180276, 'confidence': -0.12159856680513248, 'FD_Position': '1B'}, 'Troy Tulowitzki_batter': {'Salary': 4700.0, 'projected_FD_points': 4.0135721503557189, 'confidence': -0.026258061158616064, 'FD_Position': 'SS'}}</t>
  </si>
  <si>
    <t>{'Jose Altuve_batter': {'Salary': 3800.0, 'projected_FD_points': 2.5715778513174308, 'confidence': 0.057584317586271805, 'FD_Position': '2B'}, 'CC Sabathia_pitcher': {'Salary': 7600.0, 'projected_FD_points': 10.388955866444547, 'confidence': 0, 'FD_Position': 'P'}, 'Josh Donaldson_batter': {'Salary': 4200.0, 'projected_FD_points': 2.7785873477044949, 'confidence': 0.023777527442331636, 'FD_Position': '3B'}, 'Marcus Semien_batter': {'Salary': 2700.0, 'projected_FD_points': 2.2080395534457646, 'confidence': -0.27266911385181825, 'FD_Position': 'SS'}, 'Edwin Encarnacion_batter': {'Salary': 3700.0, 'projected_FD_points': 2.9393386269042727, 'confidence': -0.5848747840006101, 'FD_Position': '1B'}, 'Giancarlo Stanton_batter': {'Salary': 4700.0, 'projected_FD_points': 3.39595309599154, 'confidence': 0.053199113669290643, 'FD_Position': 'OF'}, 'Jayson Werth_batter': {'Salary': 2900.0, 'projected_FD_points': 2.6568091483592537, 'confidence': -0.070225969010128786, 'FD_Position': 'OF'}, 'Michael Cuddyer_batter': {'Salary': 3000.0, 'projected_FD_points': 3.1211363080153731, 'confidence': 0.19519941247690298, 'FD_Position': 'OF'}, 'Jason Castro_batter': {'Salary': 2200.0, 'projected_FD_points': 2.2752067215390444, 'confidence': -0.13070425440368139,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</si>
  <si>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10.447330653449061, 'confidence': -0.70107949387886559, 'FD_Position': '2B'}, 'Charlie Blackmon_batter': {'Salary': 4300.0, 'projected_FD_points': 3.7312241916740181, 'confidence': -0.061512004672277243, 'FD_Position': 'OF'}, 'Josh Phegley_batter': {'Salary': 2200.0, 'projected_FD_points': 2.5457830382331945, 'confidence': -1.0281533352441503, 'FD_Position': 'C'}, 'Dexter Fowler_batter': {'Salary': 3700.0, 'projected_FD_points': 3.9025761223826136, 'confidence': -0.35154011350009173, 'FD_Position': 'OF'}, 'Justin Morneau_batter': {'Salary': 3900.0, 'projected_FD_points': 3.0894319945738502, 'confidence': -2.2098929272413219, 'FD_Position': '1B'}, 'Michael Pineda_pitcher': {'Salary': 8700.0, 'projected_FD_points': 13.915374948482608, 'confidence': -3.311607917112215, 'FD_Position': 'P'}, 'Jordy Mercer_batter': {'Salary': 2200.0, 'projected_FD_points': 2.2000741050251711, 'confidence': 0.034686724217393494, 'FD_Position': 'SS'}}</t>
  </si>
  <si>
    <t>{'Neil Walker_batter': {'Salary': 3100.0, 'projected_FD_points': 2.58774752734457, 'confidence': -0.02407875217684774, 'FD_Position': '2B'}, 'Kole Calhoun_batter': {'Salary': 3600.0, 'projected_FD_points': 3.3593358249928071, 'confidence': -0.048205029634705188, 'FD_Position': 'OF'}, 'C.J. Cron_batter': {'Salary': 2400.0, 'projected_FD_points': 2.1084236814683637, 'confidence': -0.042581537127236668, 'FD_Position': '1B'}, 'Felix Hernandez_pitcher': {'Salary': 11500.0, 'projected_FD_points': 15.783565373295168, 'confidence': -0.42727900513993489, 'FD_Position': 'P'}, 'Josh Phegley_batter': {'Salary': 2200.0, 'projected_FD_points': 2.5457830382331945, 'confidence': -1.0281533352441503, 'FD_Position': 'C'}, 'A.J. Pollock_batter': {'Salary': 3500.0, 'projected_FD_points': 3.0820189655927863, 'confidence': -0.11349151951561143, 'FD_Position': 'OF'}, 'Austin Jackson_batter': {'Salary': 2600.0, 'projected_FD_points': 2.794264942426226, 'confidence': -0.19685403703014237, 'FD_Position': 'OF'}, 'Kyle Seager_batter': {'Salary': 3700.0, 'projected_FD_points': 4.4037680300076296, 'confidence': -0.60863751355260343, 'FD_Position': '3B'}, 'Jordy Mercer_batter': {'Salary': 2200.0, 'projected_FD_points': 2.2000741050251711, 'confidence': 0.034686724217393494, 'FD_Position': 'SS'}}</t>
  </si>
  <si>
    <t>{'Paulo Orlando_batter': {'Salary': 3000.0, 'projected_FD_points': 4.2958400663937208, 'confidence': 0, 'FD_Position': 'OF'}, 'Adam Eaton_batter': {'Salary': 2500.0, 'projected_FD_points': 2.5230111946052465, 'confidence': -0.058466425705438141, 'FD_Position': 'OF'}, 'Jose Quintana_pitcher': {'Salary': 8000.0, 'projected_FD_points': 9.5485787692953306, 'confidence': 0.0092652364777660035, 'FD_Position': 'P'}, 'Charlie Blackmon_batter': {'Salary': 4300.0, 'projected_FD_points': 3.7312241916740181, 'confidence': -0.061512004672277243, 'FD_Position': 'OF'}, 'Matt Carpenter_batter': {'Salary': 4400.0, 'projected_FD_points': 2.7966836547319534, 'confidence': -0.38079235506785425, 'FD_Position': '3B'}, 'Jose Abreu_batter': {'Salary': 4400.0, 'projected_FD_points': 3.2941479576431054, 'confidence': 0.0010946674887886143, 'FD_Position': '1B'}, 'Yadier Molina_batter': {'Salary': 3000.0, 'projected_FD_points': 2.0915823895405272, 'confidence': -0.033058421147697858, 'FD_Position': 'C'}, 'Alexei Ramirez_batter': {'Salary': 3000.0, 'projected_FD_points': 2.3318954623785517, 'confidence': 0.22127249067265897, 'FD_Position': 'SS'}, 'Omar Infante_batter': {'Salary': 2200.0, 'projected_FD_points': 1.8296691925621982, 'confidence': -0.45750057634782415, 'FD_Position': '2B'}}</t>
  </si>
  <si>
    <t>{'Norichika Aoki_batter': {'Salary': 3300.0, 'projected_FD_points': 1.9862299794243377, 'confidence': -0.22052917711723952, 'FD_Position': 'OF'}, 'Wil Nieves_batter': {'Salary': 2200.0, 'projected_FD_points': 2.2815886090377573, 'confidence': -4.2907682437526873, 'FD_Position': 'C'}, 'Alexander Guerrero_batter': {'Salary': 2700.0, 'projected_FD_points': 2.2275159924255021, 'confidence': -1.8957659970025369, 'FD_Position': '2B'}, 'Corey Dickerson_batter': {'Salary': 4600.0, 'projected_FD_points': 3.2524067242874248, 'confidence': -0.13729564786110116, 'FD_Position': 'OF'}, 'Casey McGehee_batter': {'Salary': 2400.0, 'projected_FD_points': 1.914935704940492, 'confidence': -0.12901320343220091, 'FD_Position': '3B'}, 'Denard Span_batter': {'Salary': 3100.0, 'projected_FD_points': 2.4711061648702306, 'confidence': -0.037693600439973496, 'FD_Position': 'OF'}, 'Matt Adams_batter': {'Salary': 3000.0, 'projected_FD_points': 2.8521078307474594, 'confidence': -0.1365086299767726, 'FD_Position': '1B'}, 'Troy Tulowitzki_batter': {'Salary': 5200.0, 'projected_FD_points': 3.7868952506706917, 'confidence': 0.045927842227511673, 'FD_Position': 'SS'}, 'Tyson Ross_pitcher': {'Salary': 8400.0, 'projected_FD_points': 13.58732274830084, 'confidence': -0.39483032521429706, 'FD_Position': 'P'}}</t>
  </si>
  <si>
    <t>{'Jimmy Paredes_batter': {'Salary': 2700.0, 'projected_FD_points': 2.3072511262280981, 'confidence': -0.18304711930784645, 'FD_Position': '2B'}, 'Adam Eaton_batter': {'Salary': 2500.0, 'projected_FD_points': 2.4275259768260806, 'confidence': -0.072357725969667941, 'FD_Position': 'OF'}, 'Melky Cabrera_batter': {'Salary': 2700.0, 'projected_FD_points': 2.6013540386774361, 'confidence': -0.0082983106794249917, 'FD_Position': 'OF'}, 'Stephen Vogt_batter': {'Salary': 3500.0, 'projected_FD_points': 2.502299399312276, 'confidence': 0.054717945482108399, 'FD_Position': 'C'}, 'Alexei Ramirez_batter': {'Salary': 3000.0, 'projected_FD_points': 3.1106970761211805, 'confidence': -0.27907126846595176, 'FD_Position': 'SS'}, 'Brett Lawrie_batter': {'Salary': 2700.0, 'projected_FD_points': 2.1580710960870451, 'confidence': -1.2057149082398486, 'FD_Position': '3B'}, 'Dalton Pompey_batter': {'Salary': 3200.0, 'projected_FD_points': 2.7586050191580003, 'confidence': 0.07921435880101757, 'FD_Position': 'OF'}, 'Jose Abreu_batter': {'Salary': 4400.0, 'projected_FD_points': 3.2834913184874579, 'confidence': -0.16108778117182432, 'FD_Position': '1B'}, 'Chris Sale_pitcher': {'Salary': 10200.0, 'projected_FD_points': 15.106050104016916, 'confidence': -0.18280959597353452, 'FD_Position': 'P'}}</t>
  </si>
  <si>
    <t>{'Aaron Hill_batter': {'Salary': 2300.0, 'projected_FD_points': 2.0764717669536381, 'confidence': 0.023636906314705386, 'FD_Position': '2B'}, 'Ruben Tejada_batter': {'Salary': 2300.0, 'projected_FD_points': 2.1201280242904748, 'confidence': 0.18545394920263059, 'FD_Position': 'SS'}, 'Johnny Cueto_pitcher': {'Salary': 10600.0, 'projected_FD_points': 15.215997423311457, 'confidence': -0.5654578799080332, 'FD_Position': 'P'}, 'Paulo Orlando_batter': {'Salary': 3000.0, 'projected_FD_points': 4.7874988430746477, 'confidence': 0, 'FD_Position': 'OF'}, 'Prince Fielder_batter': {'Salary': 3600.0, 'projected_FD_points': 2.9965666278901022, 'confidence': -0.13864575649478295, 'FD_Position': '1B'}, 'Dexter Fowler_batter': {'Salary': 3700.0, 'projected_FD_points': 3.6619285164828796, 'confidence': -0.0069956695036594851, 'FD_Position': 'OF'}, 'Kyle Seager_batter': {'Salary': 3800.0, 'projected_FD_points': 3.2487222986097177, 'confidence': 0.010156632216966499, 'FD_Position': '3B'}, 'Michael Cuddyer_batter': {'Salary': 3400.0, 'projected_FD_points': 5.1253280395839704, 'confidence': -0.4194991848466878, 'FD_Position': 'OF'}, 'Michael McKenry_batter': {'Salary': 2200.0, 'projected_FD_points': 2.0805342824347202, 'confidence': -0.016605794729001033, 'FD_Position': 'C'}}</t>
  </si>
  <si>
    <t>{'Madison Bumgarner_pitcher': {'Salary': 9900.0, 'projected_FD_points': 13.8047659884257, 'confidence': -0.81162884583405148, 'FD_Position': 'P'}, 'Chris Owings_batter': {'Salary': 2500.0, 'projected_FD_points': 2.0545898991452041, 'confidence': 0.20671763961870893, 'FD_Position': 'SS'}, 'Stephen Vogt_batter': {'Salary': 3600.0, 'projected_FD_points': 2.4632937407534037, 'confidence': 0.068796135967356897, 'FD_Position': 'C'}, 'Prince Fielder_batter': {'Salary': 3600.0, 'projected_FD_points': 2.9965666278901022, 'confidence': -0.13864575649478295, 'FD_Position': '1B'}, 'A.J. Pollock_batter': {'Salary': 3500.0, 'projected_FD_points': 3.3923803476046235, 'confidence': -2.2172929114466839, 'FD_Position': 'OF'}, 'Kyle Seager_batter': {'Salary': 3800.0, 'projected_FD_points': 3.2487222986097177, 'confidence': 0.010156632216966499, 'FD_Position': '3B'}, 'Aaron Hill_batter': {'Salary': 2300.0, 'projected_FD_points': 2.0764717669536381, 'confidence': 0.023636906314705386, 'FD_Position': '2B'}, 'Mark Trumbo_batter': {'Salary': 3200.0, 'projected_FD_points': 2.8061791643557199, 'confidence': -0.60457723372754613, 'FD_Position': 'OF'}, 'Chris Carter_batter': {'Salary': 2400.0, 'projected_FD_points': 2.2741260913691792, 'confidence': -0.62036102952020888, 'FD_Position': 'OF'}}</t>
  </si>
  <si>
    <t>{'Brian Dozier_batter': {'Salary': 3000.0, 'projected_FD_points': 2.5453479378956403, 'confidence': -0.0061678363515225154, 'FD_Position': '2B'}, 'Johnny Cueto_pitcher': {'Salary': 10600.0, 'projected_FD_points': 15.215997423311457, 'confidence': -0.5654578799080332,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2.0995438903027703, 'confidence': 0.0098316422413148308, 'FD_Position': '1B'}, 'Alex Gordon_batter': {'Salary': 3100.0, 'projected_FD_points': 2.85420005979653, 'confidence': -0.34487661301137029, 'FD_Position': 'OF'}, 'Marlon Byrd_batter': {'Salary': 2200.0, 'projected_FD_points': 2.1702016743453423, 'confidence': -0.066452623452639914, 'FD_Position': 'OF'}, 'Troy Tulowitzki_batter': {'Salary': 5300.0, 'projected_FD_points': 3.3591359981186901, 'confidence': 0.27860305735005519, 'FD_Position': 'SS'}, 'Michael McKenry_batter': {'Salary': 2200.0, 'projected_FD_points': 2.0805342824347202, 'confidence': -0.016605794729001033, 'FD_Position': 'C'}}</t>
  </si>
  <si>
    <t>{'Alex Rodriguez_batter': {'Salary': 3800.0, 'projected_FD_points': 3.6624694726855838, 'confidence': -3.4982843999769484, 'FD_Position': '3B'}, 'Paulo Orlando_batter': {'Salary': 3000.0, 'projected_FD_points': 3.5, 'confidence': 0, 'FD_Position': 'OF'}, 'Freddie Freeman_batter': {'Salary': 4000.0, 'projected_FD_points': 3.4143927182237213, 'confidence': 0.0062414264512804518, 'FD_Position': '1B'}, 'Josh Phegley_batter': {'Salary': 2200.0, 'projected_FD_points': 3.1389550515794009, 'confidence': -2.7384500269109449, 'FD_Position': 'C'}, 'Chase Anderson_pitcher': {'Salary': 6600.0, 'projected_FD_points': 14.567740889903277, 'confidence': 0.73836412988012989, 'FD_Position': 'P'}, 'Dexter Fowler_batter': {'Salary': 3800.0, 'projected_FD_points': 3.6684747914875313, 'confidence': -0.12465006229982145, 'FD_Position': 'OF'}, 'Troy Tulowitzki_batter': {'Salary': 5300.0, 'projected_FD_points': 4.2435665329528307, 'confidence': 0.072394812865924307, 'FD_Position': 'SS'}, 'Michael Cuddyer_batter': {'Salary': 3400.0, 'projected_FD_points': 5.1533671823461793, 'confidence': 0.6614858321384316, 'FD_Position': 'OF'}, 'Rafael Ynoa_batter': {'Salary': 2800.0, 'projected_FD_points': 2.9440031856220923, 'confidence': -2.9873114404472463, 'FD_Position': '2B'}}</t>
  </si>
  <si>
    <t>{'Charlie Blackmon_batter': {'Salary': 4200.0, 'projected_FD_points': 3.5797754862284652, 'confidence': 0.26202462665702841, 'FD_Position': 'OF'}, 'Paulo Orlando_batter': {'Salary': 3000.0, 'projected_FD_points': 3.5, 'confidence': 0, 'FD_Position': 'OF'}, 'Todd Frazier_batter': {'Salary': 3400.0, 'projected_FD_points': 2.5159351785220898, 'confidence': -0.15248863085013098, 'FD_Position': '3B'}, 'Alex Gordon_batter': {'Salary': 3200.0, 'projected_FD_points': 2.7844454622540651, 'confidence': -1.134028712991038, 'FD_Position': 'OF'}, 'Salvador Perez_batter': {'Salary': 3600.0, 'projected_FD_points': 2.0821487356219244, 'confidence': -0.044436133869512728, 'FD_Position': 'C'}, 'Carlos Santana_batter': {'Salary': 3300.0, 'projected_FD_points': 2.7665260534798284, 'confidence': -0.02694283454752, 'FD_Position': '1B'}, 'Troy Tulowitzki_batter': {'Salary': 5300.0, 'projected_FD_points': 4.2435665329528307, 'confidence': 0.072394812865924307, 'FD_Position': 'SS'}, 'Tyler Matzek_pitcher': {'Salary': 6100.0, 'projected_FD_points': 11.238846308616548, 'confidence': -5.8159402404211153, 'FD_Position': 'P'}, 'Rafael Ynoa_batter': {'Salary': 2800.0, 'projected_FD_points': 2.9440031856220923, 'confidence': -2.9873114404472463, 'FD_Position': '2B'}}</t>
  </si>
  <si>
    <t>{'Alex Rodriguez_batter': {'Salary': 3700.0, 'projected_FD_points': 6.4366320695637604, 'confidence': -0.85393269772058833, 'FD_Position': '3B'}, 'Chris Iannetta_batter': {'Salary': 2300.0, 'projected_FD_points': 2.218126638607413, 'confidence': -0.0051862881348085921, 'FD_Position': 'C'}, 'C.J. Cron_batter': {'Salary': 2200.0, 'projected_FD_points': 1.6967308060891371, 'confidence': -0.11703000840970157, 'FD_Position': '1B'},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'Matt Shoemaker_pitcher': {'Salary': 8500.0, 'projected_FD_points': 13.181241549095095, 'confidence': -0.55765091242972398, 'FD_Position': 'P'}, 'Dexter Fowler_batter': {'Salary': 3800.0, 'projected_FD_points': 3.714654994024948, 'confidence': -0.00049105935036641846, 'FD_Position': 'OF'}, 'Troy Tulowitzki_batter': {'Salary': 5300.0, 'projected_FD_points': 4.6176779125952061, 'confidence': 0.14331617183493728, 'FD_Position': 'SS'}, 'Rafael Ynoa_batter': {'Salary': 2800.0, 'projected_FD_points': 3.3154790469931772, 'confidence': -3.1335400373761084, 'FD_Position': '2B'}}</t>
  </si>
  <si>
    <t>{'Adam Eaton_batter': {'Salary': 2600.0, 'projected_FD_points': 2.3157709065337722, 'confidence': -0.31530315263596265, 'FD_Position': 'OF'},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'Mike Moustakas_batter': {'Salary': 3100.0, 'projected_FD_points': 2.5148280871784348, 'confidence': 0.022651062112254094, 'FD_Position': '3B'}, 'Kurt Suzuki_batter': {'Salary': 2600.0, 'projected_FD_points': 1.5909342066457308, 'confidence': -0.13024448749205875, 'FD_Position': 'C'}, 'Carlos Santana_batter': {'Salary': 3200.0, 'projected_FD_points': 2.6529801605079828, 'confidence': 0.00041870270522903485, 'FD_Position': '1B'}, 'Troy Tulowitzki_batter': {'Salary': 5300.0, 'projected_FD_points': 4.6176779125952061, 'confidence': 0.14331617183493728, 'FD_Position': 'SS'}, 'Edinson Volquez_pitcher': {'Salary': 9000.0, 'projected_FD_points': 12.074451488509265, 'confidence': 0.14002782722525087, 'FD_Position': 'P'}, 'Rafael Ynoa_batter': {'Salary': 2800.0, 'projected_FD_points': 3.3154790469931772, 'confidence': -3.1335400373761084, 'FD_Position': '2B'}}</t>
  </si>
  <si>
    <t>{'Alex Rodriguez_batter': {'Salary': 3700.0, 'projected_FD_points': 4.0472761263496668, 'confidence': 0, 'FD_Position': '3B'}, 'Ian Desmond_batter': {'Salary': 3900.0, 'projected_FD_points': 3.1812089072704381, 'confidence': -0.23476147691608773, 'FD_Position': 'SS'}, 'Jose Bautista_batter': {'Salary': 4900.0, 'projected_FD_points': 3.6475488460736942, 'confidence': -0.03604964764733265, 'FD_Position': 'OF'}, 'Lucas Duda_batter': {'Salary': 4200.0, 'projected_FD_points': 3.6417380247809996, 'confidence': 0.020777606862408815, 'FD_Position': '1B'}, 'Denard Span_batter': {'Salary': 3300.0, 'projected_FD_points': 3.0828780935819, 'confidence': -0.13134451746156484, 'FD_Position': 'OF'}, 'Josh Phegley_batter': {'Salary': 2200.0, 'projected_FD_points': 3.2495927898182142, 'confidence': -0.29982070280130446, 'FD_Position': 'C'}, 'Dexter Fowler_batter': {'Salary': 3800.0, 'projected_FD_points': 3.9350897376320644, 'confidence': 0.030154633769783001, 'FD_Position': 'OF'}, 'Neil Walker_batter': {'Salary': 3400.0, 'projected_FD_points': 2.7513492219984048, 'confidence': -0.049132982662877467, 'FD_Position': '2B'}, 'Trevor May_pitcher': {'Salary': 5600.0, 'projected_FD_points': 19.985541512312921, 'confidence': 0, 'FD_Position': 'P'}}</t>
  </si>
  <si>
    <t>{'Brandon McCarthy_pitcher': {'Salary': 7900.0, 'projected_FD_points': 13.602800124149647, 'confidence': -0.48091973226873996, 'FD_Position': 'P'}, 'Matt Holliday_batter': {'Salary': 3600.0, 'projected_FD_points': 3.1101552196521034, 'confidence': -0.021676646988315618, 'FD_Position': 'OF'}, 'Paul Goldschmidt_batter': {'Salary': 5200.0, 'projected_FD_points': 3.6814221031378089, 'confidence': -0.18198413722920614, 'FD_Position': '1B'}, 'Jhonny Peralta_batter': {'Salary': 3100.0, 'projected_FD_points': 2.3758026379486292, 'confidence': -0.11043668797293127, 'FD_Position': 'SS'}, 'A.J. Pollock_batter': {'Salary': 3500.0, 'projected_FD_points': 2.8185851710312635, 'confidence': -1.0739103418182512, 'FD_Position': 'OF'}, 'Austin Jackson_batter': {'Salary': 2500.0, 'projected_FD_points': 2.3935108634108571, 'confidence': -0.30319495469942437, 'FD_Position': 'OF'}, 'Kyle Seager_batter': {'Salary': 3400.0, 'projected_FD_points': 3.3978542851355638, 'confidence': -0.14341051127025728, 'FD_Position': '3B'}, 'Rickie Weeks_batter': {'Salary': 2500.0, 'projected_FD_points': 2.277176631902107, 'confidence': -0.2188732078134179, 'FD_Position': '2B'}, 'Yadier Molina_batter': {'Salary': 3100.0, 'projected_FD_points': 2.7059147403655164, 'confidence': -0.70064725899779567, 'FD_Position': 'C'}}</t>
  </si>
  <si>
    <t>{'Alex Rodriguez_batter': {'Salary': 3300.0, 'projected_FD_points': 6.7013918609818894, 'confidence': 0, 'FD_Position': '3B'}, 'Johnny Giavotella_batter': {'Salary': 2500.0, 'projected_FD_points': 2.7044934705318999, 'confidence': -3.6081133363056503, 'FD_Position': '2B'}, 'Lucas Duda_batter': {'Salary': 4300.0, 'projected_FD_points': 3.1866979399318018, 'confidence': -0.069030213035378374, 'FD_Position': '1B'}, 'Carlos Peguero_batter': {'Salary': 2400.0, 'projected_FD_points': 3.0162628443737609, 'confidence': 0, 'FD_Position': 'OF'}, 'Felix Hernandez_pitcher': {'Salary': 11400.0, 'projected_FD_points': 14.513464259363978, 'confidence': 0.072139355603701771, 'FD_Position': 'P'}, 'Marcus Semien_batter': {'Salary': 2900.0, 'projected_FD_points': 2.4059798270893378, 'confidence': -0.096068458367394083, 'FD_Position': 'SS'}, 'Mike Zunino_batter': {'Salary': 2300.0, 'projected_FD_points': 2.3243668948597072, 'confidence': -0.060967620870007622, 'FD_Position': 'C'}, 'Austin Jackson_batter': {'Salary': 2600.0, 'projected_FD_points': 2.4947874916840482, 'confidence': -0.073008819707055972, 'FD_Position': 'OF'}, 'Michael Cuddyer_batter': {'Salary': 3300.0, 'projected_FD_points': 3.4903099742543331, 'confidence': 0.11583373844014411, 'FD_Position': 'OF'}}</t>
  </si>
  <si>
    <t>{'Russell Martin_batter': {'Salary': 2900.0, 'projected_FD_points': 2.7399182922069332, 'confidence': -0.48932625983711953, 'FD_Position': 'C'}, 'Alex Rodriguez_batter': {'Salary': 3300.0, 'projected_FD_points': 5.0436558004629362, 'confidence': 0, 'FD_Position': '3B'}, 'Devon Travis_batter': {'Salary': 2800.0, 'projected_FD_points': 6.929141539114446, 'confidence': 0, 'FD_Position': '2B'}, 'Tim Beckham_batter': {'Salary': 2200.0, 'projected_FD_points': 3.5826909556107562, 'confidence': 0, 'FD_Position': 'SS'},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'Marlon Byrd_batter': {'Salary': 2400.0, 'projected_FD_points': 2.1658314254004809, 'confidence': -0.022624850020595, 'FD_Position': 'OF'}, 'Michael Cuddyer_batter': {'Salary': 3000.0, 'projected_FD_points': 4.8572547791334539, 'confidence': 0.63597099063822093, 'FD_Position': 'OF'}}</t>
  </si>
  <si>
    <t>{'Robinson Chirinos_batter': {'Salary': 2600.0, 'projected_FD_points': 2.0342116077985826, 'confidence': -0.094763176278462424, 'FD_Position': 'C'}, 'Chris Owings_batter': {'Salary': 2300.0, 'projected_FD_points': 2.2228801818753969, 'confidence': -0.39619803841062651, 'FD_Position': 'SS'}, 'Seth Smith_batter': {'Salary': 2600.0, 'projected_FD_points': 2.2098461799747886, 'confidence': -0.12168894136678521, 'FD_Position': 'OF'}, 'Rougned Odor_batter': {'Salary': 3000.0, 'projected_FD_points': 2.1397005442664305, 'confidence': 0.011219872032475653, 'FD_Position': '2B'},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'Austin Jackson_batter': {'Salary': 2600.0, 'projected_FD_points': 2.1810489241851014, 'confidence': -0.21775831079828212, 'FD_Position': 'OF'}, 'Kyle Seager_batter': {'Salary': 3500.0, 'projected_FD_points': 3.2057987658119558, 'confidence': 0.0071929110032209476, 'FD_Position': '3B'}}</t>
  </si>
  <si>
    <t>{'Brian Dozier_batter': {'Salary': 3100.0, 'projected_FD_points': 2.6568006314121879, 'confidence': -1.3682239174075725, 'FD_Position': '2B'}, 'Trevor Plouffe_batter': {'Salary': 2500.0, 'projected_FD_points': 1.9180251132513735, 'confidence': 0.0379386168498832, 'FD_Position': '3B'}, 'Chris Iannetta_batter': {'Salary': 2500.0, 'projected_FD_points': 2.117453838916167, 'confidence': -0.044193093739753442, 'FD_Position': 'C'}, 'Matt Holliday_batter': {'Salary': 3500.0, 'projected_FD_points': 2.8790334590825513, 'confidence': 0.0082935011211908716, 'FD_Position': 'OF'}, 'Daniel Santana_batter': {'Salary': 3300.0, 'projected_FD_points': 2.8841277791136699, 'confidence': -0.22329942229995581, 'FD_Position': 'SS'}, 'Marlon Byrd_batter': {'Salary': 2400.0, 'projected_FD_points': 2.1658314254004809, 'confidence': -0.022624850020595, 'FD_Position': 'OF'}, 'Joey Votto_batter': {'Salary': 4300.0, 'projected_FD_points': 3.0758764074314318, 'confidence': -1.9967058444925438, 'FD_Position': '1B'}, 'Michael Bourn_batter': {'Salary': 2700.0, 'projected_FD_points': 2.2191635292793448, 'confidence': -0.17011830420476559, 'FD_Position': 'OF'}, 'Corey Kluber_pitcher': {'Salary': 10700.0, 'projected_FD_points': 15.130430092567757, 'confidence': -0.3123174832444835, 'FD_Position': 'P'}}</t>
  </si>
  <si>
    <t>{'Kris Bryant_batter': {'Salary': 4000.0, 'projected_FD_points': 3.8120055099162755, 'confidence': 0.0010830805976594915, 'FD_Position': '3B'}, 'Albert Pujols_batter': {'Salary': 2900.0, 'projected_FD_points': 2.7643917218890843, 'confidence': -0.089935644444300467, 'FD_Position': '1B'}, 'Neil Walker_batter': {'Salary': 2800.0, 'projected_FD_points': 2.9476913639327673, 'confidence': -0.051913922284074987, 'FD_Position': '2B'}, 'Johnny Cueto_pitcher': {'Salary': 10200.0, 'projected_FD_points': 14.603419776360624, 'confidence': -3.1723193807412562, 'FD_Position': 'P'}, 'Chris Iannetta_batter': {'Salary': 2300.0, 'projected_FD_points': 2.2276099576593493, 'confidence': -0.32614784998767332, 'FD_Position': 'C'}, 'Dexter Fowler_batter': {'Salary': 3400.0, 'projected_FD_points': 3.6984176903992081, 'confidence': 0.075264156868639298, 'FD_Position': 'OF'}, 'Chris Colabello_batter': {'Salary': 2300.0, 'projected_FD_points': 2.6141135852502781, 'confidence': 0.15113150222924698, 'FD_Position': 'OF'}, 'Giancarlo Stanton_batter': {'Salary': 4600.0, 'projected_FD_points': 4.0815710560505716, 'confidence': 0.071427439399841641, 'FD_Position': 'OF'}, 'Alexei Ramirez_batter': {'Salary': 2500.0, 'projected_FD_points': 2.7584271753358029, 'confidence': 0.018383234479166011, 'FD_Position': 'SS'}}</t>
  </si>
  <si>
    <t>{'Jose Altuve_batter': {'Salary': 4400.0, 'projected_FD_points': 3.2427474287627724, 'confidence': -0.042623708673502181, 'FD_Position': '2B'}, 'Prince Fielder_batter': {'Salary': 3400.0, 'projected_FD_points': 3.3564137299144949, 'confidence': -0.12828397245071188, 'FD_Position': '1B'}, 'Josh Phegley_batter': {'Salary': 2400.0, 'projected_FD_points': 3.0935116772328097, 'confidence': 0.28555415021772568, 'FD_Position': 'C'}, 'Dexter Fowler_batter': {'Salary': 3400.0, 'projected_FD_points': 3.6240638326565375, 'confidence': -0.12447425554042413, 'FD_Position': 'OF'}, 'Eddie Butler_pitcher': {'Salary': 5600.0, 'projected_FD_points': 11.867152991413985, 'confidence': 0, 'FD_Position': 'P'},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'OF'}, 'Nelson Cruz_batter': {'Salary': 4500.0, 'projected_FD_points': 3.5157086193034872, 'confidence': -0.11883441082782142, 'FD_Position': 'OF'}}</t>
  </si>
  <si>
    <t>{'Michael Brantley_batter': {'Salary': 4800.0, 'projected_FD_points': 3.5839446911639876, 'confidence': 0.086412978816295838, 'FD_Position': 'OF'}, 'Russell Martin_batter': {'Salary': 3700.0, 'projected_FD_points': 2.8295349446978526, 'confidence': -0.10155158948196741, 'FD_Position': 'C'}, 'Neil Walker_batter': {'Salary': 2800.0, 'projected_FD_points': 2.8024807917837729, 'confidence': 0.013451751957303859, 'FD_Position': '2B'}, 'Eddie Butler_pitcher': {'Salary': 5600.0, 'projected_FD_points': 11.867152991413985, 'confidence': 0, 'FD_Position': 'P'}, 'Prince Fielder_batter': {'Salary': 3400.0, 'projected_FD_points': 3.3564137299144949, 'confidence': -0.12828397245071188, 'FD_Position': '1B'}, 'Dexter Fowler_batter': {'Salary': 3400.0, 'projected_FD_points': 3.6240638326565375, 'confidence': -0.12447425554042413, 'FD_Position': 'OF'},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'OF'}}</t>
  </si>
  <si>
    <t>{'Wandy Rodriguez_pitcher': {'Salary': 6400.0, 'projected_FD_points': 14.160977845313566, 'confidence': 0, 'FD_Position': 'P'}, 'Stephen Vogt_batter': {'Salary': 3600.0, 'projected_FD_points': 3.0317716304124747, 'confidence': -0.34563347294147895, 'FD_Position': 'C'}, 'Charlie Blackmon_batter': {'Salary': 3800.0, 'projected_FD_points': 3.8778782910002536, 'confidence': 0.28241366452565642, 'FD_Position': 'OF'}, 'Lucas Duda_batter': {'Salary': 3100.0, 'projected_FD_points': 3.0822581663705213, 'confidence': -0.063629721226411418, 'FD_Position': '1B'},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'2B'}}</t>
  </si>
  <si>
    <t>{'Yoenis Cespedes_batter': {'Salary': 2700.0, 'projected_FD_points': 3.0678102931474052, 'confidence': -1.3052719669789981, 'FD_Position': 'OF'}, 'Lucas Duda_batter': {'Salary': 3100.0, 'projected_FD_points': 3.0822581663705213, 'confidence': -0.063629721226411418, 'FD_Position': '1B'}, 'Michael McKenry_batter': {'Salary': 2700.0, 'projected_FD_points': 2.1013649716587608, 'confidence': -0.1353199908220597, 'FD_Position': 'C'},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'2B'}, 'Michael Cuddyer_batter': {'Salary': 2400.0, 'projected_FD_points': 3.3153542235472564, 'confidence': -0.035307283189151439, 'FD_Position': 'OF'}, 'Jacob deGrom_pitcher': {'Salary': 9100.0, 'projected_FD_points': 15.111473945342432, 'confidence': 0.0582375510037072, 'FD_Position': 'P'}}</t>
  </si>
  <si>
    <t>{'Ben Paulsen_batter': {'Salary': 2200.0, 'projected_FD_points': 1.220278805820155, 'confidence': -0.54108414767561874, 'FD_Position': '1B'}, 'Madison Bumgarner_pitcher': {'Salary': 10100.0, 'projected_FD_points': 12.814428167180116, 'confidence': -1.7907466354522628, 'FD_Position': 'P'}, 'Scott Van Slyke_batter': {'Salary': 2600.0, 'projected_FD_points': 1.6370452533005966, 'confidence': -0.01300953395727511, 'FD_Position': 'OF'}, 'Charlie Blackmon_batter': {'Salary': 3800.0, 'projected_FD_points': 3.8778782910002536, 'confidence': 0.28241366452565642, 'FD_Position': 'OF'}, 'Carlos Gonzalez_batter': {'Salary': 3300.0, 'projected_FD_points': 2.4446358550435843, 'confidence': -0.3836494924185776, 'FD_Position': 'OF'},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'Chase Utley_batter': {'Salary': 3100.0, 'projected_FD_points': 2.5343228069933224, 'confidence': -0.064012887188765077, 'FD_Position': '2B'}, 'Michael McKenry_batter': {'Salary': 2700.0, 'projected_FD_points': 2.1013649716587608, 'confidence': -0.1353199908220597, 'FD_Position': 'C'}}</t>
  </si>
  <si>
    <t>{'Jason Kipnis_batter': {'Salary': 4700.0, 'projected_FD_points': 2.6637724241544585, 'confidence': 0.039521276862839017, 'FD_Position': '2B'}, 'Wandy Rodriguez_pitcher': {'Salary': 6400.0, 'projected_FD_points': 14.160977845313566, 'confidence': 0, 'FD_Position': 'P'}, 'Stephen Vogt_batter': {'Salary': 3600.0, 'projected_FD_points': 3.0317716304124747, 'confidence': -0.34563347294147895,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'Chris Colabello_batter': {'Salary': 2300.0, 'projected_FD_points': 2.8465536129381817, 'confidence': -0.089592465334726201, 'FD_Position': 'OF'}, 'Jose Abreu_batter': {'Salary': 3600.0, 'projected_FD_points': 3.3104354125538098, 'confidence': -0.022353860093929923, 'FD_Position': '1B'}}</t>
  </si>
  <si>
    <t>{'Jimmy Paredes_batter': {'Salary': 3300.0, 'projected_FD_points': 3.2036834531092397, 'confidence': 0.07439292909316908, 'FD_Position': '2B'}, 'Odubel Herrera_batter': {'Salary': 3000.0, 'projected_FD_points': 3.8798685107003648, 'confidence': 0.37994892453377171, 'FD_Position': 'OF'}, 'Ian Desmond_batter': {'Salary': 3100.0, 'projected_FD_points': 3.2648969795341918, 'confidence': 0.0089640534196945287, 'FD_Position': 'SS'}, 'David Ortiz_batter': {'Salary': 3100.0, 'projected_FD_points': 2.8462465041258809, 'confidence': -0.075612710467828359, 'FD_Position': '1B'}, 'Maikel Franco_batter': {'Salary': 2600.0, 'projected_FD_points': 2.8198807593135466, 'confidence': -1.2442311122654166, 'FD_Position': '3B'}, 'Dexter Fowler_batter': {'Salary': 3600.0, 'projected_FD_points': 3.9938064845204431, 'confidence': -0.034445704273793121, 'FD_Position': 'OF'}, 'Michael Pineda_pitcher': {'Salary': 9500.0, 'projected_FD_points': 16.532851287199662, 'confidence': -7.3893560046377615, 'FD_Position': 'P'}, 'Giancarlo Stanton_batter': {'Salary': 4500.0, 'projected_FD_points': 4.5304506864611049, 'confidence': -0.063264543598932299, 'FD_Position': 'OF'}, 'Jason Castro_batter': {'Salary': 2300.0, 'projected_FD_points': 2.2805774901336209, 'confidence': -0.11837698598944635, 'FD_Position': 'C'}}</t>
  </si>
  <si>
    <t>{'Brian Dozier_batter': {'Salary': 3800.0, 'projected_FD_points': 2.6355135329044974, 'confidence': -0.099150189012707557, 'FD_Position': '2B'}, 'Hunter Pence_batter': {'Salary': 3300.0, 'projected_FD_points': 2.678430069264762, 'confidence': -0.0069085623444187227, 'FD_Position': 'OF'}, 'Charlie Blackmon_batter': {'Salary': 3800.0, 'projected_FD_points': 2.8968028257920171, 'confidence': 0.23310361701363513, 'FD_Position': 'OF'}, 'Buster Posey_batter': {'Salary': 4600.0, 'projected_FD_points': 2.4700540764917491, 'confidence': 0.016308189902387693, 'FD_Position': 'C'}, 'Conor Gillaspie_batter': {'Salary': 2500.0, 'projected_FD_points': 2.0278218133456023, 'confidence': -0.073638450174007497, 'FD_Position': '3B'}, 'Jose Abreu_batter': {'Salary': 3500.0, 'projected_FD_points': 3.0902176493252145, 'confidence': 0.027337114313059852, 'FD_Position': '1B'}, 'Lance Lynn_pitcher': {'Salary': 8800.0, 'projected_FD_points': 11.508399054616707, 'confidence': -0.08738159884497132, 'FD_Position': 'P'}, 'Alexei Ramirez_batter': {'Salary': 2300.0, 'projected_FD_points': 2.8565761275475725, 'confidence': -0.022657033556591433, 'FD_Position': 'SS'}, 'Melky Cabrera_batter': {'Salary': 2400.0, 'projected_FD_points': 2.5273743585495141, 'confidence': -0.093432769342006727, 'FD_Position': 'OF'}}</t>
  </si>
  <si>
    <t>{'Jimmy Paredes_batter': {'Salary': 3300.0, 'projected_FD_points': 3.4718579426565355, 'confidence': -0.29612172251279634, 'FD_Position': '2B'}, 'David Ortiz_batter': {'Salary': 3100.0, 'projected_FD_points': 2.8132161492306471, 'confidence': -0.054379879053936708, 'FD_Position': '1B'}, 'Marcell Ozuna_batter': {'Salary': 2800.0, 'projected_FD_points': 2.3598852992236905, 'confidence': 0.01470595980927758, 'FD_Position': 'OF'}, 'Christian Yelich_batter': {'Salary': 2500.0, 'projected_FD_points': 2.6588589799595486, 'confidence': 0.049658821211418624, 'FD_Position': 'OF'},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'Brock Holt_batter': {'Salary': 2200.0, 'projected_FD_points': 2.2753954065721764, 'confidence': -0.28162463521519876, 'FD_Position': '3B'},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</si>
  <si>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'Chris Coghlan_batter': {'Salary': 2400.0, 'projected_FD_points': 1.5565987597794331, 'confidence': 0.0018046908321343036, 'FD_Position': 'OF'}, 'Justin Turner_batter': {'Salary': 2600.0, 'projected_FD_points': 2.1971813010954633, 'confidence': -0.32410992332573851, 'FD_Position': '2B'},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</si>
  <si>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'Justin Turner_batter': {'Salary': 2600.0, 'projected_FD_points': 2.1971813010954633, 'confidence': -0.32410992332573851, 'FD_Position': '2B'}, 'A.J. Pollock_batter': {'Salary': 4000.0, 'projected_FD_points': 2.8850838224739359, 'confidence': 0.040765696738737756, 'FD_Position': 'OF'}, 'Miguel Montero_batter': {'Salary': 2900.0, 'projected_FD_points': 2.2761612808105056, 'confidence': -9.2023688418096938e-05, 'FD_Position': 'C'},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</si>
  <si>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'Anthony Rizzo_batter': {'Salary': 4100.0, 'projected_FD_points': 3.3341098707220795, 'confidence': -0.021729684924433945, 'FD_Position': '1B'}, 'Russell Martin_batter': {'Salary': 3400.0, 'projected_FD_points': 2.8019287081272974, 'confidence': -0.058963693341117063, 'FD_Position': 'C'}, 'Josh Donaldson_batter': {'Salary': 3800.0, 'projected_FD_points': 2.9678344769754239, 'confidence': -0.051448777241134946, 'FD_Position': '3B'}, 'Todd Cunningham_batter': {'Salary': 2200.0, 'projected_FD_points': 4.727705112960745, 'confidence': 0, 'FD_Position': 'OF'}, 'Alexei Ramirez_batter': {'Salary': 2400.0, 'projected_FD_points': 3.0237941587619672, 'confidence': -0.34806988776793535, 'FD_Position': 'SS'}, 'Chris Colabello_batter': {'Salary': 2500.0, 'projected_FD_points': 3.426890895602801, 'confidence': -0.15663274659461845, 'FD_Position': 'OF'}, 'Rusney Castillo_batter': {'Salary': 2900.0, 'projected_FD_points': 4.309094876358742, 'confidence': -0.36553624344914026, 'FD_Position': 'OF'}}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</si>
  <si>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'Josh Donaldson_batter': {'Salary': 3800.0, 'projected_FD_points': 2.9678344769754239, 'confidence': -0.051448777241134946, 'FD_Position': '3B'}, 'Adam LaRoche_batter': {'Salary': 2800.0, 'projected_FD_points': 2.8147465339111339, 'confidence': -1.003652968122843, 'FD_Position': '1B'}, 'Yan Gomes_batter': {'Salary': 2800.0, 'projected_FD_points': 2.7220881420000245, 'confidence': -0.046685160384533742, 'FD_Position': 'C'}, 'Todd Cunningham_batter': {'Salary': 2200.0, 'projected_FD_points': 4.727705112960745, 'confidence': 0, 'FD_Position': 'OF'}, 'Alexei Ramirez_batter': {'Salary': 2400.0, 'projected_FD_points': 3.0237941587619672, 'confidence': -0.34806988776793535, 'FD_Position': 'SS'}, 'Giancarlo Stanton_batter': {'Salary': 4400.0, 'projected_FD_points': 3.513444731647414, 'confidence': -0.050671431568309666, 'FD_Position': 'OF'}, 'Rusney Castillo_batter': {'Salary': 2900.0, 'projected_FD_points': 4.309094876358742, 'confidence': -0.36553624344914026, 'FD_Position': 'OF'}}</t>
  </si>
  <si>
    <t>{'Kris Bryant_batter': {'Salary': 4000.0, 'projected_FD_points': 3.5396552725626531, 'confidence': -1.3980276499776219, 'FD_Position': '3B'}, 'Robinson Chirinos_batter': {'Salary': 2600.0, 'projected_FD_points': 2.0519607323791726, 'confidence': 0.012110662728286981, 'FD_Position': 'C'}, 'Anthony Rizzo_batter': {'Salary': 4100.0, 'projected_FD_points': 3.3341098707220795, 'confidence': -0.021729684924433945, 'FD_Position': '1B'}, 'Hunter Pence_batter': {'Salary': 3400.0, 'projected_FD_points': 2.6229865585742518, 'confidence': -0.0078991122612503961, 'FD_Position': 'OF'}, 'Mitch Moreland_batter': {'Salary': 2700.0, 'projected_FD_points': 2.2323900920028086, 'confidence': -1.6471821658625654, 'FD_Position': 'OF'}, 'Howie Kendrick_batter': {'Salary': 3000.0, 'projected_FD_points': 2.1313737234310928, 'confidence': 0.022416422276629655, 'FD_Position': '2B'}, 'Yovani Gallardo_pitcher': {'Salary': 7000.0, 'projected_FD_points': 8.9816124109850151, 'confidence': -1.0463601574450201, 'FD_Position': 'P'}, 'Dexter Fowler_batter': {'Salary': 3800.0, 'projected_FD_points': 3.696663403944398, 'confidence': -0.075847010283607741, 'FD_Position': 'OF'}, 'Troy Tulowitzki_batter': {'Salary': 4400.0, 'projected_FD_points': 3.1242203643904825, 'confidence': -0.08105143102966994, 'FD_Position': 'SS'}}</t>
  </si>
  <si>
    <t>{'Kris Bryant_batter': {'Salary': 4100.0, 'projected_FD_points': 3.5402036468883171, 'confidence': -3.9504681589423756, 'FD_Position': '3B'}, 'Russell Martin_batter': {'Salary': 3300.0, 'projected_FD_points': 2.7984301095483115, 'confidence': -0.13931275868708992, 'FD_Position': 'C'}, 'Jimmy Paredes_batter': {'Salary': 3200.0, 'projected_FD_points': 3.1683391632801183, 'confidence': -0.2548904711279929, 'FD_Position': '2B'}, 'Lucas Duda_batter': {'Salary': 3400.0, 'projected_FD_points': 3.9163635078155803, 'confidence': -0.25982735701538684, 'FD_Position': '1B'}, 'Jake Odorizzi_pitcher': {'Salary': 8600.0, 'projected_FD_points': 12.076115197862631, 'confidence': -0.30115646553720166, 'FD_Position': 'P'}, 'Jacob Elmore_batter': {'Salary': 2300.0, 'projected_FD_points': 3.9507953200332668, 'confidence': -0.788090666678819, 'FD_Position': 'SS'}, 'Chris Colabello_batter': {'Salary': 2700.0, 'projected_FD_points': 3.1872030128356204, 'confidence': 0.40949209720224977, 'FD_Position': 'OF'}, 'Nelson Cruz_batter': {'Salary': 4700.0, 'projected_FD_points': 3.5170734368325478, 'confidence': -0.12429107114452798, 'FD_Position': 'OF'}, 'Michael Cuddyer_batter': {'Salary': 2300.0, 'projected_FD_points': 4.3423650263532627, 'confidence': -0.086247995238874164, 'FD_Position': 'OF'}}</t>
  </si>
  <si>
    <t>{'Russell Martin_batter': {'Salary': 3300.0, 'projected_FD_points': 2.7984301095483115, 'confidence': -0.13931275868708992, 'FD_Position': 'C'}, 'Neil Walker_batter': {'Salary': 2700.0, 'projected_FD_points': 2.5024342651209275, 'confidence': -0.1149044124419325, 'FD_Position': '2B'}, 'Josh Donaldson_batter': {'Salary': 3800.0, 'projected_FD_points': 3.1067562640614459, 'confidence': -0.088426175055541956, 'FD_Position': '3B'}, 'Roenis Elias_pitcher': {'Salary': 7200.0, 'projected_FD_points': 11.507009593887535, 'confidence': 0.17631370003615332, 'FD_Position': 'P'}, 'Jacob Elmore_batter': {'Salary': 2300.0, 'projected_FD_points': 3.9507953200332668, 'confidence': -0.788090666678819, 'FD_Position': 'SS'}, 'Mike Trout_batter': {'Salary': 5300.0, 'projected_FD_points': 3.5635433892878305, 'confidence': -0.056988180710410674, 'FD_Position': 'OF'}, 'Chris Colabello_batter': {'Salary': 2700.0, 'projected_FD_points': 3.1872030128356204, 'confidence': 0.40949209720224977, 'FD_Position': 'OF'}, 'Jose Abreu_batter': {'Salary': 3200.0, 'projected_FD_points': 3.3109432440156454, 'confidence': -0.015387268060856218, 'FD_Position': '1B'}, 'Andrew McCutchen_batter': {'Salary': 4300.0, 'projected_FD_points': 3.4236356508335337, 'confidence': -0.58683968172749346, 'FD_Position': 'OF'}}</t>
  </si>
  <si>
    <t>{'Jimmy Paredes_batter': {'Salary': 3200.0, 'projected_FD_points': 3.1683391632801183, 'confidence': -0.2548904711279929, 'FD_Position': '2B'}, 'Shane Greene_pitcher': {'Salary': 7500.0, 'projected_FD_points': 11.678519036373032, 'confidence': -6.1445931918488901, 'FD_Position': 'P'}, 'J.D. Martinez_batter': {'Salary': 3300.0, 'projected_FD_points': 3.2064766132668536, 'confidence': -0.034487969033118349, 'FD_Position': 'OF'}, 'Stephen Vogt_batter': {'Salary': 3500.0, 'projected_FD_points': 2.4996529356470711, 'confidence': -0.00055459267838098292, 'FD_Position': 'C'}, 'Wilmer Flores_batter': {'Salary': 2200.0, 'projected_FD_points': 2.7536111571100399, 'confidence': -0.64794003630032426, 'FD_Position': 'SS'}, 'Lucas Duda_batter': {'Salary': 3400.0, 'projected_FD_points': 3.9163635078155803, 'confidence': -0.25982735701538684, 'FD_Position': '1B'}, 'Dexter Fowler_batter': {'Salary': 3800.0, 'projected_FD_points': 3.3536049345551748, 'confidence': -0.032457292752373412, 'FD_Position': 'OF'}, 'Michael Cuddyer_batter': {'Salary': 2300.0, 'projected_FD_points': 4.3423650263532627, 'confidence': -0.086247995238874164, 'FD_Position': 'OF'}, 'Matt Carpenter_batter': {'Salary': 3900.0, 'projected_FD_points': 2.9097249800593863, 'confidence': -0.032623011745546604, 'FD_Position': '3B'}}</t>
  </si>
  <si>
    <t>{'Kris Bryant_batter': {'Salary': 4200.0, 'projected_FD_points': 3.8276011623804109, 'confidence': -0.1473396297701608, 'FD_Position': '3B'}, 'Jimmy Paredes_batter': {'Salary': 3100.0, 'projected_FD_points': 2.9871186455600478, 'confidence': -1.8673153438997252, 'FD_Position': '2B'}, 'Jose Bautista_batter': {'Salary': 4500.0, 'projected_FD_points': 3.6855446091412474, 'confidence': -0.023082872340447702, 'FD_Position': 'OF'}, 'Wilmer Flores_batter': {'Salary': 2200.0, 'projected_FD_points': 2.8022863100885793, 'confidence': -0.51972247733057375, 'FD_Position': 'SS'}, 'Kevin Plawecki_batter': {'Salary': 2200.0, 'projected_FD_points': 3.080607522722759, 'confidence': 0.53399881485907519, 'FD_Position': 'C'}, 'Lucas Duda_batter': {'Salary': 3400.0, 'projected_FD_points': 3.6037880415372925, 'confidence': -0.093295120583455127, 'FD_Position': '1B'}, 'Chris Colabello_batter': {'Salary': 2800.0, 'projected_FD_points': 3.1219270744151562, 'confidence': 0.055321553438072213, 'FD_Position': 'OF'}, 'Michael Cuddyer_batter': {'Salary': 2200.0, 'projected_FD_points': 4.6646191750972328, 'confidence': 0.23892574468070704, 'FD_Position': 'OF'}, 'Jacob deGrom_pitcher': {'Salary': 9700.0, 'projected_FD_points': 19.89371682669768, 'confidence': -0.34815831644001771, 'FD_Position': 'P'}}</t>
  </si>
  <si>
    <t>{'Kris Bryant_batter': {'Salary': 4600.0, 'projected_FD_points': 3.8818162583067508, 'confidence': -0.18171084875231802, 'FD_Position': '3B'}, 'Jimmy Paredes_batter': {'Salary': 3000.0, 'projected_FD_points': 3.0236062490973694, 'confidence': 0.057560716259822842, 'FD_Position': '2B'}, 'Joey Butler_batter': {'Salary': 2200.0, 'projected_FD_points': 2.8943337989205782, 'confidence': -0.64956802714351003, 'FD_Position': 'OF'}, 'Eddie Rosario_batter': {'Salary': 2600.0, 'projected_FD_points': 3.0283917525757822, 'confidence': 0.21770794382607539, 'FD_Position': 'OF'}, 'Kevin Plawecki_batter': {'Salary': 2200.0, 'projected_FD_points': 2.8881034571478921, 'confidence': -3.2949427456532732, 'FD_Position': 'C'},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'Adrian Gonzalez_batter': {'Salary': 3800.0, 'projected_FD_points': 3.8084940935923752, 'confidence': -0.03896595522775681, 'FD_Position': '1B'}, 'Michael Cuddyer_batter': {'Salary': 2400.0, 'projected_FD_points': 5.1935380246286362, 'confidence': -1.0666404687155016, 'FD_Position': 'OF'}}</t>
  </si>
  <si>
    <t>{'Kevin Plawecki_batter': {'Salary': 2200.0, 'projected_FD_points': 2.8881034571478921, 'confidence': -3.2949427456532732, 'FD_Position': 'C'}, 'Neil Walker_batter': {'Salary': 2700.0, 'projected_FD_points': 2.8921522509449762, 'confidence': -0.0068557882972435369, 'FD_Position': '2B'}, 'Eddie Rosario_batter': {'Salary': 2600.0, 'projected_FD_points': 3.0283917525757822, 'confidence': 0.21770794382607539, 'FD_Position': 'OF'}, 'Jose Bautista_batter': {'Salary': 4500.0, 'projected_FD_points': 3.3300387925115604, 'confidence': 0.045343153600964525, 'FD_Position': 'OF'},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'Michael Cuddyer_batter': {'Salary': 2400.0, 'projected_FD_points': 5.1935380246286362, 'confidence': -1.0666404687155016, 'FD_Position': 'OF'}, 'Trevor Plouffe_batter': {'Salary': 2900.0, 'projected_FD_points': 2.9940964649697577, 'confidence': 0.0073678313197559353, 'FD_Position': '3B'}}</t>
  </si>
  <si>
    <t>{'Kris Bryant_batter': {'Salary': 4600.0, 'projected_FD_points': 3.8818162583067508, 'confidence': -0.18171084875231802, 'FD_Position': '3B'}, 'Starlin Castro_batter': {'Salary': 2700.0, 'projected_FD_points': 2.2051161875623291, 'confidence': -0.13128970049181476, 'FD_Position': 'SS'}, 'Adrian Gonzalez_batter': {'Salary': 3800.0, 'projected_FD_points': 3.8084940935923752, 'confidence': -0.03896595522775681, 'FD_Position': '1B'}, 'A.J. Pierzynski_batter': {'Salary': 2300.0, 'projected_FD_points': 2.4927315715853142, 'confidence': -0.15989616794875761, 'FD_Position': 'C'}, 'Howie Kendrick_batter': {'Salary': 2900.0, 'projected_FD_points': 2.3613551111091411, 'confidence': -0.030450512618794168, 'FD_Position': '2B'}, 'Matt Holliday_batter': {'Salary': 3200.0, 'projected_FD_points': 3.025824650017602, 'confidence': 0.031099047855396966, 'FD_Position': 'OF'}, 'Nick Markakis_batter': {'Salary': 2500.0, 'projected_FD_points': 2.4999542938679147, 'confidence': -0.0079795242813764933, 'FD_Position': 'OF'}, 'Dexter Fowler_batter': {'Salary': 3800.0, 'projected_FD_points': 3.2386616453284489, 'confidence': -0.069920922627745741, 'FD_Position': 'OF'}, 'Garrett Richards_pitcher': {'Salary': 9000.0, 'projected_FD_points': 12.143294484161254, 'confidence': -0.52637134653115414, 'FD_Position': 'P'}}</t>
  </si>
  <si>
    <t>{'Kevin Plawecki_batter': {'Salary': 2200.0, 'projected_FD_points': 2.8881034571478921, 'confidence': -3.2949427456532732, 'FD_Position': 'C'}, 'Brian Dozier_batter': {'Salary': 4000.0, 'projected_FD_points': 2.8133064137175143, 'confidence': -0.011380903227732775, 'FD_Position': '2B'}, 'Eddie Rosario_batter': {'Salary': 2600.0, 'projected_FD_points': 3.0283917525757822, 'confidence': 0.21770794382607539, 'FD_Position': 'OF'}, 'Trevor Plouffe_batter': {'Salary': 2900.0, 'projected_FD_points': 2.9940964649697577, 'confidence': 0.0073678313197559353, 'FD_Position': '3B'},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'Joey Butler_batter': {'Salary': 2200.0, 'projected_FD_points': 2.8943337989205782, 'confidence': -0.64956802714351003, 'FD_Position': 'OF'}, 'Michael Cuddyer_batter': {'Salary': 2400.0, 'projected_FD_points': 5.1935380246286362, 'confidence': -1.0666404687155016, 'FD_Position': 'OF'}}</t>
  </si>
  <si>
    <t>{'Michael Brantley_batter': {'Salary': 4300.0, 'projected_FD_points': 3.1846624949230389, 'confidence': 0.041816192549587128, 'FD_Position': 'OF'}, 'Jimmy Paredes_batter': {'Salary': 3200.0, 'projected_FD_points': 3.4049017835283775, 'confidence': 0.14085518792371532, 'FD_Position': '2B'}, 'Alex Rodriguez_batter': {'Salary': 3300.0, 'projected_FD_points': 3.2485848001222979, 'confidence': -0.1124645223647327, 'FD_Position': '3B'}, 'Kendall Graveman_pitcher': {'Salary': 5400.0, 'projected_FD_points': 144.46194705103613, 'confidence': 0, 'FD_Position': 'P'},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'Alexei Ramirez_batter': {'Salary': 2400.0, 'projected_FD_points': 2.8385934062308231, 'confidence': 0.098717644366307034, 'FD_Position': 'SS'}, 'Andrew McCutchen_batter': {'Salary': 4300.0, 'projected_FD_points': 3.3036528625465027, 'confidence': -0.12663014846023879, 'FD_Position': 'OF'}}</t>
  </si>
  <si>
    <t>{'Michael Brantley_batter': {'Salary': 4300.0, 'projected_FD_points': 3.1846624949230389, 'confidence': 0.041816192549587128, 'FD_Position': 'OF'}, 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144.46194705103613, 'confidence': 0, 'FD_Position': 'P'}, 'Marcus Semien_batter': {'Salary': 2800.0, 'projected_FD_points': 2.6175936251971219, 'confidence': -1.0187049718985435, 'FD_Position': 'SS'},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</si>
  <si>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3.3291971742005559, 'confidence': -3.1203131378716611, 'FD_Position': '2B'}, 'Trevor Plouffe_batter': {'Salary': 2900.0, 'projected_FD_points': 2.8635685797364494, 'confidence': 0.029562114585931165, 'FD_Position': '3B'}, 'Matt Harvey_pitcher': {'Salary': 10700.0, 'projected_FD_points': 18.049516405201537, 'confidence': 0, 'FD_Position': 'P'}, 'Wilmer Flores_batter': {'Salary': 2400.0, 'projected_FD_points': 2.337083165069358, 'confidence': 0.056735553608280309, 'FD_Position': 'SS'},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'Dexter Fowler_batter': {'Salary': 3800.0, 'projected_FD_points': 4.0152036655112155, 'confidence': -0.1982999174917035, 'FD_Position': 'OF'}, 'Michael Cuddyer_batter': {'Salary': 2700.0, 'projected_FD_points': 4.7332057954773425, 'confidence': 0.32426757056293065, 'FD_Position': 'OF'}}</t>
  </si>
  <si>
    <t>{'Adrian Beltre_batter': {'Salary': 3000.0, 'projected_FD_points': 2.8950668239628814, 'confidence': -0.0066179402603980808, 'FD_Position': '3B'}, 'Jimmy Paredes_batter': {'Salary': 3300.0, 'projected_FD_points': 3.3291971742005559, 'confidence': -3.1203131378716611, 'FD_Position': '2B'}, 'Hunter Pence_batter': {'Salary': 3100.0, 'projected_FD_points': 2.9404888140972765, 'confidence': -0.034913532201843456, 'FD_Position': 'OF'}, 'Matt Harvey_pitcher': {'Salary': 10700.0, 'projected_FD_points': 18.049516405201537, 'confidence': 0, 'FD_Position': 'P'},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'Brandon Crawford_batter': {'Salary': 2900.0, 'projected_FD_points': 2.786153082626555, 'confidence': -0.10812583726506264, 'FD_Position': 'SS'}, 'Michael Cuddyer_batter': {'Salary': 2700.0, 'projected_FD_points': 4.7332057954773425, 'confidence': 0.32426757056293065, 'FD_Position': 'OF'}}</t>
  </si>
  <si>
    <t>{'Kyle Gibson_pitcher': {'Salary': 6500.0, 'projected_FD_points': 13.629297816657811, 'confidence': -0.52826976801045622, 'FD_Position': 'P'}, 'Michael Brantley_batter': {'Salary': 4300.0, 'projected_FD_points': 3.7440789609403384, 'confidence': 0.059897870650733376, 'FD_Position': 'OF'},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'Miguel Cabrera_batter': {'Salary': 4900.0, 'projected_FD_points': 3.8684687133627098, 'confidence': -0.066247379112902127, 'FD_Position': '1B'}, 'Kyle Seager_batter': {'Salary': 3600.0, 'projected_FD_points': 3.1769591753446584, 'confidence': 0.050998307395822784, 'FD_Position': '3B'},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</si>
  <si>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{'Michael Brantley_batter': {'Salary': 4300.0, 'projected_FD_points': 3.7440789609403384, 'confidence': 0.059897870650733376, 'FD_Position': 'OF'}, 'Shane Greene_pitcher': {'Salary': 7200.0, 'projected_FD_points': 12.710282148635212, 'confidence': 0.57591492080924289, 'FD_Position': 'P'}, 'Brandon Moss_batter': {'Salary': 3500.0, 'projected_FD_points': 3.451262635712637, 'confidence': -0.097050141593534089, 'FD_Position': 'OF'}, 'Stephen Vogt_batter': {'Salary': 3400.0, 'projected_FD_points': 2.5206621147645079, 'confidence': -1.9164067987335192, 'FD_Position': 'C'}, 'Robinson Cano_batter': {'Salary': 2600.0, 'projected_FD_points': 2.3421685858738357, 'confidence': -0.0057636588127119026, 'FD_Position': '2B'}, 'Joc Pederson_batter': {'Salary': 3500.0, 'projected_FD_points': 3.099944236768466, 'confidence': -0.24384793745645084, 'FD_Position': 'OF'}, 'Brett Lawrie_batter': {'Salary': 2600.0, 'projected_FD_points': 2.6355079257038749, 'confidence': -0.33448572197853199, 'FD_Position': '3B'}, 'Brandon Crawford_batter': {'Salary': 2900.0, 'projected_FD_points': 2.5057593450763536, 'confidence': -0.0050290665018630776, 'FD_Position': 'SS'}, 'Miguel Cabrera_batter': {'Salary': 4900.0, 'projected_FD_points': 3.8684687133627098, 'confidence': -0.066247379112902127, 'FD_Position': '1B'}}</t>
  </si>
  <si>
    <t>{'Kyle Gibson_pitcher': {'Salary': 6500.0, 'projected_FD_points': 13.629297816657811, 'confidence': -0.52826976801045622, 'FD_Position': 'P'},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'Trevor Plouffe_batter': {'Salary': 2900.0, 'projected_FD_points': 3.0904106045240161, 'confidence': -0.10788128298025867, 'FD_Position': '3B'}, 'Paul Goldschmidt_batter': {'Salary': 5100.0, 'projected_FD_points': 3.4192115211382914, 'confidence': 0.017740403210094291, 'FD_Position': '1B'}, 'A.J. Pollock_batter': {'Salary': 4100.0, 'projected_FD_points': 3.2937158529265553, 'confidence': -0.39733203241607384, 'FD_Position': 'OF'},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</si>
  <si>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{'Jose Altuve_batter': {'Salary': 3800.0, 'projected_FD_points': 3.1431080470975967, 'confidence': -0.015503001365075209, 'FD_Position': '2B'}, 'Lucas Duda_batter': {'Salary': 4000.0, 'projected_FD_points': 3.1930054977778943, 'confidence': 0.0079919425289802781, 'FD_Position': '1B'},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'Jimmy Rollins_batter': {'Salary': 2700.0, 'projected_FD_points': 2.2395121534080116, 'confidence': -0.10798211447919059, 'FD_Position': 'SS'}, 'Wei-Yin Chen_pitcher': {'Salary': 7400.0, 'projected_FD_points': 11.411419879403294, 'confidence': -0.36915052697335282, 'FD_Position': 'P'}, 'Michael Cuddyer_batter': {'Salary': 2700.0, 'projected_FD_points': 3.835855146868731, 'confidence': -0.5657750158518795, 'FD_Position': 'OF'}, 'Matt Carpenter_batter': {'Salary': 3900.0, 'projected_FD_points': 3.0325261663827803, 'confidence': -0.10239053732922021, 'FD_Position': '3B'}, 'Jason Castro_batter': {'Salary': 2400.0, 'projected_FD_points': 2.5918442200375278, 'confidence': -0.0030063348973496939, 'FD_Position': 'C'}}</t>
  </si>
  <si>
    <t>{'Kris Bryant_batter': {'Salary': 4600.0, 'projected_FD_points': 3.7255156537278413, 'confidence': -1.632010111955756, 'FD_Position': '3B'}, 'Albert Pujols_batter': {'Salary': 3200.0, 'projected_FD_points': 2.9968140312665561, 'confidence': -0.36994623430918727, 'FD_Position': '1B'}, 'Alexander Guerrero_batter': {'Salary': 2900.0, 'projected_FD_points': 3.3584730231664919, 'confidence': -0.25133987024998183, 'FD_Position': 'OF'}, 'Eddie Rosario_batter': {'Salary': 2600.0, 'projected_FD_points': 2.6258304116416662, 'confidence': -2.9484381316207484, 'FD_Position': 'OF'}, 'David Price_pitcher': {'Salary': 10800.0, 'projected_FD_points': 16.24828151220256, 'confidence': -0.89367816646668818, 'FD_Position': 'P'}, 'Chris Colabello_batter': {'Salary': 2900.0, 'projected_FD_points': 3.0280652199841582, 'confidence': -0.13245804392272387, 'FD_Position': 'OF'}, 'Brandon Crawford_batter': {'Salary': 2900.0, 'projected_FD_points': 2.7593200362216281, 'confidence': -0.060666501737652645, 'FD_Position': 'SS'}, 'Chase Utley_batter': {'Salary': 2700.0, 'projected_FD_points': 2.4696186044190052, 'confidence': -0.23052725789185602, 'FD_Position': '2B'}, 'Jason Castro_batter': {'Salary': 2400.0, 'projected_FD_points': 2.5583604105213338, 'confidence': -0.017024044872140598, 'FD_Position': 'C'}}</t>
  </si>
  <si>
    <t>{'Albert Pujols_batter': {'Salary': 3200.0, 'projected_FD_points': 2.9968140312665561, 'confidence': -0.36994623430918727,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2.9890336695843231, 'confidence': -0.037976383723573148, 'FD_Position': 'C'}, 'David Price_pitcher': {'Salary': 10800.0, 'projected_FD_points': 16.24828151220256, 'confidence': -0.89367816646668818, 'FD_Position': 'P'}, 'Nick Markakis_batter': {'Salary': 2400.0, 'projected_FD_points': 2.5280614940120376, 'confidence': -0.10872978734657468, 'FD_Position': 'OF'}, 'Kyle Seager_batter': {'Salary': 3500.0, 'projected_FD_points': 2.8945632107685957, 'confidence': -0.088480613296714861, 'FD_Position': '3B'}, 'Brandon Crawford_batter': {'Salary': 2900.0, 'projected_FD_points': 2.7593200362216281, 'confidence': -0.060666501737652645, 'FD_Position': 'SS'}}</t>
  </si>
  <si>
    <t>{'Kris Bryant_batter': {'Salary': 4600.0, 'projected_FD_points': 3.7255156537278413, 'confidence': -1.632010111955756, 'FD_Position': '3B'}, 'Jimmy Paredes_batter': {'Salary': 3100.0, 'projected_FD_points': 2.6843428715031976, 'confidence': -0.080033184305826399, 'FD_Position': '2B'},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'Alexander Guerrero_batter': {'Salary': 2900.0, 'projected_FD_points': 3.3584730231664919, 'confidence': -0.25133987024998183, 'FD_Position': 'OF'}, 'Lucas Duda_batter': {'Salary': 4100.0, 'projected_FD_points': 3.3242895766682024, 'confidence': -0.052650247426478503, 'FD_Position': '1B'}, 'Daniel Santana_batter': {'Salary': 2400.0, 'projected_FD_points': 2.484288090748747, 'confidence': -0.017727995648144201, 'FD_Position': 'SS'}, 'Giancarlo Stanton_batter': {'Salary': 4200.0, 'projected_FD_points': 3.35489124695316, 'confidence': 0.044348470329394707, 'FD_Position': 'OF'}, 'Jason Castro_batter': {'Salary': 2400.0, 'projected_FD_points': 2.5583604105213338, 'confidence': -0.017024044872140598, 'FD_Position': 'C'}}</t>
  </si>
  <si>
    <t>{'Kris Bryant_batter': {'Salary': 4600.0, 'projected_FD_points': 3.7255156537278413, 'confidence': -1.632010111955756, 'FD_Position': '3B'}, 'Anthony Rizzo_batter': {'Salary': 4100.0, 'projected_FD_points': 3.1980828196293518, 'confidence': -0.055343676968154787, 'FD_Position': '1B'},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'Jose Altuve_batter': {'Salary': 3800.0, 'projected_FD_points': 2.8250379084697927, 'confidence': -0.022979605877569753, 'FD_Position': '2B'}, 'Alexander Guerrero_batter': {'Salary': 2900.0, 'projected_FD_points': 3.3584730231664919, 'confidence': -0.25133987024998183, 'FD_Position': 'OF'}, 'Daniel Santana_batter': {'Salary': 2400.0, 'projected_FD_points': 2.484288090748747, 'confidence': -0.017727995648144201, 'FD_Position': 'SS'}, 'Dexter Fowler_batter': {'Salary': 3600.0, 'projected_FD_points': 3.1528173306712981, 'confidence': 0.067114757216049425, 'FD_Position': 'OF'}, 'Jason Castro_batter': {'Salary': 2400.0, 'projected_FD_points': 2.5583604105213338, 'confidence': -0.017024044872140598, 'FD_Position': 'C'}}</t>
  </si>
  <si>
    <t>{'Aaron Hill_batter': {'Salary': 2300.0, 'projected_FD_points': 2.1782089770736097, 'confidence': -0.14467331737386036, 'FD_Position': '2B'}, 'Carlos Perez_batter': {'Salary': 2800.0, 'projected_FD_points': 2.9121632820813232, 'confidence': -2.7578715153717179, 'FD_Position': 'C'}, 'Steve Souza_batter': {'Salary': 3300.0, 'projected_FD_points': 3.5860876069674337, 'confidence': -0.22153201714766357, 'FD_Position': 'OF'}, 'Kole Calhoun_batter': {'Salary': 2700.0, 'projected_FD_points': 2.9204875891378848, 'confidence': -0.032930735510042108, 'FD_Position': 'OF'}, 'Felix Hernandez_pitcher': {'Salary': 12000.0, 'projected_FD_points': 15.450352621764077, 'confidence': 0.14943524463796731, 'FD_Position': 'P'}, 'Joey Butler_batter': {'Salary': 2200.0, 'projected_FD_points': 3.5818628160795711, 'confidence': 0.4584322280478409, 'FD_Position': 'OF'}, 'Troy Tulowitzki_batter': {'Salary': 3900.0, 'projected_FD_points': 3.4606372950306525, 'confidence': -0.13362205724023135, 'FD_Position': 'SS'}, 'Kyle Seager_batter': {'Salary': 3500.0, 'projected_FD_points': 3.0179692549840653, 'confidence': -0.021449878764605801, 'FD_Position': '3B'}, 'Mark Reynolds_batter': {'Salary': 2200.0, 'projected_FD_points': 1.8959112031765684, 'confidence': -0.025734817542481858, 'FD_Position': '1B'}}</t>
  </si>
  <si>
    <t>{'Kris Bryant_batter': {'Salary': 4500.0, 'projected_FD_points': 3.398989411469032, 'confidence': -0.18243254629459993, 'FD_Position': '3B'}, 'Ian Desmond_batter': {'Salary': 3200.0, 'projected_FD_points': 2.8138848340970233, 'confidence': 0.00047111293371604468, 'FD_Position': 'SS'}, 'Kendall Graveman_pitcher': {'Salary': 5400.0, 'projected_FD_points': 16.47051673429764, 'confidence': 0, 'FD_Position': 'P'}, 'Stephen Vogt_batter': {'Salary': 3600.0, 'projected_FD_points': 3.1966220853537632, 'confidence': 0.010629357183431165, 'FD_Position': 'C'}, 'Miguel Cabrera_batter': {'Salary': 4800.0, 'projected_FD_points': 3.5026680123052971, 'confidence': -0.19793292470714752, 'FD_Position': '1B'}, 'Dexter Fowler_batter': {'Salary': 3500.0, 'projected_FD_points': 3.3804762246228313, 'confidence': 0.13386527489480748, 'FD_Position': 'OF'}, 'Giancarlo Stanton_batter': {'Salary': 4500.0, 'projected_FD_points': 3.4016461966256313, 'confidence': -0.0044930417408179935, 'FD_Position': 'OF'}, 'Chase Utley_batter': {'Salary': 2600.0, 'projected_FD_points': 2.8084103631210673, 'confidence': -0.057073236470140509, 'FD_Position': '2B'}, 'Michael Cuddyer_batter': {'Salary': 2600.0, 'projected_FD_points': 3.5107089362368384, 'confidence': -0.44745373876063699, 'FD_Position': 'OF'}}</t>
  </si>
  <si>
    <t>{'Michael Brantley_batter': {'Salary': 3900.0, 'projected_FD_points': 3.3375896027019496, 'confidence': -0.074628865670841371, 'FD_Position': 'OF'}, 'Jimmy Paredes_batter': {'Salary': 2900.0, 'projected_FD_points': 2.8028538394357625, 'confidence': -7.2458577035784053, 'FD_Position': '2B'}, 'Ben Paulsen_batter': {'Salary': 3200.0, 'projected_FD_points': 2.9941964000448267, 'confidence': -1.4473400206193339, 'FD_Position': '1B'}, 'Yan Gomes_batter': {'Salary': 2500.0, 'projected_FD_points': 2.0987838529109561, 'confidence': 0.023120114012635584, 'FD_Position': 'C'}, 'Matt Holliday_batter': {'Salary': 3100.0, 'projected_FD_points': 3.3685715924404995, 'confidence': -0.086425282661940717, 'FD_Position': 'OF'}, 'Ryan Braun_batter': {'Salary': 4400.0, 'projected_FD_points': 2.810171999165159, 'confidence': 0.0047948847171447317, 'FD_Position': 'OF'}, 'Matt Carpenter_batter': {'Salary': 3800.0, 'projected_FD_points': 2.9902900735043492, 'confidence': -0.041824704280569946, 'FD_Position': '3B'}, 'Lance Lynn_pitcher': {'Salary': 8800.0, 'projected_FD_points': 11.936024341414454, 'confidence': -0.13052045300461756, 'FD_Position': 'P'}, 'Alexei Ramirez_batter': {'Salary': 2300.0, 'projected_FD_points': 2.1884234367493587, 'confidence': -0.010580810448450162, 'FD_Position': 'SS'}}</t>
  </si>
  <si>
    <t>{'Anthony Rizzo_batter': {'Salary': 4100.0, 'projected_FD_points': 3.2428788781681108, 'confidence': -0.13501180967361637, 'FD_Position': '1B'}, 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'Matt Holliday_batter': {'Salary': 3100.0, 'projected_FD_points': 2.9548162359190253, 'confidence': -0.011182210254251812, 'FD_Position': 'OF'},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</si>
  <si>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{'Phil Hughes_pitcher': {'Salary': 7800.0, 'projected_FD_points': 11.767127345000143, 'confidence': -1.5988787204992367, 'FD_Position': 'P'}, 'Neil Walker_batter': {'Salary': 2800.0, 'projected_FD_points': 2.6458935793301186, 'confidence': -1.2644738540516607, 'FD_Position': '2B'}, 'Jonathan Lucroy_batter': {'Salary': 2800.0, 'projected_FD_points': 2.317913068946198, 'confidence': 0.0011559402649871098, 'FD_Position': 'C'}, 'Freddie Freeman_batter': {'Salary': 3500.0, 'projected_FD_points': 2.7172416172587881, 'confidence': 0.01121383676602028, 'FD_Position': '1B'}, 'Matt Holliday_batter': {'Salary': 3100.0, 'projected_FD_points': 2.9548162359190253, 'confidence': -0.011182210254251812, 'FD_Position': 'OF'}, 'Daniel Santana_batter': {'Salary': 2200.0, 'projected_FD_points': 2.1350069584018243, 'confidence': 0.0036524933282936489, 'FD_Position': 'SS'}, 'Nelson Cruz_batter': {'Salary': 4200.0, 'projected_FD_points': 3.4061920688690122, 'confidence': -0.35343709533887391,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</si>
  <si>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2.6476305869044792, 'confidence': -3.191753800087028, 'FD_Position': '3B'}, 'Chris Owings_batter': {'Salary': 2600.0, 'projected_FD_points': 2.1601590041912142, 'confidence': -0.046891762386227942, 'FD_Position': 'SS'}, 'Neil Walker_batter': {'Salary': 2800.0, 'projected_FD_points': 2.6458935793301186, 'confidence': -1.2644738540516607, 'FD_Position': '2B'}, 'Seth Smith_batter': {'Salary': 2600.0, 'projected_FD_points': 2.2022852797741459, 'confidence': -0.23091809217536285, 'FD_Position': 'OF'}, 'Francisco Liriano_pitcher': {'Salary': 9300.0, 'projected_FD_points': 10.867095558434842, 'confidence': -0.11222477163363087, 'FD_Position': 'P'}, 'Freddie Freeman_batter': {'Salary': 3500.0, 'projected_FD_points': 2.7172416172587881, 'confidence': 0.01121383676602028, 'FD_Position': '1B'}, 'Jarrod Saltalamacchia_batter': {'Salary': 2200.0, 'projected_FD_points': 2.0769537174739181, 'confidence': -0.026531451617320956, 'FD_Position': 'C'}, 'Nelson Cruz_batter': {'Salary': 4200.0, 'projected_FD_points': 3.4061920688690122, 'confidence': -0.35343709533887391, 'FD_Position': 'OF'}, 'Andrew McCutchen_batter': {'Salary': 4700.0, 'projected_FD_points': 3.1803824028846424, 'confidence': -0.024250623897334789, 'FD_Position': 'OF'}}</t>
  </si>
  <si>
    <t>{'Corey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'David Ortiz_batter': {'Salary': 2600.0, 'projected_FD_points': 2.5057432204878451, 'confidence': -0.024674979651078788, 'FD_Position': '1B'},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'Giancarlo Stanton_batter': {'Salary': 4500.0, 'projected_FD_points': 3.5340837077275578, 'confidence': -0.022073269800622741,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</si>
  <si>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'Josh Phegley_batter': {'Salary': 2300.0, 'projected_FD_points': 4.2503648866705204, 'confidence': -6.2138305735821451, 'FD_Position': 'C'},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</si>
  <si>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</si>
  <si>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{'Josh Phegley_batter': {'Salary': 2300.0, 'projected_FD_points': 4.2503648866705204, 'confidence': -6.2138305735821451, 'FD_Position': 'C'}, 'Jesse Hahn_pitcher': {'Salary': 7500.0, 'projected_FD_points': 9.2742567874803168, 'confidence': -1.0662722828324021, 'FD_Position': 'P'}, 'J.D. Martinez_batter': {'Salary': 3100.0, 'projected_FD_points': 2.8465536097653876, 'confidence': -0.010075326200420065, 'FD_Position': 'OF'}, 'Jose Altuve_batter': {'Salary': 3800.0, 'projected_FD_points': 2.7500339272010188, 'confidence': -0.032662504869188869, 'FD_Position': '2B'}, 'Xander Bogaerts_batter': {'Salary': 2400.0, 'projected_FD_points': 2.0319890955022131, 'confidence': -0.053989931057789819, 'FD_Position': 'SS'}, 'Billy Burns_batter': {'Salary': 3300.0, 'projected_FD_points': 2.7683908245058464, 'confidence': -0.53993247620820051, 'FD_Position': 'OF'}, 'Luis Valbuena_batter': {'Salary': 2900.0, 'projected_FD_points': 2.1683054317919557, 'confidence': -0.097206586672660356, 'FD_Position': '3B'}, 'Hanley Ramirez_batter': {'Salary': 3600.0, 'projected_FD_points': 2.5683599138159634, 'confidence': -0.0046728086305185546, 'FD_Position': 'OF'}, 'Miguel Cabrera_batter': {'Salary': 4700.0, 'projected_FD_points': 3.4282805485371304, 'confidence': 0.015393525248789564, 'FD_Position': '1B'}}</t>
  </si>
  <si>
    <t>{'Kyle Gibson_pitcher': {'Salary': 6500.0, 'projected_FD_points': 14.01505763533358, 'confidence': -0.048906537446557818, 'FD_Position': 'P'}, 'Jimmy Paredes_batter': {'Salary': 2700.0, 'projected_FD_points': 2.4424521366016307, 'confidence': -3.5152359639053099, 'FD_Position': '2B'},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'Kris Bryant_batter': {'Salary': 4200.0, 'projected_FD_points': 3.5778278123067366, 'confidence': -1.8333547554724166, 'FD_Position': '3B'}, 'Dexter Fowler_batter': {'Salary': 3400.0, 'projected_FD_points': 3.4612958443625219, 'confidence': 0.044437316636292024, 'FD_Position': 'OF'}, 'Troy Tulowitzki_batter': {'Salary': 4800.0, 'projected_FD_points': 3.9162127089303143, 'confidence': -0.11910583199801694, 'FD_Position': 'SS'}, 'Miguel Cabrera_batter': {'Salary': 4700.0, 'projected_FD_points': 3.6867981850126852, 'confidence': 0.035674402833249408, 'FD_Position': '1B'}, 'Matt Wieters_batter': {'Salary': 2900.0, 'projected_FD_points': 2.7925587173220681, 'confidence': 0.244475945355906, 'FD_Position': 'C'}}</t>
  </si>
  <si>
    <t>{'Yasmany Tomas_batter': {'Salary': 3000.0, 'projected_FD_points': 3.0683707785000935, 'confidence': -0.14533516530296819, 'FD_Position': '3B'}, 'Chris Owings_batter': {'Salary': 2700.0, 'projected_FD_points': 2.2661413952808975, 'confidence': 0.033660625800169042, 'FD_Position': 'SS'}, 'Joey Butler_batter': {'Salary': 3000.0, 'projected_FD_points': 2.8009561155164517, 'confidence': -2.3846864889991957, 'FD_Position': 'OF'}, 'Seth Smith_batter': {'Salary': 2400.0, 'projected_FD_points': 2.0679021628075338, 'confidence': -0.012831103727571458, 'FD_Position': 'OF'}, 'Robinson Cano_batter': {'Salary': 2500.0, 'projected_FD_points': 2.2716747128952566, 'confidence': -0.028558003545640087, 'FD_Position': '2B'}, 'Paul Goldschmidt_batter': {'Salary': 5500.0, 'projected_FD_points': 3.547292119550856, 'confidence': 0.01758673809794109, 'FD_Position': '1B'}, 'Jake Odorizzi_pitcher': {'Salary': 8600.0, 'projected_FD_points': 11.863054269347554, 'confidence': 0.28809162753349749, 'FD_Position': 'P'}, 'Yasmani Grandal_batter': {'Salary': 3100.0, 'projected_FD_points': 1.9823768592217217, 'confidence': -0.23606570479414679, 'FD_Position': 'C'}, 'Nelson Cruz_batter': {'Salary': 4000.0, 'projected_FD_points': 3.1921887600273298, 'confidence': -0.00090694654286371801, 'FD_Position': 'OF'}}</t>
  </si>
  <si>
    <t>{'Kyle Gibson_pitcher': {'Salary': 6500.0, 'projected_FD_points': 14.01505763533358, 'confidence': -0.048906537446557818, 'FD_Position': 'P'},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'Trevor Plouffe_batter': {'Salary': 2800.0, 'projected_FD_points': 3.2881107755790784, 'confidence': -0.069113018236730994, 'FD_Position': '3B'}, 'Kurt Suzuki_batter': {'Salary': 2200.0, 'projected_FD_points': 1.9086839810382423, 'confidence': 0.012918128060634193, 'FD_Position': 'C'}, 'Ian Kinsler_batter': {'Salary': 3100.0, 'projected_FD_points': 2.138358428052368, 'confidence': 0.011502332049974862, 'FD_Position': '2B'}, 'Troy Tulowitzki_batter': {'Salary': 4800.0, 'projected_FD_points': 3.9162127089303143, 'confidence': -0.11910583199801694, 'FD_Position': 'SS'}, 'Giancarlo Stanton_batter': {'Salary': 5300.0, 'projected_FD_points': 3.540297570888685, 'confidence': 0.048042580752786335, 'FD_Position': 'OF'}, 'Miguel Cabrera_batter': {'Salary': 4700.0, 'projected_FD_points': 3.6867981850126852, 'confidence': 0.035674402833249408, 'FD_Position': '1B'}}</t>
  </si>
  <si>
    <t>{'Yoenis Cespedes_batter': {'Salary': 3300.0, 'projected_FD_points': 2.955060491602056, 'confidence': -0.18066764708407002, 'FD_Position': 'OF'}, 'J.D. Martinez_batter': {'Salary': 3100.0, 'projected_FD_points': 2.628545089449565, 'confidence': -0.018157799256969032, 'FD_Position': 'OF'}, 'Marcus Semien_batter': {'Salary': 2600.0, 'projected_FD_points': 2.3379951987988292, 'confidence': -0.78659715231123339, 'FD_Position': 'SS'}, 'Adam Jones_batter': {'Salary': 3000.0, 'projected_FD_points': 2.6334653031706345, 'confidence': 0.0024152103109664758, 'FD_Position': 'OF'}, 'David Price_pitcher': {'Salary': 11000.0, 'projected_FD_points': 13.963735072293975, 'confidence': -0.27389776853803216, 'FD_Position': 'P'}, 'Brock Holt_batter': {'Salary': 2500.0, 'projected_FD_points': 2.0486881884848382, 'confidence': -0.0020979691444606985, 'FD_Position': '3B'}, 'Jose Abreu_batter': {'Salary': 3600.0, 'projected_FD_points': 3.3463868961188861, 'confidence': -0.16868799077891961, 'FD_Position': '1B'}, 'Ben Zobrist_batter': {'Salary': 2900.0, 'projected_FD_points': 2.2825515778258909, 'confidence': -0.02660705738964686, 'FD_Position': '2B'}, 'Matt Wieters_batter': {'Salary': 2900.0, 'projected_FD_points': 3.7048383704135075, 'confidence': -6.1731049561004907, 'FD_Position': 'C'}}</t>
  </si>
  <si>
    <t>{'Steve Souza_batter': {'Salary': 3700.0, 'projected_FD_points': 3.6406323564406762, 'confidence': -0.22011758862780684, 'FD_Position': 'OF'}, 'Robinson Cano_batter': {'Salary': 2500.0, 'projected_FD_points': 2.39021164021164, 'confidence': -0.14801604598214424, 'FD_Position': '2B'}, 'Clayton Kershaw_pitcher': {'Salary': 11700.0, 'projected_FD_points': 15.859997533231972, 'confidence': -5.7063135123875162, 'FD_Position': 'P'}, 'Joey Butler_batter': {'Salary': 3200.0, 'projected_FD_points': 4.4644210176096939, 'confidence': 0.11886496600068952, 'FD_Position': 'OF'}, 'Austin Jackson_batter': {'Salary': 2700.0, 'projected_FD_points': 2.4571352880479336, 'confidence': -0.65289218801865911, 'FD_Position': 'OF'}, 'Kyle Seager_batter': {'Salary': 3200.0, 'projected_FD_points': 3.3787036416840532, 'confidence': 0.012928486066943634, 'FD_Position': '3B'}, 'Rene Rivera_batter': {'Salary': 2200.0, 'projected_FD_points': 1.9582180186414753, 'confidence': -0.011880771979793092, 'FD_Position': 'C'}, 'Jose Abreu_batter': {'Salary': 3600.0, 'projected_FD_points': 3.3463868961188861, 'confidence': -0.16868799077891961, 'FD_Position': '1B'}, 'Alexei Ramirez_batter': {'Salary': 2200.0, 'projected_FD_points': 1.8078911944768938, 'confidence': 0.05686729897382381, 'FD_Position': 'SS'}}</t>
  </si>
  <si>
    <t>{'Hanser Alberto_batter': {'Salary': 2600.0, 'projected_FD_points': 2.25, 'confidence': 0, 'FD_Position': '2B'}, 'Dioner Navarro_batter': {'Salary': 2200.0, 'projected_FD_points': 2.5895674371967248, 'confidence': -0.63044643052089788, 'FD_Position': 'C'}, 'Jose Bautista_batter': {'Salary': 4700.0, 'projected_FD_points': 3.7555333833189333, 'confidence': -0.020002524193740934, 'FD_Position': 'OF'}, 'Josh Donaldson_batter': {'Salary': 4900.0, 'projected_FD_points': 3.3761698800694493, 'confidence': -0.067594209253974968, 'FD_Position': '3B'}, 'Chris Colabello_batter': {'Salary': 2800.0, 'projected_FD_points': 3.2353722254470263, 'confidence': -0.0037016695457161575, 'FD_Position': 'OF'}, 'Preston Tucker_batter': {'Salary': 2900.0, 'projected_FD_points': 3.4676547063108485, 'confidence': -1.4284555718078265, 'FD_Position': 'OF'}, 'Danny Salazar_pitcher': {'Salary': 9100.0, 'projected_FD_points': 12.21445794276022, 'confidence': -4.7266167431853532, 'FD_Position': 'P'}, 'Brandon Crawford_batter': {'Salary': 3000.0, 'projected_FD_points': 2.8666581447070887, 'confidence': -0.072819056563791396, 'FD_Position': 'SS'}, 'Joe Mauer_batter': {'Salary': 2800.0, 'projected_FD_points': 2.6471846697939503, 'confidence': -0.064828424276035967, 'FD_Position': '1B'}}</t>
  </si>
  <si>
    <t>{'Jarrod Saltalamacchia_batter': {'Salary': 2300.0, 'projected_FD_points': 1.8332280395093219, 'confidence': 0.052351319912661065, 'FD_Position': 'C'}, 'Ruben Tejada_batter': {'Salary': 2700.0, 'projected_FD_points': 2.0304403976773955, 'confidence': -0.50032960151900774, 'FD_Position': '2B'}, 'Charlie Blackmon_batter': {'Salary': 4000.0, 'projected_FD_points': 3.6172297548934313, 'confidence': -0.16572901561243136, 'FD_Position': 'OF'}, 'Lucas Duda_batter': {'Salary': 3600.0, 'projected_FD_points': 3.0856215512452527, 'confidence': -0.06432409397872485, 'FD_Position': '1B'}, 'Anthony Rendon_batter': {'Salary': 3800.0, 'projected_FD_points': 2.9872111834190962, 'confidence': 0.094775037379006388, 'FD_Position': '3B'}, 'Dexter Fowler_batter': {'Salary': 3300.0, 'projected_FD_points': 3.9044774884229314, 'confidence': -0.19253126016782418, 'FD_Position': 'OF'}, 'Jacob Elmore_batter': {'Salary': 2200.0, 'projected_FD_points': 3.1086322130070361, 'confidence': 0.10229799694930841, 'FD_Position': 'SS'}, 'Michael Cuddyer_batter': {'Salary': 2700.0, 'projected_FD_points': 3.7776158341847292, 'confidence': -1.4315082539056689, 'FD_Position': 'OF'}, 'Jacob deGrom_pitcher': {'Salary': 10400.0, 'projected_FD_points': 16.108131795268889, 'confidence': -0.42770128587348388, 'FD_Position': 'P'}}</t>
  </si>
  <si>
    <t>{'Russell Martin_batter': {'Salary': 3000.0, 'projected_FD_points': 2.7184535616442798, 'confidence': -0.13900425954713569, 'FD_Position': 'C'}, 'Neil Walker_batter': {'Salary': 2800.0, 'projected_FD_points': 2.6148605127808757, 'confidence': 0.0046080368432217522, 'FD_Position': '2B'}, 'Jose Bautista_batter': {'Salary': 4900.0, 'projected_FD_points': 4.0635561354130889, 'confidence': -0.096503168702570141, 'FD_Position': 'OF'}, 'Kennys Vargas_batter': {'Salary': 2500.0, 'projected_FD_points': 3.266443304514298, 'confidence': -0.03116855651078132, 'FD_Position': '1B'}, 'Maikel Franco_batter': {'Salary': 2900.0, 'projected_FD_points': 3.2138159157112094, 'confidence': -2.3954313149952311, 'FD_Position': '3B'}, 'Alex Gordon_batter': {'Salary': 2700.0, 'projected_FD_points': 2.4817920832350451, 'confidence': -0.19948647270348441, 'FD_Position': 'OF'}, 'Chris Sale_pitcher': {'Salary': 10900.0, 'projected_FD_points': 15.39103857563236, 'confidence': -0.86225182905247921, 'FD_Position': 'P'}, 'Chris Colabello_batter': {'Salary': 2900.0, 'projected_FD_points': 3.5010843030334526, 'confidence': -0.062013622636290844, 'FD_Position': 'OF'}, 'Alexei Ramirez_batter': {'Salary': 2400.0, 'projected_FD_points': 2.8108592169572084, 'confidence': -0.10483404589036782, 'FD_Position': 'SS'}}</t>
  </si>
  <si>
    <t>{'Corey Kluber_pitcher': {'Salary': 11100.0, 'projected_FD_points': 20.4375391047326, 'confidence': -4.4311029990646835, 'FD_Position': 'P'}, 'Michael Cuddyer_batter': {'Salary': 2600.0, 'projected_FD_points': 3.2584705521538773, 'confidence': -0.16377625069874235, 'FD_Position': 'OF'}, 'Yan Gomes_batter': {'Salary': 2200.0, 'projected_FD_points': 2.7327436105002403, 'confidence': -0.10376892560704376, 'FD_Position': 'C'}, 'Maikel Franco_batter': {'Salary': 3100.0, 'projected_FD_points': 3.183858243074341, 'confidence': -0.96479830175022352, 'FD_Position': '3B'}, 'Dexter Fowler_batter': {'Salary': 3300.0, 'projected_FD_points': 3.9066316766636033, 'confidence': -0.26605452595202039, 'FD_Position': 'OF'}, 'Nelson Cruz_batter': {'Salary': 3700.0, 'projected_FD_points': 3.7426190788401117, 'confidence': -0.062820679758818665, 'FD_Position': 'OF'}, 'Jordy Mercer_batter': {'Salary': 2600.0, 'projected_FD_points': 2.800032159893878, 'confidence': -0.24124522697875661, 'FD_Position': 'SS'}, 'Jose Abreu_batter': {'Salary': 3400.0, 'projected_FD_points': 3.0750077879976185, 'confidence': 0.086553239728353826, 'FD_Position': '1B'}, 'Neil Walker_batter': {'Salary': 2800.0, 'projected_FD_points': 2.9286160504901257, 'confidence': 0.0078649375320292148, 'FD_Position': '2B'}}</t>
  </si>
  <si>
    <t>{'Lucas Duda_batter': {'Salary': 3400.0, 'projected_FD_points': 3.5672817507541574, 'confidence': -0.013606740591552535, 'FD_Position': '1B'}, 'Dexter Fowler_batter': {'Salary': 3300.0, 'projected_FD_points': 4.5679941382656706, 'confidence': -0.21174195545919705, 'FD_Position': 'OF'},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'Josh Donaldson_batter': {'Salary': 4900.0, 'projected_FD_points': 3.3562153373156804, 'confidence': -0.1841206997620044, 'FD_Position': '3B'}, 'Neil Walker_batter': {'Salary': 2900.0, 'projected_FD_points': 2.5790478364085971, 'confidence': 0.0084733720658829448, 'FD_Position': '2B'}, 'Michael Cuddyer_batter': {'Salary': 2600.0, 'projected_FD_points': 4.2829541670667579, 'confidence': -0.1005769317488161, 'FD_Position': 'OF'}, 'Melky Cabrera_batter': {'Salary': 2200.0, 'projected_FD_points': 2.5677479110485719, 'confidence': -0.40214671212969422, 'FD_Position': 'OF'}}</t>
  </si>
  <si>
    <t>{'Lucas Duda_batter': {'Salary': 3400.0, 'projected_FD_points': 3.5672817507541574, 'confidence': -0.013606740591552535, 'FD_Position': '1B'},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'Aramis Ramirez_batter': {'Salary': 2200.0, 'projected_FD_points': 2.4148826841497684, 'confidence': -0.095590203035565979, 'FD_Position': '3B'}, 'Brian Dozier_batter': {'Salary': 4100.0, 'projected_FD_points': 2.8900523560209423, 'confidence': -0.0046174901510882549, 'FD_Position': '2B'}, 'Dexter Fowler_batter': {'Salary': 3300.0, 'projected_FD_points': 4.5679941382656706, 'confidence': -0.21174195545919705, 'FD_Position': 'OF'}, 'Michael Cuddyer_batter': {'Salary': 2600.0, 'projected_FD_points': 4.2829541670667579, 'confidence': -0.1005769317488161, 'FD_Position': 'OF'}, 'Starling Marte_batter': {'Salary': 3700.0, 'projected_FD_points': 3.0931816809886614, 'confidence': -0.060456426934522467, 'FD_Position': 'OF'}}</t>
  </si>
  <si>
    <t>{'Russell Martin_batter': {'Salary': 3300.0, 'projected_FD_points': 2.7307156006401105, 'confidence': -0.013839661579573059, 'FD_Position': 'C'}, 'Ben Revere_batter': {'Salary': 3000.0, 'projected_FD_points': 2.4932733270000895, 'confidence': 0.023233600968238122, 'FD_Position': 'OF'}, 'Jose Bautista_batter': {'Salary': 5400.0, 'projected_FD_points': 3.7157646961381978, 'confidence': 0.03836569487123509, 'FD_Position': 'OF'}, 'Tom Koehler_pitcher': {'Salary': 6600.0, 'projected_FD_points': 8.9694973229614341, 'confidence': -0.23455543199235951, 'FD_Position': 'P'}, 'Maikel Franco_batter': {'Salary': 3100.0, 'projected_FD_points': 2.6439838159748406, 'confidence': -0.29655006978280141, 'FD_Position': '3B'}, 'Jay Bruce_batter': {'Salary': 3100.0, 'projected_FD_points': 2.5851288496696783, 'confidence': -0.0011400625114077467, 'FD_Position': 'OF'}, 'Jose Reyes_batter': {'Salary': 4000.0, 'projected_FD_points': 2.817527098952239, 'confidence': -0.10302144226616972, 'FD_Position': 'SS'}, 'Chase Utley_batter': {'Salary': 2500.0, 'projected_FD_points': 1.8785369165420818, 'confidence': 0.040048046572272122, 'FD_Position': '2B'}, 'Joey Votto_batter': {'Salary': 4000.0, 'projected_FD_points': 2.9288768912249368, 'confidence': -0.12166340607772952, 'FD_Position': '1B'}}</t>
  </si>
  <si>
    <t>{'Tsuyoshi Wada_pitcher': {'Salary': 6300.0, 'projected_FD_points': 11.853797818193051, 'confidence': -0.36719261483948795, 'FD_Position': 'P'}, 'Dexter Fowler_batter': {'Salary': 3200.0, 'projected_FD_points': 4.3000758909174532, 'confidence': -0.008916548471316954, 'FD_Position': 'OF'}, 'Jonathan Lucroy_batter': {'Salary': 2700.0, 'projected_FD_points': 2.320231141284177, 'confidence': -0.0051138290419849852, 'FD_Position': 'C'}, 'Lucas Duda_batter': {'Salary': 3300.0, 'projected_FD_points': 2.8132088975824372, 'confidence': -0.35439934816471985, 'FD_Position': '1B'}, 'Joey Butler_batter': {'Salary': 3100.0, 'projected_FD_points': 3.5575620978016413, 'confidence': -0.10698701241717079, 'FD_Position': 'OF'}, 'Troy Tulowitzki_batter': {'Salary': 4500.0, 'projected_FD_points': 3.0296840181257121, 'confidence': 0.14370548061233857, 'FD_Position': 'SS'}, 'Giancarlo Stanton_batter': {'Salary': 5300.0, 'projected_FD_points': 4.1464635101803218, 'confidence': -0.06792962048677742, 'FD_Position': 'OF'}, 'Addison Russell_batter': {'Salary': 2400.0, 'projected_FD_points': 2.2825398169266178, 'confidence': -3.6628545138611193, 'FD_Position': '2B'}, 'Nolan Arenado_batter': {'Salary': 4000.0, 'projected_FD_points': 2.894790270975764, 'confidence': -0.0687750145813526,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</si>
  <si>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'Tsuyoshi Wada_pitcher': {'Salary': 6300.0, 'projected_FD_points': 11.853797818193051, 'confidence': -0.36719261483948795, 'FD_Position': 'P'}, 'Jonathan Lucroy_batter': {'Salary': 2700.0, 'projected_FD_points': 2.320231141284177, 'confidence': -0.0051138290419849852, 'FD_Position': 'C'}, 'Denard Span_batter': {'Salary': 2800.0, 'projected_FD_points': 2.4345226957708075, 'confidence': -0.014069451402588085, 'FD_Position': 'OF'}, 'Todd Frazier_batter': {'Salary': 4400.0, 'projected_FD_points': 2.6596032201955335, 'confidence': -0.083893148589238464, 'FD_Position': '3B'}, 'Bryce Harper_batter': {'Salary': 5600.0, 'projected_FD_points': 2.7941767315258064, 'confidence': 0.024111488931457981, 'FD_Position': 'OF'}, 'Dexter Fowler_batter': {'Salary': 3200.0, 'projected_FD_points': 4.3000758909174532, 'confidence': -0.008916548471316954, 'FD_Position': 'OF'},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</si>
  <si>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'Dexter Fowler_batter': {'Salary': 3300.0, 'projected_FD_points': 4.1465506382631983, 'confidence': 0.018083004900589561, 'FD_Position': 'OF'}, 'Robinson Cano_batter': {'Salary': 2400.0, 'projected_FD_points': 2.2469358920860976, 'confidence': -0.018600750821883283,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'Adrian Gonzalez_batter': {'Salary': 3400.0, 'projected_FD_points': 2.7811233267518012, 'confidence': 0.025598432609706623, 'FD_Position': '1B'}, 'Jacob Elmore_batter': {'Salary': 2200.0, 'projected_FD_points': 3.1177984209103613, 'confidence': -8.4960168827929223, 'FD_Position': 'SS'}, 'Michael Cuddyer_batter': {'Salary': 2500.0, 'projected_FD_points': 2.9921143425652179, 'confidence': -0.31243742099070215, 'FD_Position': 'OF'}}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</si>
  <si>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'Neil Walker_batter': {'Salary': 2700.0, 'projected_FD_points': 2.4345539393496338, 'confidence': -0.069684708368707104,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'Christian Yelich_batter': {'Salary': 2500.0, 'projected_FD_points': 2.8243984033445244, 'confidence': 0.012486793021923126, 'FD_Position': 'OF'}, 'Jacob Elmore_batter': {'Salary': 2200.0, 'projected_FD_points': 3.1177984209103613, 'confidence': -8.4960168827929223, 'FD_Position': 'SS'}, 'Jose Abreu_batter': {'Salary': 3800.0, 'projected_FD_points': 3.1434037521915599, 'confidence': 0.010000073151581912, 'FD_Position': '1B'}, 'Michael Cuddyer_batter': {'Salary': 2500.0, 'projected_FD_points': 2.9921143425652179, 'confidence': -0.31243742099070215, 'FD_Position': 'OF'}}</t>
  </si>
  <si>
    <t>FD Median, Moneyline, Proj Runs for All</t>
  </si>
  <si>
    <t>{'Adrian Beltre_batter': {'Salary': 3100.0, 'projected_FD_points': 3.1438970028208786, 'confidence': -0.15234797563723546, 'FD_Position': '3B'}, 'Dexter Fowler_batter': {'Salary': 3200.0, 'projected_FD_points': 3.7633165207583241, 'confidence': -5.4824331998632534,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'Carlos Peguero_batter': {'Salary': 2800.0, 'projected_FD_points': 3.1760541673413867, 'confidence': -0.382783475645597, 'FD_Position': 'OF'}, 'Blake Swihart_batter': {'Salary': 2200.0, 'projected_FD_points': 3.6059999999999981, 'confidence': 0, 'FD_Position': 'C'}, 'Daniel Santana_batter': {'Salary': 2700.0, 'projected_FD_points': 2.3916297759521647, 'confidence': -0.052706624351695153, 'FD_Position': 'SS'}, 'Adrian Gonzalez_batter': {'Salary': 4500.0, 'projected_FD_points': 3.4233485648019197, 'confidence': -0.03919230642729632, 'FD_Position': '1B'}, 'Chris Colabello_batter': {'Salary': 2400.0, 'projected_FD_points': 2.8800925877096675, 'confidence': -0.11396825674528421, 'FD_Position': 'OF'}}</t>
  </si>
  <si>
    <t>{'Michael Brantley_batter': {'Salary': 4400.0, 'projected_FD_points': 3.2739737020486519, 'confidence': -0.081118539548917568, 'FD_Position': 'OF'}, 'Adrian Beltre_batter': {'Salary': 3100.0, 'projected_FD_points': 3.1438970028208786, 'confidence': -0.15234797563723546, 'FD_Position': '3B'}, 'Anthony Rizzo_batter': {'Salary': 4500.0, 'projected_FD_points': 3.3122935130981972, 'confidence': -0.12248014758016201, 'FD_Position': '1B'}, 'Brian Dozier_batter': {'Salary': 3500.0, 'projected_FD_points': 2.798386594683719, 'confidence': -0.00084570793343896611, 'FD_Position': '2B'}, 'Vance Worley_pitcher': {'Salary': 6600.0, 'projected_FD_points': 11.464183723180673, 'confidence': -0.78556994144140746, 'FD_Position': 'P'}, 'Carlos Peguero_batter': {'Salary': 2800.0, 'projected_FD_points': 3.1760541673413867, 'confidence': -0.382783475645597, 'FD_Position': 'OF'}, 'Daniel Santana_batter': {'Salary': 2700.0, 'projected_FD_points': 2.3916297759521647, 'confidence': -0.052706624351695153, 'FD_Position': 'SS'}, 'Kurt Suzuki_batter': {'Salary': 2300.0, 'projected_FD_points': 1.6587119406422688, 'confidence': 0.019997079602096735, 'FD_Position': 'C'}, 'Dexter Fowler_batter': {'Salary': 3200.0, 'projected_FD_points': 3.7633165207583241, 'confidence': -5.4824331998632534, 'FD_Position': 'OF'}}</t>
  </si>
  <si>
    <t>{'Jay Bruce_batter': {'Salary': 2500.0, 'projected_FD_points': 2.466233338549837, 'confidence': 0.11444857848906054,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'Blake Swihart_batter': {'Salary': 2200.0, 'projected_FD_points': 3.6059999999999981, 'confidence': 0, 'FD_Position': 'C'}, 'Chris Colabello_batter': {'Salary': 2400.0, 'projected_FD_points': 2.8800925877096675, 'confidence': -0.11396825674528421, 'FD_Position': 'OF'}, 'Adrian Gonzalez_batter': {'Salary': 4500.0, 'projected_FD_points': 3.4233485648019197, 'confidence': -0.03919230642729632, 'FD_Position': '1B'}, 'Justin Upton_batter': {'Salary': 4100.0, 'projected_FD_points': 2.909419801473482, 'confidence': -0.01192356537389494, 'FD_Position': 'OF'}, 'Kyle Seager_batter': {'Salary': 3200.0, 'projected_FD_points': 3.0695018129003038, 'confidence': -0.0019696581740078489, 'FD_Position': '3B'}, 'Jose Pirela_batter': {'Salary': 2200.0, 'projected_FD_points': 1.7575645126913564, 'confidence': 0, 'FD_Position': 'SS'}}</t>
  </si>
  <si>
    <t>{'Adrian Beltre_batter': {'Salary': 3100.0, 'projected_FD_points': 3.1438970028208786, 'confidence': -0.15234797563723546, 'FD_Position': '3B'}, 'Starlin Castro_batter': {'Salary': 3100.0, 'projected_FD_points': 1.9396453550393007, 'confidence': -0.017867389817296075, 'FD_Position': 'SS'}, 'Anthony Rizzo_batter': {'Salary': 4500.0, 'projected_FD_points': 3.3122935130981972, 'confidence': -0.12248014758016201, 'FD_Position': '1B'}, 'Carlos Peguero_batter': {'Salary': 2800.0, 'projected_FD_points': 3.1760541673413867, 'confidence': -0.382783475645597, 'FD_Position': 'OF'}, 'Alex Gordon_batter': {'Salary': 3500.0, 'projected_FD_points': 2.434867220107324, 'confidence': -0.0095633926123877, 'FD_Position': 'OF'}, 'Dexter Fowler_batter': {'Salary': 3200.0, 'projected_FD_points': 3.7633165207583241, 'confidence': -5.4824331998632534, 'FD_Position': 'OF'}, 'Omar Infante_batter': {'Salary': 2300.0, 'projected_FD_points': 2.292722075678463, 'confidence': -0.056089380800217414, 'FD_Position': '2B'}, 'Anthony Recker_batter': {'Salary': 2200.0, 'projected_FD_points': 1.4780710082973907, 'confidence': -0.012456638971885425, 'FD_Position': 'C'}, 'Travis Wood_pitcher': {'Salary': 7000.0, 'projected_FD_points': 9.6643050201362364, 'confidence': 0.29415103042822122, 'FD_Position': 'P'}}</t>
  </si>
  <si>
    <t>{'Adrian Beltre_batter': {'Salary': 3100.0, 'projected_FD_points': 3.2102936616768485, 'confidence': -0.11829956435286815, 'FD_Position': '3B'}, 'J.D. Martinez_batter': {'Salary': 3100.0, 'projected_FD_points': 3.2136989370045881, 'confidence': -0.081357965230710816,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'Dexter Fowler_batter': {'Salary': 3100.0, 'projected_FD_points': 4.4266489365084123, 'confidence': -0.055406029248735722, 'FD_Position': 'OF'},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'Jason Castro_batter': {'Salary': 2400.0, 'projected_FD_points': 2.3795968683368596, 'confidence': -0.099572384213175935, 'FD_Position': 'C'}}</t>
  </si>
  <si>
    <t>{'Adrian Beltre_batter': {'Salary': 3100.0, 'projected_FD_points': 3.2102936616768485, 'confidence': -0.11829956435286815, 'FD_Position': '3B'}, 'Delino Deshields Jr._batter': {'Salary': 3300.0, 'projected_FD_points': 3.2294662897435913, 'confidence': -0.022116180926198936,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'Michael Cuddyer_batter': {'Salary': 2500.0, 'projected_FD_points': 3.1201880805473632, 'confidence': -0.74828666838208679, 'FD_Position': 'OF'}, 'Jason Castro_batter': {'Salary': 2400.0, 'projected_FD_points': 2.3795968683368596, 'confidence': -0.099572384213175935, 'FD_Position': 'C'}}</t>
  </si>
  <si>
    <t>{'Kris Bryant_batter': {'Salary': 3800.0, 'projected_FD_points': 3.7869129980580594, 'confidence': -0.90784419701618457, 'FD_Position': '3B'}, 'Jimmy Paredes_batter': {'Salary': 3500.0, 'projected_FD_points': 4.1936419143155215, 'confidence': -0.57811266553937979, 'FD_Position': '2B'}, 'Lucas Duda_batter': {'Salary': 3100.0, 'projected_FD_points': 3.1659439195863399, 'confidence': -0.13173641190618857, 'FD_Position': '1B'}, 'Blake Swihart_batter': {'Salary': 2200.0, 'projected_FD_points': 5.479279267787831, 'confidence': 0, 'FD_Position': 'C'}, 'Daniel Santana_batter': {'Salary': 2700.0, 'projected_FD_points': 3.0692446901377917, 'confidence': -0.11246239566232763, 'FD_Position': 'SS'}, 'Dexter Fowler_batter': {'Salary': 3400.0, 'projected_FD_points': 4.1809843616858222, 'confidence': -0.21327740970032383, 'FD_Position': 'OF'}, 'Giancarlo Stanton_batter': {'Salary': 4600.0, 'projected_FD_points': 4.3193682948478163, 'confidence': -0.043161314602450096, 'FD_Position': 'OF'},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</si>
  <si>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{'Kris Bryant_batter': {'Salary': 3800.0, 'projected_FD_points': 3.7869129980580594, 'confidence': -0.90784419701618457, 'FD_Position': '3B'}, 'Gerrit Cole_pitcher': {'Salary': 9300.0, 'projected_FD_points': 14.49413022293238, 'confidence': -1.1931076575801711, 'FD_Position': 'P'}, 'Neil Walker_batter': {'Salary': 2900.0, 'projected_FD_points': 2.3481444003678997, 'confidence': -0.2537929348860728, 'FD_Position': '2B'}, 'Daniel Santana_batter': {'Salary': 2700.0, 'projected_FD_points': 3.0692446901377917, 'confidence': -0.11246239566232763, 'FD_Position': 'SS'}, 'Kurt Suzuki_batter': {'Salary': 2400.0, 'projected_FD_points': 1.9555487722570217, 'confidence': -0.87850416799692965, 'FD_Position': 'C'}, 'Dexter Fowler_batter': {'Salary': 3400.0, 'projected_FD_points': 4.1809843616858222, 'confidence': -0.21327740970032383, 'FD_Position': 'OF'}, 'Marcell Ozuna_batter': {'Salary': 3100.0, 'projected_FD_points': 2.9068841132954071, 'confidence': 0.033117431746019999, 'FD_Position': 'OF'}, 'Giancarlo Stanton_batter': {'Salary': 4600.0, 'projected_FD_points': 4.3193682948478163, 'confidence': -0.043161314602450096, 'FD_Position': 'OF'}, 'Joe Mauer_batter': {'Salary': 2800.0, 'projected_FD_points': 2.2762796556405585, 'confidence': 0.01678731955205981, 'FD_Position': '1B'}}</t>
  </si>
  <si>
    <t>{'Jimmy Paredes_batter': {'Salary': 3500.0, 'projected_FD_points': 4.1936419143155215, 'confidence': -0.57811266553937979, 'FD_Position': '2B'}, 'Paul Goldschmidt_batter': {'Salary': 5300.0, 'projected_FD_points': 3.6559845187629247, 'confidence': -0.11521842533447058, 'FD_Position': '1B'}, 'Marcus Semien_batter': {'Salary': 3500.0, 'projected_FD_points': 2.6587923233289343, 'confidence': -0.18420732798936079, 'FD_Position': 'SS'}, 'Blake Swihart_batter': {'Salary': 2200.0, 'projected_FD_points': 5.479279267787831, 'confidence': 0, 'FD_Position': 'C'}, 'Chris Colabello_batter': {'Salary': 2300.0, 'projected_FD_points': 2.7923091346425766, 'confidence': -0.037621857795220093, 'FD_Position': 'OF'}, 'Adam Jones_batter': {'Salary': 3600.0, 'projected_FD_points': 3.0177677265588563, 'confidence': -1.111139234325865, 'FD_Position': 'OF'}, 'Kyle Seager_batter': {'Salary': 3100.0, 'projected_FD_points': 3.5613619558606096, 'confidence': -0.13941629941909994, 'FD_Position': '3B'},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</si>
  <si>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{'Jimmy Paredes_batter': {'Salary': 3400.0, 'projected_FD_points': 3.6610452636638948, 'confidence': -0.082317452540825675, 'FD_Position': '2B'}, 'Adrian Gonzalez_batter': {'Salary': 4400.0, 'projected_FD_points': 3.8438905986473628, 'confidence': -0.057768359155512261, 'FD_Position': '1B'}, 'Dexter Fowler_batter': {'Salary': 3500.0, 'projected_FD_points': 4.1376098555428555, 'confidence': 0.019663033896933135, 'FD_Position': 'OF'}, 'Chris Coghlan_batter': {'Salary': 2400.0, 'projected_FD_points': 3.2693859971678227, 'confidence': -0.14996325873024841, 'FD_Position': 'OF'}, 'James McCann_batter': {'Salary': 2400.0, 'projected_FD_points': 3.8829491137200911, 'confidence': -0.58089407438629537, 'FD_Position': 'C'}, 'Daniel Santana_batter': {'Salary': 2800.0, 'projected_FD_points': 2.7505671035209223, 'confidence': -0.27602385588329126, 'FD_Position': 'SS'}, 'Chris Heston_pitcher': {'Salary': 7400.0, 'projected_FD_points': 14.816760825917953, 'confidence': 0, 'FD_Position': 'P'}, 'Kyle Seager_batter': {'Salary': 3000.0, 'projected_FD_points': 3.3478126843229616, 'confidence': -0.13621961326003218, 'FD_Position': '3B'}, 'Giancarlo Stanton_batter': {'Salary': 4800.0, 'projected_FD_points': 4.457066164299885, 'confidence': -0.33366893162424582, 'FD_Position': 'OF'}}</t>
  </si>
  <si>
    <t>{'Robinson Chirinos_batter': {'Salary': 2400.0, 'projected_FD_points': 2.2899147842361778, 'confidence': -0.35797603307873138, 'FD_Position': 'C'}, 'Jose Altuve_batter': {'Salary': 4700.0, 'projected_FD_points': 3.4166061858041936, 'confidence': -0.03258577575324062, 'FD_Position': '2B'}, 'Chris Coghlan_batter': {'Salary': 2400.0, 'projected_FD_points': 3.2693859971678227, 'confidence': -0.14996325873024841, 'FD_Position': 'OF'}, 'A.J. Burnett_pitcher': {'Salary': 8400.0, 'projected_FD_points': 13.581853624456892, 'confidence': 0.0038061124500845533, 'FD_Position': 'P'}, 'Prince Fielder_batter': {'Salary': 3500.0, 'projected_FD_points': 3.0937652354425169, 'confidence': -0.52211069367632268, 'FD_Position': '1B'}, 'Daniel Santana_batter': {'Salary': 2800.0, 'projected_FD_points': 2.7505671035209223, 'confidence': -0.27602385588329126, 'FD_Position': 'SS'}, 'Dexter Fowler_batter': {'Salary': 3500.0, 'projected_FD_points': 4.1376098555428555, 'confidence': 0.019663033896933135, 'FD_Position': 'OF'}, 'Josh Harrison_batter': {'Salary': 3100.0, 'projected_FD_points': 2.8923888125402306, 'confidence': -0.043055474124277904, 'FD_Position': '3B'}, 'Starling Marte_batter': {'Salary': 4000.0, 'projected_FD_points': 3.5766211363427156, 'confidence': -0.054224712423301291, 'FD_Position': 'OF'}}</t>
  </si>
  <si>
    <t>{'Yasmany Tomas_batter': {'Salary': 2700.0, 'projected_FD_points': 2.6685185383085699, 'confidence': 0.0038190504915619483, 'FD_Position': '3B'}, 'Anthony Rizzo_batter': {'Salary': 4700.0, 'projected_FD_points': 3.6936722224454632, 'confidence': -0.039878307900398813, 'FD_Position': '1B'}, 'Dexter Fowler_batter': {'Salary': 3500.0, 'projected_FD_points': 4.1376098555428555, 'confidence': 0.019663033896933135, 'FD_Position': 'OF'}, 'Evan Gattis_batter': {'Salary': 3100.0, 'projected_FD_points': 2.7448389971361515, 'confidence': -0.11661326552184126, 'FD_Position': 'C'}, 'Chris Coghlan_batter': {'Salary': 2400.0, 'projected_FD_points': 3.2693859971678227, 'confidence': -0.14996325873024841, 'FD_Position': 'OF'}, 'Jimmy Paredes_batter': {'Salary': 3400.0, 'projected_FD_points': 3.6610452636638948, 'confidence': -0.082317452540825675, 'FD_Position': '2B'}, 'Daniel Santana_batter': {'Salary': 2800.0, 'projected_FD_points': 2.7505671035209223, 'confidence': -0.27602385588329126, 'FD_Position': 'SS'}, 'Chris Heston_pitcher': {'Salary': 7400.0, 'projected_FD_points': 14.816760825917953, 'confidence': 0, 'FD_Position': 'P'}, 'Giancarlo Stanton_batter': {'Salary': 4800.0, 'projected_FD_points': 4.457066164299885, 'confidence': -0.33366893162424582, 'FD_Position': 'OF'}}</t>
  </si>
  <si>
    <t>{'Adam Eaton_batter': {'Salary': 2700.0, 'projected_FD_points': 2.8754211766458977, 'confidence': -0.78794001899379373,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3.8829491137200911, 'confidence': -0.58089407438629537, 'FD_Position': 'C'}, 'Marcus Semien_batter': {'Salary': 3400.0, 'projected_FD_points': 2.2713145987924208, 'confidence': -0.11855790321037141, 'FD_Position': 'SS'}, 'Adrian Gonzalez_batter': {'Salary': 4400.0, 'projected_FD_points': 3.8438905986473628, 'confidence': -0.057768359155512261, 'FD_Position': '1B'}, 'Justin Upton_batter': {'Salary': 4000.0, 'projected_FD_points': 2.8913818782435121, 'confidence': -0.17097469654415431, 'FD_Position': 'OF'}, 'Kyle Seager_batter': {'Salary': 3000.0, 'projected_FD_points': 3.3478126843229616, 'confidence': -0.13621961326003218, 'FD_Position': '3B'}, 'Lance Lynn_pitcher': {'Salary': 8600.0, 'projected_FD_points': 12.714195258351317, 'confidence': -0.52665020576330068, 'FD_Position': 'P'}}</t>
  </si>
  <si>
    <t>{'Dee Gordon_batter': {'Salary': 3900.0, 'projected_FD_points': 2.6181924022480021, 'confidence': -0.61624655918975346, 'FD_Position': '2B'}, 'Chris Iannetta_batter': {'Salary': 2300.0, 'projected_FD_points': 2.5116117890560345, 'confidence': -0.078142445659208581, 'FD_Position': 'C'},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'SS'}}</t>
  </si>
  <si>
    <t>{'Dee Gordon_batter': {'Salary': 3900.0, 'projected_FD_points': 2.6181924022480021, 'confidence': -0.61624655918975346, 'FD_Position': '2B'},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'SS'}, 'Jason Castro_batter': {'Salary': 2300.0, 'projected_FD_points': 2.3493580243200975, 'confidence': 0.0050191437360228575, 'FD_Position': 'C'}}</t>
  </si>
  <si>
    <t>{'Albert Pujols_batter': {'Salary': 2900.0, 'projected_FD_points': 2.5683457071635583, 'confidence': -0.17595289299288597, 'FD_Position': '1B'}, 'Seth Smith_batter': {'Salary': 2400.0, 'projected_FD_points': 2.026804355300234, 'confidence': -0.056884181475408635, 'FD_Position': 'OF'}, 'Erick Aybar_batter': {'Salary': 2200.0, 'projected_FD_points': 1.9621833175910437, 'confidence': -0.16578640485063167, 'FD_Position': 'SS'}, 'Robinson Cano_batter': {'Salary': 3400.0, 'projected_FD_points': 2.5230962637289864, 'confidence': -0.048045927564732915, 'FD_Position': '2B'}, 'James Shields_pitcher': {'Salary': 8700.0, 'projected_FD_points': 11.087587087351176, 'confidence': -0.67408562192471311, 'FD_Position': 'P'}, 'Mike Zunino_batter': {'Salary': 2200.0, 'projected_FD_points': 1.5599356030427214, 'confidence': -0.10902983265789978, 'FD_Position': 'C'}, 'Mike Trout_batter': {'Salary': 5400.0, 'projected_FD_points': 3.5407888609946299, 'confidence': -0.10441623405824352, 'FD_Position': 'OF'}, 'Kyle Seager_batter': {'Salary': 3000.0, 'projected_FD_points': 2.7256538800982031, 'confidence': 0.099500948779519427, 'FD_Position': '3B'}, 'Nelson Cruz_batter': {'Salary': 4800.0, 'projected_FD_points': 3.1682284865864405, 'confidence': -0.23946221985298233, 'FD_Position': 'OF'}}</t>
  </si>
  <si>
    <t>{'Yoenis Cespedes_batter': {'Salary': 2900.0, 'projected_FD_points': 2.9314821616288786, 'confidence': -0.17050012524899527, 'FD_Position': 'OF'}, 'Jimmy Paredes_batter': {'Salary': 3400.0, 'projected_FD_points': 3.4286074418775314, 'confidence': -0.22356937775893337, 'FD_Position': '2B'}, 'Alex Rodriguez_batter': {'Salary': 3300.0, 'projected_FD_points': 3.7659682562128403, 'confidence': -0.14614565731412088, 'FD_Position': '3B'}, 'Ian Kennedy_pitcher': {'Salary': 8000.0, 'projected_FD_points': 13.04814452219026, 'confidence': -3.7451161276857361, 'FD_Position': 'P'}, 'Stephen Vogt_batter': {'Salary': 3700.0, 'projected_FD_points': 2.8476405929044821, 'confidence': -4.0428198340445531, 'FD_Position': 'C'}, 'Freddie Freeman_batter': {'Salary': 3900.0, 'projected_FD_points': 3.3000612710688535, 'confidence': -0.41860143293993102, 'FD_Position': '1B'}, 'Daniel Santana_batter': {'Salary': 2700.0, 'projected_FD_points': 2.5289977425894294, 'confidence': -0.1208452421767352, 'FD_Position': 'SS'}, 'Dexter Fowler_batter': {'Salary': 3300.0, 'projected_FD_points': 4.2381274731262675, 'confidence': -0.060816929163792555, 'FD_Position': 'OF'},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</si>
  <si>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'Russell Martin_batter': {'Salary': 3800.0, 'projected_FD_points': 2.8202642626904546, 'confidence': -0.019682204763050049, 'FD_Position': 'C'}, 'Alex Rodriguez_batter': {'Salary': 3300.0, 'projected_FD_points': 3.7659682562128403, 'confidence': -0.14614565731412088, 'FD_Position': '3B'}, 'J.D. Martinez_batter': {'Salary': 3000.0, 'projected_FD_points': 2.8748913679570096, 'confidence': -0.026375870285762826, 'FD_Position': 'OF'}, 'A.J. Burnett_pitcher': {'Salary': 8200.0, 'projected_FD_points': 12.715098528343523, 'confidence': -0.16816459276213847, 'FD_Position': 'P'}, 'Freddie Freeman_batter': {'Salary': 3900.0, 'projected_FD_points': 3.3000612710688535, 'confidence': -0.41860143293993102, 'FD_Position': '1B'}, 'Jimmy Paredes_batter': {'Salary': 3400.0, 'projected_FD_points': 3.4286074418775314, 'confidence': -0.22356937775893337, 'FD_Position': '2B'}, 'Daniel Santana_batter': {'Salary': 2700.0, 'projected_FD_points': 2.5289977425894294, 'confidence': -0.1208452421767352, 'FD_Position': 'SS'}, 'Andrew McCutchen_batter': {'Salary': 3800.0, 'projected_FD_points': 3.2732767675513568, 'confidence': -0.042853061780121937, 'FD_Position': 'OF'}}</t>
  </si>
  <si>
    <t>{'Kole Calhoun_batter': {'Salary': 3100.0, 'projected_FD_points': 2.8338692645396537, 'confidence': -0.008578986414604195, 'FD_Position': 'OF'}, 'Ian Kennedy_pitcher': {'Salary': 8000.0, 'projected_FD_points': 13.04814452219026, 'confidence': -3.7451161276857361, 'FD_Position': 'P'}, 'David Ortiz_batter': {'Salary': 2800.0, 'projected_FD_points': 2.5368044534056962, 'confidence': -0.31936435487597525, 'FD_Position': '1B'}, 'Stephen Vogt_batter': {'Salary': 3700.0, 'projected_FD_points': 2.8476405929044821, 'confidence': -4.0428198340445531, 'FD_Position': 'C'}, 'Mike Trout_batter': {'Salary': 5400.0, 'projected_FD_points': 3.760266133931669, 'confidence': -0.18943964913226896, 'FD_Position': 'OF'}, 'Kyle Seager_batter': {'Salary': 3000.0, 'projected_FD_points': 2.7673961096629349, 'confidence': -0.052466905660722762, 'FD_Position': '3B'}, 'Dustin Pedroia_batter': {'Salary': 2900.0, 'projected_FD_points': 2.4313444623853746, 'confidence': -0.19481241179394404, 'FD_Position': '2B'}, 'Jayson Werth_batter': {'Salary': 3000.0, 'projected_FD_points': 2.6955331283190542, 'confidence': 0.0010257272750531232, 'FD_Position': 'OF'}, 'Ian Desmond_batter': {'Salary': 2900.0, 'projected_FD_points': 2.4138423617909268, 'confidence': -0.090547878238097068, 'FD_Position': 'SS'}}</t>
  </si>
  <si>
    <t>{'Adrian Beltre_batter': {'Salary': 2900.0, 'projected_FD_points': 2.7017825936745576, 'confidence': -0.10792573207491896,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3.0453860748865322, 'confidence': -0.0057528079177640024, 'FD_Position': '2B'}, 'Alexei Ramirez_batter': {'Salary': 2700.0, 'projected_FD_points': 2.4379775041799303, 'confidence': -0.06803506204236065, 'FD_Position': 'SS'}, 'Dexter Fowler_batter': {'Salary': 3300.0, 'projected_FD_points': 4.2381274731262675, 'confidence': -0.060816929163792555, 'FD_Position': 'OF'}, 'Kyle Blanks_batter': {'Salary': 2700.0, 'projected_FD_points': 2.88358519636982, 'confidence': -0.4436287486626409, 'FD_Position': 'OF'}, 'Chris Sale_pitcher': {'Salary': 9600.0, 'projected_FD_points': 12.876054636852247, 'confidence': -0.21118050847697134, 'FD_Position': 'P'}, 'Jason Castro_batter': {'Salary': 2200.0, 'projected_FD_points': 2.2708318567297918, 'confidence': 0.050018872354220312, 'FD_Position': 'C'}}</t>
  </si>
  <si>
    <t>{'Anthony Rizzo_batter': {'Salary': 4400.0, 'projected_FD_points': 3.7975807317930776, 'confidence': -0.091756253071674898, 'FD_Position': '1B'}, 'Alex Rodriguez_batter': {'Salary': 3400.0, 'projected_FD_points': 3.5329983855513234, 'confidence': 0.0, 'FD_Position': '3B'}, 'Devon Travis_batter': {'Salary': 3400.0, 'projected_FD_points': 6.0735998437076777, 'confidence': -0.32739515999076096, 'FD_Position': '2B'}, 'Jordy Mercer_batter': {'Salary': 2300.0, 'projected_FD_points': 2.3710062972486168, 'confidence': 0.040653134134210456, 'FD_Position': 'SS'}, 'Jacob Realmuto_batter': {'Salary': 2200.0, 'projected_FD_points': 2.8042248781802517, 'confidence': -2.1999566572137632, 'FD_Position': 'C'}, 'Dexter Fowler_batter': {'Salary': 3300.0, 'projected_FD_points': 4.5801509465631813, 'confidence': -0.13524366145430711, 'FD_Position': 'OF'}, 'Jayson Werth_batter': {'Salary': 3100.0, 'projected_FD_points': 2.8478007647529089, 'confidence': -0.40805257911886139, 'FD_Position': 'OF'}, 'Jon Lester_pitcher': {'Salary': 9100.0, 'projected_FD_points': 16.48341815814878, 'confidence': -0.64834845778939787, 'FD_Position': 'P'}, 'Andrew McCutchen_batter': {'Salary': 3800.0, 'projected_FD_points': 3.4675639411113695, 'confidence': -0.035428919784843638, 'FD_Position': 'OF'}}</t>
  </si>
  <si>
    <t>{'Ian Desmond_batter': {'Salary': 2900.0, 'projected_FD_points': 2.4746953627272004, 'confidence': 0.018374218288450095, 'FD_Position': 'SS'}, 'Jacob Realmuto_batter': {'Salary': 2200.0, 'projected_FD_points': 2.8042248781802517, 'confidence': -2.1999566572137632, 'FD_Position': 'C'}, 'Justin Turner_batter': {'Salary': 2700.0, 'projected_FD_points': 2.310102895019559, 'confidence': -0.34489688409234498, 'FD_Position': '2B'}, 'Denard Span_batter': {'Salary': 3200.0, 'projected_FD_points': 2.6238977777050474, 'confidence': -0.028202916749533014, 'FD_Position': 'OF'}, 'Zack Greinke_pitcher': {'Salary': 10300.0, 'projected_FD_points': 13.985411632316787, 'confidence': -2.912883713456154, 'FD_Position': 'P'}, 'Mookie Betts_batter': {'Salary': 3300.0, 'projected_FD_points': 2.6914358775685732, 'confidence': -0.1670767888817779, 'FD_Position': 'OF'}, 'Adrian Gonzalez_batter': {'Salary': 4500.0, 'projected_FD_points': 3.7850796809202341, 'confidence': -0.030944070948499158, 'FD_Position': '1B'}, 'Brett Lawrie_batter': {'Salary': 2400.0, 'projected_FD_points': 2.3278593790944937, 'confidence': -0.0493832175805069, 'FD_Position': '3B'}, 'Jayson Werth_batter': {'Salary': 3100.0, 'projected_FD_points': 2.8478007647529089, 'confidence': -0.40805257911886139, 'FD_Position': 'OF'}}</t>
  </si>
  <si>
    <t>{'Robinson Chirinos_batter': {'Salary': 2500.0, 'projected_FD_points': 2.1197970902383148, 'confidence': 0.017370722218850054, 'FD_Position': 'C'}, 'Adrian Beltre_batter': {'Salary': 2700.0, 'projected_FD_points': 2.5708301535790898, 'confidence': 0.069830855910382295, 'FD_Position': '3B'}, 'Anthony Rizzo_batter': {'Salary': 4400.0, 'projected_FD_points': 3.7975807317930776, 'confidence': -0.091756253071674898, 'FD_Position': '1B'},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4.5801509465631813, 'confidence': -0.13524366145430711, 'FD_Position': 'OF'}, 'Michael Cuddyer_batter': {'Salary': 2600.0, 'projected_FD_points': 2.7051712874927709, 'confidence': -0.10492205327806969, 'FD_Position': 'OF'}, 'Alcides Escobar_batter': {'Salary': 2600.0, 'projected_FD_points': 1.9408187994315289, 'confidence': -0.022679356593996669, 'FD_Position': 'SS'}, 'Jon Lester_pitcher': {'Salary': 9100.0, 'projected_FD_points': 16.48341815814878, 'confidence': -0.64834845778939787, 'FD_Position': 'P'}}</t>
  </si>
  <si>
    <t>{'Avisail Garcia_batter': {'Salary': 2800.0, 'projected_FD_points': 4.0529716306598074, 'confidence': -0.11333975054716583, 'FD_Position': 'OF'}, 'Alex Rodriguez_batter': {'Salary': 3400.0, 'projected_FD_points': 5.3317586310370562, 'confidence': -0.76384715867062325, 'FD_Position': '3B'}, 'Stephen Vogt_batter': {'Salary': 3500.0, 'projected_FD_points': 3.2716274500488671, 'confidence': 0.001364191916415125, 'FD_Position': 'C'}, 'Lucas Duda_batter': {'Salary': 3100.0, 'projected_FD_points': 3.2993893612580441, 'confidence': -0.029918231321020228, 'FD_Position': '1B'}, 'Felix Hernandez_pitcher': {'Salary': 11300.0, 'projected_FD_points': 15.628769156110849, 'confidence': -4.6329246640681623, 'FD_Position': 'P'}, 'Jay Bruce_batter': {'Salary': 2800.0, 'projected_FD_points': 3.6380750862772064, 'confidence': -0.10727760027793121, 'FD_Position': 'OF'}, 'Devon Travis_batter': {'Salary': 3300.0, 'projected_FD_points': 4.4904562360291367, 'confidence': -0.99657381528128219, 'FD_Position': '2B'}, 'Chris Colabello_batter': {'Salary': 2300.0, 'projected_FD_points': 3.350752941479751, 'confidence': -0.4117731970953058, 'FD_Position': 'OF'}, 'Alexei Ramirez_batter': {'Salary': 2400.0, 'projected_FD_points': 2.5513514976526395, 'confidence': 0.0030289311473817859, 'FD_Position': 'SS'}}</t>
  </si>
  <si>
    <t>{'Avisail Garcia_batter': {'Salary': 2800.0, 'projected_FD_points': 4.0529716306598074, 'confidence': -0.11333975054716583, 'FD_Position': 'OF'}, 'Anthony Rizzo_batter': {'Salary': 4500.0, 'projected_FD_points': 3.5913441697735493, 'confidence': -0.10443636528422862, 'FD_Position': '1B'}, 'Alex Rodriguez_batter': {'Salary': 3400.0, 'projected_FD_points': 5.3317586310370562, 'confidence': -0.76384715867062325, 'FD_Position': '3B'}, 'Dexter Fowler_batter': {'Salary': 3200.0, 'projected_FD_points': 4.2072902234426062, 'confidence': -0.2867063901092386, 'FD_Position': 'OF'}, 'Devon Travis_batter': {'Salary': 3300.0, 'projected_FD_points': 4.4904562360291367, 'confidence': -0.99657381528128219, 'FD_Position': '2B'}, 'Jay Bruce_batter': {'Salary': 2800.0, 'projected_FD_points': 3.6380750862772064, 'confidence': -0.10727760027793121, 'FD_Position': 'OF'}, 'Danny Salazar_pitcher': {'Salary': 7800.0, 'projected_FD_points': 14.136652886768363, 'confidence': -0.43120172286432923, 'FD_Position': 'P'}, 'Caleb Joseph_batter': {'Salary': 2700.0, 'projected_FD_points': 2.3515983711661819, 'confidence': -4.1871746368370477, 'FD_Position': 'C'}, 'Alexei Ramirez_batter': {'Salary': 2400.0, 'projected_FD_points': 2.5513514976526395, 'confidence': 0.0030289311473817859, 'FD_Position': 'SS'}}</t>
  </si>
  <si>
    <t>{'Brandon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3.2716274500488671, 'confidence': 0.001364191916415125, 'FD_Position': 'C'}, 'Felix Hernandez_pitcher': {'Salary': 11300.0, 'projected_FD_points': 15.628769156110849, 'confidence': -4.6329246640681623, 'FD_Position': 'P'}, 'Marcus Semien_batter': {'Salary': 2700.0, 'projected_FD_points': 2.3474362351118323, 'confidence': -0.039102467428980603, 'FD_Position': 'SS'}, 'Cory Spangenberg_batter': {'Salary': 2600.0, 'projected_FD_points': 2.8876977914785433, 'confidence': -1.3290247722180122, 'FD_Position': '2B'}, 'Christian Yelich_batter': {'Salary': 2800.0, 'projected_FD_points': 2.6629011848089652, 'confidence': -0.06254886296396811, 'FD_Position': 'OF'}, 'Marcell Ozuna_batter': {'Salary': 3000.0, 'projected_FD_points': 2.6223737240627605, 'confidence': -0.10862061825591329, 'FD_Position': 'OF'}, 'Kyle Seager_batter': {'Salary': 3000.0, 'projected_FD_points': 3.3908688031983849, 'confidence': -0.20416214262464694, 'FD_Position': '3B'}}</t>
  </si>
  <si>
    <t>{'Avisail Garcia_batter': {'Salary': 2800.0, 'projected_FD_points': 3.0979356476663198, 'confidence': -0.35048905244652184, 'FD_Position': 'OF'}, 'Anthony Rizzo_batter': {'Salary': 4400.0, 'projected_FD_points': 3.5907497065033085, 'confidence': -0.10151966437059268, 'FD_Position': '1B'}, 'Dexter Fowler_batter': {'Salary': 2900.0, 'projected_FD_points': 3.6052726221282434, 'confidence': 0.090377687446096644, 'FD_Position': 'OF'}, 'Johnny Cueto_pitcher': {'Salary': 10500.0, 'projected_FD_points': 16.166092830844757, 'confidence': -0.2585251565720621, 'FD_Position': 'P'}, 'Robinson Cano_batter': {'Salary': 3400.0, 'projected_FD_points': 2.5124283127855311, 'confidence': -0.03887641347741666, 'FD_Position': '2B'}, 'Josh Phegley_batter': {'Salary': 2200.0, 'projected_FD_points': 2.826814342262546, 'confidence': -2.1467552795986848, 'FD_Position': 'C'}, 'Jay Bruce_batter': {'Salary': 2800.0, 'projected_FD_points': 3.2798324884099244, 'confidence': -0.12018305644377558, 'FD_Position': 'OF'}, 'Kyle Seager_batter': {'Salary': 3000.0, 'projected_FD_points': 2.9443367809425101, 'confidence': 0.034306100016153529, 'FD_Position': '3B'}, 'Alexei Ramirez_batter': {'Salary': 2400.0, 'projected_FD_points': 2.4973888114942953, 'confidence': 0.09030478378736051, 'FD_Position': 'SS'}}</t>
  </si>
  <si>
    <t>{'Michael Brantley_batter': {'Salary': 4200.0, 'projected_FD_points': 3.5121454827339349, 'confidence': -0.22779697799150433, 'FD_Position': 'OF'}, 'Jason Kipnis_batter': {'Salary': 3500.0, 'projected_FD_points': 2.5114721123186605, 'confidence': 0.027935717144204064, 'FD_Position': '2B'}, 'Brandon Moss_batter': {'Salary': 3400.0, 'projected_FD_points': 2.8145227883602186, 'confidence': -0.02389215282765389, 'FD_Position': 'OF'}, 'Freddie Freeman_batter': {'Salary': 3900.0, 'projected_FD_points': 3.3156762977241945, 'confidence': 0.0046426171589345477, 'FD_Position': '1B'}, 'Doug Fister_pitcher': {'Salary': 8000.0, 'projected_FD_points': 11.436061670166572, 'confidence': -0.046894876865684498, 'FD_Position': 'P'}, 'Evan Longoria_batter': {'Salary': 3500.0, 'projected_FD_points': 2.4913258857551179, 'confidence': -0.022399782898297138, 'FD_Position': '3B'}, 'Daniel Santana_batter': {'Salary': 2900.0, 'projected_FD_points': 3.0087797103898462, 'confidence': 0.0014781769514632392, 'FD_Position': 'SS'}, 'Robinson Chirinos_batter': {'Salary': 2400.0, 'projected_FD_points': 2.1227999195195788, 'confidence': -0.078967478323958229, 'FD_Position': 'C'}, 'Kyle Blanks_batter': {'Salary': 2900.0, 'projected_FD_points': 2.8730493534597406, 'confidence': -0.21422316331426705, 'FD_Position': 'OF'}}</t>
  </si>
  <si>
    <t>{'Adrian Gonzalez_batter': {'Salary': 5400.0, 'projected_FD_points': 3.9885473220588752, 'confidence': -0.19902640794099646, 'FD_Position': '1B'}, 'Devon Travis_batter': {'Salary': 3400.0, 'projected_FD_points': 4.1918834535272165, 'confidence': -0.77352329123922936, 'FD_Position': '2B'}, 'Corey Dickerson_batter': {'Salary': 4800.0, 'projected_FD_points': 3.9079579959799715, 'confidence': -0.19020483259446341, 'FD_Position': 'OF'}, 'Josh Donaldson_batter': {'Salary': 3600.0, 'projected_FD_points': 2.6456199406982881, 'confidence': 0.011531258912818476, 'FD_Position': '3B'}, 'Mike Pelfrey_pitcher': {'Salary': 6400.0, 'projected_FD_points': 78.243333979099233, 'confidence': 0, 'FD_Position': 'P'}, 'Dexter Fowler_batter': {'Salary': 3000.0, 'projected_FD_points': 3.4944872057174678, 'confidence': -0.46354966034166623, 'FD_Position': 'OF'}, 'Victor Martinez_batter': {'Salary': 3300.0, 'projected_FD_points': 2.7948496924432629, 'confidence': -0.0045608436088753201, 'FD_Position': 'C'}, 'Jose Pirela_batter': {'Salary': 2200.0, 'projected_FD_points': 5.8676966434165614, 'confidence': 0, 'FD_Position': 'SS'}, 'Kyle Blanks_batter': {'Salary': 2900.0, 'projected_FD_points': 3.071934236699402, 'confidence': -0.12177715753968887, 'FD_Position': 'OF'}}</t>
  </si>
  <si>
    <t>{'Yasmany Tomas_batter': {'Salary': 2900.0, 'projected_FD_points': 2.828357578954531, 'confidence': -0.82999543516604346, 'FD_Position': '3B'}, 'Jimmy Paredes_batter': {'Salary': 3000.0, 'projected_FD_points': 3.364479551101347, 'confidence': 0.42127026401952428, 'FD_Position': '2B'}, 'Prince Fielder_batter': {'Salary': 3300.0, 'projected_FD_points': 3.3047736516601423, 'confidence': 0.14315649196338509, 'FD_Position': '1B'}, 'Brett Gardner_batter': {'Salary': 3700.0, 'projected_FD_points': 3.2115393786168189, 'confidence': -0.070170606099535737, 'FD_Position': 'OF'}, 'Buster Posey_batter': {'Salary': 3500.0, 'projected_FD_points': 2.3552316740035009, 'confidence': -0.18925503214490913, 'FD_Position': 'C'}, 'Jacob Elmore_batter': {'Salary': 2200.0, 'projected_FD_points': 7.8021362690409681, 'confidence': 0, 'FD_Position': 'SS'}, 'Giancarlo Stanton_batter': {'Salary': 4700.0, 'projected_FD_points': 3.377117625140075, 'confidence': 0.025358750809829966, 'FD_Position': 'OF'}, 'Kyle Blanks_batter': {'Salary': 3000.0, 'projected_FD_points': 2.9103148123595624, 'confidence': 0.18991817875627404, 'FD_Position': 'OF'}, 'Collin McHugh_pitcher': {'Salary': 8400.0, 'projected_FD_points': 12.180592318682748, 'confidence': -0.034067627558645341, 'FD_Position': 'P'}}</t>
  </si>
  <si>
    <t>{'Kris Bryant_batter': {'Salary': 3600.0, 'projected_FD_points': 3.5649640524379507, 'confidence': 0.19177778605110207, 'FD_Position': '3B'}, 'Michael Brantley_batter': {'Salary': 4100.0, 'projected_FD_points': 3.4983466342838039, 'confidence': -0.063150531556073197, 'FD_Position': 'OF'}, 'J.D. Martinez_batter': {'Salary': 3200.0, 'projected_FD_points': 3.1064618169664366, 'confidence': -0.10824269128817754, 'FD_Position': 'OF'}, 'Devon Travis_batter': {'Salary': 3600.0, 'projected_FD_points': 5.5665495927610475, 'confidence': -1.9465431406276812, 'FD_Position': '2B'}, 'Lucas Duda_batter': {'Salary': 3300.0, 'projected_FD_points': 3.0700855455999587, 'confidence': -0.13114259096214509, 'FD_Position': '1B'}, 'Jason Castro_batter': {'Salary': 2200.0, 'projected_FD_points': 2.4885242041317639, 'confidence': -0.0062616866549491945, 'FD_Position': 'C'}, 'Kyle Blanks_batter': {'Salary': 2800.0, 'projected_FD_points': 4.6325509347683056, 'confidence': -7.0911062212860312, 'FD_Position': 'OF'}, 'Alexei Ramirez_batter': {'Salary': 2500.0, 'projected_FD_points': 2.9485575383702183, 'confidence': 0.025797961641155887, 'FD_Position': 'SS'}, 'Jacob deGrom_pitcher': {'Salary': 8900.0, 'projected_FD_points': 14.712365808438491, 'confidence': -0.11085145977795907, 'FD_Position': 'P'}}</t>
  </si>
  <si>
    <t>{'Kris Bryant_batter': {'Salary': 3500.0, 'projected_FD_points': 4.0296720478056915, 'confidence': 0.49083972894301287, 'FD_Position': '3B'}, 'Kevin Plawecki_batter': {'Salary': 2200.0, 'projected_FD_points': 5.6448101437081988, 'confidence': 0, 'FD_Position': 'C'}, 'Devon Travis_batter': {'Salary': 3700.0, 'projected_FD_points': 7.1053565158400129, 'confidence': -0.0085175477626229235, 'FD_Position': '2B'}, 'Lucas Duda_batter': {'Salary': 3300.0, 'projected_FD_points': 3.3838307749110101, 'confidence': -0.16150440798704757, 'FD_Position': '1B'}, 'Daniel Santana_batter': {'Salary': 2800.0, 'projected_FD_points': 2.7809962477429084, 'confidence': 0.022188785894886598, 'FD_Position': 'SS'}, 'Dexter Fowler_batter': {'Salary': 3300.0, 'projected_FD_points': 3.2846089906615261, 'confidence': -0.0063328615761022444, 'FD_Position': 'OF'}, 'Mike Trout_batter': {'Salary': 5400.0, 'projected_FD_points': 3.7607958263311807, 'confidence': -0.058117946863933012, 'FD_Position': 'OF'}, 'Danny Salazar_pitcher': {'Salary': 7700.0, 'projected_FD_points': 12.862548639585, 'confidence': -4.5065778033300141, 'FD_Position': 'P'}, 'Kyle Blanks_batter': {'Salary': 2900.0, 'projected_FD_points': 3.1758437842950347, 'confidence': -0.80224796404071341, 'FD_Position': 'OF'}}</t>
  </si>
  <si>
    <t>{'Kris Bryant_batter': {'Salary': 3500.0, 'projected_FD_points': 3.7886495696822351, 'confidence': -2.1743571984471886, 'FD_Position': '3B'}, 'Ben Revere_batter': {'Salary': 2400.0, 'projected_FD_points': 2.8850742348241076, 'confidence': -0.69718484085285803, 'FD_Position': 'OF'}, 'Evan Gattis_batter': {'Salary': 3400.0, 'projected_FD_points': 2.7628338059784996, 'confidence': -0.38990063339682757, 'FD_Position': 'C'}, 'Felix Hernandez_pitcher': {'Salary': 11000.0, 'projected_FD_points': 15.244744530626306, 'confidence': 0.73933867645871976, 'FD_Position': 'P'}, 'Kennys Vargas_batter': {'Salary': 2200.0, 'projected_FD_points': 2.9308663261789665, 'confidence': 0.1277083008265204, 'FD_Position': '1B'},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</si>
  <si>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{'Phil Hughes_pitcher': {'Salary': 7400.0, 'projected_FD_points': 10.573324562152756, 'confidence': 0.3898068087273987, 'FD_Position': 'P'}, 'Kris Bryant_batter': {'Salary': 3500.0, 'projected_FD_points': 3.7886495696822351, 'confidence': -2.1743571984471886, 'FD_Position': '3B'}, 'Anthony Rizzo_batter': {'Salary': 4200.0, 'projected_FD_points': 3.3709325661898717, 'confidence': -0.062153667757285369, 'FD_Position': '1B'}, 'Evan Gattis_batter': {'Salary': 3400.0, 'projected_FD_points': 2.7628338059784996, 'confidence': -0.38990063339682757, 'FD_Position': 'C'}, 'Jacob Marisnick_batter': {'Salary': 3400.0, 'projected_FD_points': 2.8632684042353422, 'confidence': -0.071866257782641441, 'FD_Position': 'OF'},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</si>
  <si>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{'Albert Pujols_batter': {'Salary': 3100.0, 'projected_FD_points': 2.8779809031459349, 'confidence': -0.063430186502096308, 'FD_Position': '1B'}, 'Joe Panik_batter': {'Salary': 2500.0, 'projected_FD_points': 2.0400753373452849, 'confidence': -0.49872569347241513, 'FD_Position': '2B'}, 'Seth Smith_batter': {'Salary': 2200.0, 'projected_FD_points': 2.1168070328845054, 'confidence': -0.093724046651545656, 'FD_Position': 'OF'}, 'Felix Hernandez_pitcher': {'Salary': 11000.0, 'projected_FD_points': 15.244744530626306, 'confidence': 0.73933867645871976, 'FD_Position': 'P'}, 'Angel Pagan_batter': {'Salary': 3000.0, 'projected_FD_points': 2.4494897559975564, 'confidence': 0.11086286450122351, 'FD_Position': 'OF'}, 'Buster Posey_batter': {'Salary': 3500.0, 'projected_FD_points': 2.3985250999345791, 'confidence': -0.18390679241410024, 'FD_Position': 'C'}, 'Kyle Seager_batter': {'Salary': 2800.0, 'projected_FD_points': 2.7803416892086252, 'confidence': 0.014805407697751738, 'FD_Position': '3B'}, 'Justin Upton_batter': {'Salary': 4000.0, 'projected_FD_points': 3.1241305261442136, 'confidence': -0.2277648369131533, 'FD_Position': 'OF'}, 'Brandon Crawford_batter': {'Salary': 2500.0, 'projected_FD_points': 2.3882574045385958, 'confidence': -0.11927722060078128, 'FD_Position': 'SS'}}</t>
  </si>
  <si>
    <t>{'Chris Owings_batter': {'Salary': 2300.0, 'projected_FD_points': 2.2287198894574014, 'confidence': -0.31303459038469672, 'FD_Position': 'SS'}, 'Matt Kemp_batter': {'Salary': 3700.0, 'projected_FD_points': 2.8658141706326719, 'confidence': -0.066483160170774713, 'FD_Position': 'OF'}, 'Pablo Sandoval_batter': {'Salary': 3200.0, 'projected_FD_points': 2.5254737455303187, 'confidence': -0.04663759166488135, 'FD_Position': '3B'}, 'James Shields_pitcher': {'Salary': 8600.0, 'projected_FD_points': 11.627880812208955, 'confidence': -0.21782026081685446, 'FD_Position': 'P'}, 'Carlos Beltran_batter': {'Salary': 2300.0, 'projected_FD_points': 1.9373287028909347, 'confidence': -0.61709027906312475, 'FD_Position': 'OF'}, 'Adrian Gonzalez_batter': {'Salary': 4300.0, 'projected_FD_points': 3.5236206456334007, 'confidence': -0.36278241510577813, 'FD_Position': '1B'}, 'Mike Trout_batter': {'Salary': 5500.0, 'projected_FD_points': 3.5756164455337407, 'confidence': -0.10172961337002806, 'FD_Position': 'OF'}, 'Michael McKenry_batter': {'Salary': 2200.0, 'projected_FD_points': 1.9474466678933446, 'confidence': -0.035110570533832375, 'FD_Position': 'C'}, 'Dustin Pedroia_batter': {'Salary': 2900.0, 'projected_FD_points': 2.1447400164783637, 'confidence': -0.21998433991586674, 'FD_Position': '2B'}}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</si>
  <si>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'Paulo Orlando_batter': {'Salary': 3000.0, 'projected_FD_points': 4.0840605846390758, 'confidence': 0.0, 'FD_Position': 'OF'},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</si>
  <si>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'Chris Young_batter': {'Salary': 2800.0, 'projected_FD_points': 2.8263693213209695, 'confidence': 0.035259864236650174, 'FD_Position': 'OF'},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</si>
  <si>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{'Jimmy Paredes_batter': {'Salary': 3200.0, 'projected_FD_points': 3.2085358715290586, 'confidence': 0.46071887856414528, 'FD_Position': '2B'}, 'George Springer_batter': {'Salary': 3800.0, 'projected_FD_points': 3.2815406025429423, 'confidence': -0.055316900799635249, 'FD_Position': 'OF'}, 'Yangervis Solarte_batter': {'Salary': 2300.0, 'projected_FD_points': 2.2770433891932789, 'confidence': -0.24220365831348079, 'FD_Position': '3B'}, 'Evan Gattis_batter': {'Salary': 3000.0, 'projected_FD_points': 2.6241344627464023, 'confidence': -0.31202746988814889, 'FD_Position': 'C'}, 'Paulo Orlando_batter': {'Salary': 3000.0, 'projected_FD_points': 4.0840605846390758,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'David Price_pitcher': {'Salary': 10900.0, 'projected_FD_points': 15.109052916590826, 'confidence': 0.25273090072590765, 'FD_Position': 'P'}, 'Marlon Byrd_batter': {'Salary': 2300.0, 'projected_FD_points': 2.1788074291107455, 'confidence': -0.16659555900121958, 'FD_Position': 'OF'}}</t>
  </si>
  <si>
    <t>{'Russell Martin_batter': {'Salary': 3200.0, 'projected_FD_points': 2.659514834811378, 'confidence': 0.0023669961410639484, 'FD_Position': 'C'}, 'Ben Revere_batter': {'Salary': 2500.0, 'projected_FD_points': 2.6841930403891818, 'confidence': -0.082826200813460149, 'FD_Position': 'OF'}, 'Corey Kluber_pitcher': {'Salary': 9500.0, 'projected_FD_points': 14.79461714949859, 'confidence': -0.15971962759440395, 'FD_Position': 'P'}, 'Erick Aybar_batter': {'Salary': 2500.0, 'projected_FD_points': 2.0150728283692256, 'confidence': -0.04554481448865122, 'FD_Position': 'SS'}, 'Devon Travis_batter': {'Salary': 3400.0, 'projected_FD_points': 9.832245379733811, 'confidence': -0.69740537756717935, 'FD_Position': '2B'}, 'Carlos Santana_batter': {'Salary': 3300.0, 'projected_FD_points': 2.6496687428189607, 'confidence': -0.03819125307313409, 'FD_Position': '1B'}, 'Martin Prado_batter': {'Salary': 2700.0, 'projected_FD_points': 1.9351976182650867, 'confidence': 0.0018256261801451457, 'FD_Position': '3B'}, 'Marcell Ozuna_batter': {'Salary': 2800.0, 'projected_FD_points': 2.8034284894507686, 'confidence': -0.31508207418802203, 'FD_Position': 'OF'}, 'Giancarlo Stanton_batter': {'Salary': 5100.0, 'projected_FD_points': 3.425736586008, 'confidence': -0.49424087574373843, 'FD_Position': 'OF'}}</t>
  </si>
  <si>
    <t>{'Jimmy Paredes_batter': {'Salary': 3200.0, 'projected_FD_points': 3.5392612684966576, 'confidence': -2.4873888032034617, 'FD_Position': '2B'}, 'Max Scherzer_pitcher': {'Salary': 10500.0, 'projected_FD_points': 13.06656349656588, 'confidence': -0.12332922867500606, 'FD_Position': 'P'}, 'Trevor Plouffe_batter': {'Salary': 2400.0, 'projected_FD_points': 2.6063074785935738, 'confidence': 0.046744336351585258, 'FD_Position': '3B'}, 'Kevin Plawecki_batter': {'Salary': 2200.0, 'projected_FD_points': 7.9289627465302885, 'confidence': 0, 'FD_Position': 'C'},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'Marcell Ozuna_batter': {'Salary': 2800.0, 'projected_FD_points': 3.3741363053728777, 'confidence': 0.022404955430395446, 'FD_Position': 'OF'}, 'Giancarlo Stanton_batter': {'Salary': 5100.0, 'projected_FD_points': 4.4984073406691394, 'confidence': 0.011570172908108689, 'FD_Position': 'OF'}, 'J.D. Martinez_batter': {'Salary': 3500.0, 'projected_FD_points': 3.4928502290499273, 'confidence': -0.15813398026735781, 'FD_Position': 'OF'}}</t>
  </si>
  <si>
    <t>{'Kyle Gibson_pitcher': {'Salary': 6200.0, 'projected_FD_points': 11.942576501992388, 'confidence': 0.10743927676202925, 'FD_Position': 'P'}, 'J.D. Martinez_batter': {'Salary': 3500.0, 'projected_FD_points': 3.4928502290499273, 'confidence': -0.15813398026735781, 'FD_Position': 'OF'}, 'Jose Altuve_batter': {'Salary': 4500.0, 'projected_FD_points': 3.1268610562554384, 'confidence': -0.060196677375583096, 'FD_Position': '2B'},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'Kyle Seager_batter': {'Salary': 3000.0, 'projected_FD_points': 2.6373361012467833, 'confidence': -0.020855757638475136, 'FD_Position': '3B'}, 'Victor Martinez_batter': {'Salary': 3400.0, 'projected_FD_points': 2.9436083286936898, 'confidence': 0.015111298623116665, 'FD_Position': 'C'}, 'Nelson Cruz_batter': {'Salary': 5200.0, 'projected_FD_points': 3.2320358367671038, 'confidence': -0.049229146309992311, 'FD_Position': 'OF'}, 'Andrew McCutchen_batter': {'Salary': 4100.0, 'projected_FD_points': 3.3273867625145113, 'confidence': -0.059008697929788578, 'FD_Position': 'OF'}}</t>
  </si>
  <si>
    <t>{'Kris Bryant_batter': {'Salary': 3800.0, 'projected_FD_points': 3.7475910382659006, 'confidence': 0, 'FD_Position': '3B'}, 'Odubel Herrera_batter': {'Salary': 3000.0, 'projected_FD_points': 2.8233553640094531, 'confidence': 0.56701008197554437, 'FD_Position': 'OF'}, 'Chris Owings_batter': {'Salary': 2400.0, 'projected_FD_points': 2.3541280256928014, 'confidence': 0.0662147544793108, 'FD_Position': 'SS'}, 'Freddie Freeman_batter': {'Salary': 3200.0, 'projected_FD_points': 3.0091808187679359, 'confidence': -0.18206805211195509, 'FD_Position': '1B'}, 'Matt Holliday_batter': {'Salary': 3400.0, 'projected_FD_points': 3.2167647428409447, 'confidence': -0.0013055412462452676, 'FD_Position': 'OF'}, 'Felix Hernandez_pitcher': {'Salary': 11100.0, 'projected_FD_points': 16.019014165736323, 'confidence': 0.50376295892955736, 'FD_Position': 'P'}, 'Dexter Fowler_batter': {'Salary': 3400.0, 'projected_FD_points': 4.0745706951190517, 'confidence': -0.20028219286886673, 'FD_Position': 'OF'}, 'Rickie Weeks_batter': {'Salary': 2200.0, 'projected_FD_points': 2.0859357836379084, 'confidence': -0.13006171988984527,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</si>
  <si>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3.5586046276881191, 'confidence': -0.27484416314465232, 'FD_Position': 'OF'}, 'Pablo Sandoval_batter': {'Salary': 3300.0, 'projected_FD_points': 2.667997961472993, 'confidence': -0.12112378029225979, 'FD_Position': '3B'}, 'Xander Bogaerts_batter': {'Salary': 3000.0, 'projected_FD_points': 1.8979415445016325, 'confidence': -0.067025625494265162, 'FD_Position': 'SS'}, 'David Ortiz_batter': {'Salary': 3300.0, 'projected_FD_points': 3.0737460017848495, 'confidence': -0.14076131790138957, 'FD_Position': '1B'}, 'Ryan Hanigan_batter': {'Salary': 2200.0, 'projected_FD_points': 1.8107258343585861, 'confidence': -1.0823424983144108, 'FD_Position': 'C'}, 'Dallas Keuchel_pitcher': {'Salary': 8200.0, 'projected_FD_points': 13.034825759540777, 'confidence': 0.060822277205194508, 'FD_Position': 'P'}}</t>
  </si>
  <si>
    <t>{'Johnny Cueto_pitcher': {'Salary': 10400.0, 'projected_FD_points': 16.741037057472859, 'confidence': -0.84654069591728387, 'FD_Position': 'P'}, 'Matt Holliday_batter': {'Salary': 3400.0, 'projected_FD_points': 3.5759856842064019, 'confidence': -0.14546283473245181, 'FD_Position': 'OF'}, 'Prince Fielder_batter': {'Salary': 3300.0, 'projected_FD_points': 3.0583193530662411, 'confidence': -0.27282205880397203, 'FD_Position': '1B'}, 'Daniel Santana_batter': {'Salary': 2500.0, 'projected_FD_points': 2.7967152338476886, 'confidence': -0.093622268057341085, 'FD_Position': 'SS'}, 'Dexter Fowler_batter': {'Salary': 3300.0, 'projected_FD_points': 4.236027785851701, 'confidence': -0.06601791923257494, 'FD_Position': 'OF'}, 'Johnny Giavotella_batter': {'Salary': 2300.0, 'projected_FD_points': 3.0329736671813992, 'confidence': -0.42188253267070541, 'FD_Position': '2B'}, 'Marcell Ozuna_batter': {'Salary': 2800.0, 'projected_FD_points': 3.2682551228296397, 'confidence': -0.1001082672566278, 'FD_Position': 'OF'}, 'Kyle Seager_batter': {'Salary': 3300.0, 'projected_FD_points': 3.3320461426619339, 'confidence': 0.075106997711141488, 'FD_Position': '3B'}, 'Victor Martinez_batter': {'Salary': 3400.0, 'projected_FD_points': 2.6899321808841878, 'confidence': -0.13340603326298961, 'FD_Position': 'C'}}</t>
  </si>
  <si>
    <t>{'Russell Martin_batter': {'Salary': 3100.0, 'projected_FD_points': 2.4792520450196665, 'confidence': -0.026659610637209452, 'FD_Position': 'C'}, 'Johnny Cueto_pitcher': {'Salary': 10400.0, 'projected_FD_points': 16.741037057472859, 'confidence': -0.84654069591728387, 'FD_Position': 'P'}, 'David Ortiz_batter': {'Salary': 3300.0, 'projected_FD_points': 2.797270328127933, 'confidence': -0.038921350664722576, 'FD_Position': '1B'}, 'Marcell Ozuna_batter': {'Salary': 2800.0, 'projected_FD_points': 3.2682551228296397, 'confidence': -0.1001082672566278, 'FD_Position': 'OF'}, 'Jay Bruce_batter': {'Salary': 2800.0, 'projected_FD_points': 2.9908509216120507, 'confidence': -0.04250739583898322, 'FD_Position': 'OF'}, 'Brock Holt_batter': {'Salary': 2500.0, 'projected_FD_points': 2.5252827508789353, 'confidence': -0.086713806131356597,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</si>
  <si>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{'Taijuan Walker_pitcher': {'Salary': 6500.0, 'projected_FD_points': 14.687892774071486, 'confidence': 0, 'FD_Position': 'P'}, 'Steve Souza_batter': {'Salary': 3600.0, 'projected_FD_points': 3.5970385104535723, 'confidence': -5.2020650829427346, 'FD_Position': 'OF'}, 'Devon Travis_batter': {'Salary': 3300.0, 'projected_FD_points': 6.428304920750298, 'confidence': -1.8147279604598889, 'FD_Position': '2B'}, 'Freddie Freeman_batter': {'Salary': 3100.0, 'projected_FD_points': 2.8915083772996981, 'confidence': 0.018228042153594859, 'FD_Position': '1B'}, 'Dexter Fowler_batter': {'Salary': 3400.0, 'projected_FD_points': 4.2678951609029605, 'confidence': -0.73937890623143043, 'FD_Position': 'OF'}, 'Brock Holt_batter': {'Salary': 2400.0, 'projected_FD_points': 3.0559205351020777, 'confidence': -0.4447072743056919, 'FD_Position': '3B'}, 'Troy Tulowitzki_batter': {'Salary': 4300.0, 'projected_FD_points': 3.0360292291245048, 'confidence': -0.16917899417142834, 'FD_Position': 'SS'},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'OF'}}</t>
  </si>
  <si>
    <t>{'Adrian Beltre_batter': {'Salary': 3100.0, 'projected_FD_points': 2.9402261470118862, 'confidence': 0.064655262731712404, 'FD_Position': '3B'}, 'Taijuan Walker_pitcher': {'Salary': 6500.0, 'projected_FD_points': 14.687892774071486, 'confidence': 0, 'FD_Position': 'P'}, 'Brian Dozier_batter': {'Salary': 2900.0, 'projected_FD_points': 2.654603665901984, 'confidence': -0.047766654203718062, 'FD_Position': '2B'}, 'Tim Beckham_batter': {'Salary': 2400.0, 'projected_FD_points': 2.8118608772789475, 'confidence': -7.9800855560060366, 'FD_Position': 'SS'}, 'Paul Goldschmidt_batter': {'Salary': 4500.0, 'projected_FD_points': 3.4615882094371146, 'confidence': -0.25370797033655279, 'FD_Position': '1B'}, 'Dexter Fowler_batter': {'Salary': 3400.0, 'projected_FD_points': 4.2678951609029605, 'confidence': -0.73937890623143043,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</si>
  <si>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15.409221816940253, 'confidence': -3.2528174173159252, 'FD_Position': 'P'}, 'Devon Travis_batter': {'Salary': 3300.0, 'projected_FD_points': 6.428304920750298, 'confidence': -1.8147279604598889, 'FD_Position': '2B'}, 'Brock Holt_batter': {'Salary': 2400.0, 'projected_FD_points': 3.0559205351020777, 'confidence': -0.4447072743056919, 'FD_Position': '3B'},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'Ryan Hanigan_batter': {'Salary': 2200.0, 'projected_FD_points': 1.8949914975754385, 'confidence': 0.022244624507949617, 'FD_Position': 'C'}, 'Giancarlo Stanton_batter': {'Salary': 4800.0, 'projected_FD_points': 3.6811867262645421, 'confidence': 0.050678021292514974, 'FD_Position': 'OF'}, 'Jayson Werth_batter': {'Salary': 2800.0, 'projected_FD_points': 2.7332286570570661, 'confidence': -0.44007571236409126, 'FD_Position': 'OF'}, 'Brett Gardner_batter': {'Salary': 3100.0, 'projected_FD_points': 2.7659115657308764, 'confidence': -0.21440485326549363, 'FD_Position': 'OF'}}</t>
  </si>
  <si>
    <t>{'J.D. Martinez_batter': {'Salary': 3500.0, 'projected_FD_points': 3.3430316718172213, 'confidence': -0.082061997055764779, 'FD_Position': 'OF'}, 'Cameron Rupp_batter': {'Salary': 2200.0, 'projected_FD_points': 2.6028167781689411, 'confidence': -1.4120090885390457, 'FD_Position': 'C'}, 'Devon Travis_batter': {'Salary': 3300.0, 'projected_FD_points': 12.609967964741081, 'confidence': -3.1938980078495174, 'FD_Position': '2B'}, 'Paulo Orlando_batter': {'Salary': 3000.0, 'projected_FD_points': 8.5683725001964994, 'confidence': 0, 'FD_Position': 'OF'}, 'Marcus Semien_batter': {'Salary': 2900.0, 'projected_FD_points': 2.5407314337786184, 'confidence': -0.2351179297695698, 'FD_Position': 'SS'}, 'Edwin Encarnacion_batter': {'Salary': 3700.0, 'projected_FD_points': 3.1393812285731841, 'confidence': -0.35422839823439412, 'FD_Position': '1B'}, 'Dexter Fowler_batter': {'Salary': 3400.0, 'projected_FD_points': 4.4135795182868041, 'confidence': -0.32087746234246595, 'FD_Position': 'OF'}, 'Jake Arrieta_pitcher': {'Salary': 9600.0, 'projected_FD_points': 15.042251725366036, 'confidence': -0.2799492181336809, 'FD_Position': 'P'}, 'Kyle Seager_batter': {'Salary': 3400.0, 'projected_FD_points': 3.6218753282351011, 'confidence': -0.15243763717511061, 'FD_Position': '3B'}}</t>
  </si>
  <si>
    <t>{'Neil Walker_batter': {'Salary': 2900.0, 'projected_FD_points': 2.7447267677264833, 'confidence': -0.10023623893778355, 'FD_Position': '2B'}, 'Francisco Liriano_pitcher': {'Salary': 8000.0, 'projected_FD_points': 10.874776575477178, 'confidence': -1.3999298850798714, 'FD_Position': 'P'}, 'Paul Goldschmidt_batter': {'Salary': 4700.0, 'projected_FD_points': 3.3697934344079172, 'confidence': -0.055177655687523419, 'FD_Position': '1B'}, 'Marcus Semien_batter': {'Salary': 2900.0, 'projected_FD_points': 2.5407314337786184, 'confidence': -0.2351179297695698, 'FD_Position': 'SS'}, 'Joc Pederson_batter': {'Salary': 3000.0, 'projected_FD_points': 2.7820834635189122, 'confidence': 0.39136436419039378, 'FD_Position': 'OF'}, 'Justin Upton_batter': {'Salary': 3400.0, 'projected_FD_points': 2.9810260186782669, 'confidence': -0.11993499759998172, 'FD_Position': 'OF'}, 'Kyle Seager_batter': {'Salary': 3400.0, 'projected_FD_points': 3.6218753282351011, 'confidence': -0.15243763717511061, 'FD_Position': '3B'}, 'Jason Castro_batter': {'Salary': 2200.0, 'projected_FD_points': 1.8717220394526943, 'confidence': -0.02310094424484066, 'FD_Position': 'C'}, 'Andrew McCutchen_batter': {'Salary': 4000.0, 'projected_FD_points': 3.095764445165071, 'confidence': -0.037584410131751955, 'FD_Position': 'OF'}}</t>
  </si>
  <si>
    <t>{'Jimmy Paredes_batter': {'Salary': 2600.0, 'projected_FD_points': 2.5151930673764653, 'confidence': 0.049229226918330093, 'FD_Position': '2B'}, 'David Ortiz_batter': {'Salary': 3200.0, 'projected_FD_points': 3.0834533433117453, 'confidence': -0.14116630116837414, 'FD_Position': '1B'}, 'Charlie Blackmon_batter': {'Salary': 4000.0, 'projected_FD_points': 3.9246221678241255, 'confidence': -0.66427900985951527, 'FD_Position': 'OF'}, 'Kyle Seager_batter': {'Salary': 3400.0, 'projected_FD_points': 3.7450125181636058, 'confidence': -0.16894802127784603, 'FD_Position': '3B'}, 'Joc Pederson_batter': {'Salary': 3000.0, 'projected_FD_points': 2.9465475075567369, 'confidence': -1.5744243939143123, 'FD_Position': 'OF'}, 'Brandon McCarthy_pitcher': {'Salary': 7800.0, 'projected_FD_points': 15.407605414100246, 'confidence': -0.95573849260548327, 'FD_Position': 'P'}, 'Troy Tulowitzki_batter': {'Salary': 4700.0, 'projected_FD_points': 4.047063227787552, 'confidence': -0.015034667748901942, 'FD_Position': 'SS'}, 'Andrew Susac_batter': {'Salary': 2200.0, 'projected_FD_points': 4.2161901923554304, 'confidence': -0.29020074677912588, 'FD_Position': 'C'}, 'Andrew McCutchen_batter': {'Salary': 4100.0, 'projected_FD_points': 3.1664374152746015, 'confidence': -0.11131861992131498, 'FD_Position': 'OF'}}</t>
  </si>
  <si>
    <t>{'George Springer_batter': {'Salary': 3200.0, 'projected_FD_points': 2.5675699776301011, 'confidence': -0.88387078944127362, 'FD_Position': 'OF'}, 'Jose Altuve_batter': {'Salary': 3800.0, 'projected_FD_points': 2.5923219804536433, 'confidence': 0.063420046865582225, 'FD_Position': '2B'}, 'CC Sabathia_pitcher': {'Salary': 7600.0, 'projected_FD_points': 11.32853653832797, 'confidence': 0, 'FD_Position': 'P'}, 'Josh Donaldson_batter': {'Salary': 4200.0, 'projected_FD_points': 2.7785873153667016, 'confidence': 0.023777539742769638, 'FD_Position': '3B'}, 'Marcus Semien_batter': {'Salary': 2700.0, 'projected_FD_points': 2.2080422238893691, 'confidence': -0.27266900278250872, 'FD_Position': 'SS'}, 'Edwin Encarnacion_batter': {'Salary': 3700.0, 'projected_FD_points': 2.9393386269042727, 'confidence': -0.5848747840006101, 'FD_Position': '1B'}, 'Giancarlo Stanton_batter': {'Salary': 4700.0, 'projected_FD_points': 3.3959531068469464, 'confidence': 0.053199095681668696, 'FD_Position': 'OF'}, 'Jayson Werth_batter': {'Salary': 2900.0, 'projected_FD_points': 2.6451613792235764, 'confidence': -0.048620162864468686, 'FD_Position': 'OF'}, 'Jason Castro_batter': {'Salary': 2200.0, 'projected_FD_points': 2.2853252480537343, 'confidence': -0.14245166799366382,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</si>
  <si>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12.179786738753197, 'confidence': -0.41726407950714228, 'FD_Position': '2B'}, 'Charlie Blackmon_batter': {'Salary': 4300.0, 'projected_FD_points': 3.7382897010542422, 'confidence': -0.058040029421002171, 'FD_Position': 'OF'}, 'Josh Phegley_batter': {'Salary': 2200.0, 'projected_FD_points': 2.880587000892981, 'confidence': -0.56754090316766725, 'FD_Position': 'C'}, 'Dexter Fowler_batter': {'Salary': 3700.0, 'projected_FD_points': 3.8973069455577223, 'confidence': -0.35538503160591772, 'FD_Position': 'OF'}, 'Justin Morneau_batter': {'Salary': 3900.0, 'projected_FD_points': 3.0957403537870425, 'confidence': -2.2196763166406104, 'FD_Position': '1B'}, 'Michael Pineda_pitcher': {'Salary': 8700.0, 'projected_FD_points': 16.234755973999896, 'confidence': -3.9859446822166591, 'FD_Position': 'P'}, 'Jordy Mercer_batter': {'Salary': 2200.0, 'projected_FD_points': 2.2000744933516017, 'confidence': 0.034686745422668031, 'FD_Position': 'SS'}}</t>
  </si>
  <si>
    <t>{'Neil Walker_batter': {'Salary': 3100.0, 'projected_FD_points': 2.58774752734457, 'confidence': -0.02407875217684774, 'FD_Position': '2B'}, 'Mark Canha_batter': {'Salary': 3100.0, 'projected_FD_points': 2.7753014029854661, 'confidence': -0.71934528599632008, 'FD_Position': 'OF'}, 'Felix Hernandez_pitcher': {'Salary': 11500.0, 'projected_FD_points': 15.78356399507075, 'confidence': -0.4272790506392119, 'FD_Position': 'P'}, 'Josh Phegley_batter': {'Salary': 2200.0, 'projected_FD_points': 2.880587000892981, 'confidence': -0.56754090316766725, 'FD_Position': 'C'}, 'Logan Morrison_batter': {'Salary': 2200.0, 'projected_FD_points': 2.0249863738042135, 'confidence': -1.0078078383636706, 'FD_Position': '1B'}, 'Austin Jackson_batter': {'Salary': 2600.0, 'projected_FD_points': 2.7942646551531318, 'confidence': -0.19685395560002039, 'FD_Position': 'OF'}, 'Kyle Seager_batter': {'Salary': 3700.0, 'projected_FD_points': 4.2237732030990127, 'confidence': -0.58152166484406309, 'FD_Position': '3B'}, 'Jordy Mercer_batter': {'Salary': 2200.0, 'projected_FD_points': 2.2000744933516017, 'confidence': 0.034686745422668031, 'FD_Position': 'SS'}, 'Andrew McCutchen_batter': {'Salary': 4300.0, 'projected_FD_points': 3.2600982311330524, 'confidence': -0.004003533356414346, 'FD_Position': 'OF'}}</t>
  </si>
  <si>
    <t>{'Avisail Garcia_batter': {'Salary': 3200.0, 'projected_FD_points': 4.4282706219306815, 'confidence': -9.2905050615712739, 'FD_Position': 'OF'}, 'Paulo Orlando_batter': {'Salary': 3000.0, 'projected_FD_points': 4.2958400663937208, 'confidence': 0, 'FD_Position': 'OF'}, 'Jose Quintana_pitcher': {'Salary': 8000.0, 'projected_FD_points': 9.5485787692953306, 'confidence': 0.0092652364777660035, 'FD_Position': 'P'}, 'Charlie Blackmon_batter': {'Salary': 4300.0, 'projected_FD_points': 3.7382897010542422, 'confidence': -0.058040029421002171, 'FD_Position': 'OF'}, 'Aramis Ramirez_batter': {'Salary': 2600.0, 'projected_FD_points': 2.0576601281437532, 'confidence': 0.11482258110856058, 'FD_Position': '3B'}, 'Jhonny Peralta_batter': {'Salary': 2800.0, 'projected_FD_points': 2.2375094981567201, 'confidence': 0.083182742707633373, 'FD_Position': 'SS'}, 'Buster Posey_batter': {'Salary': 4400.0, 'projected_FD_points': 3.1634479492481518, 'confidence': -0.064745446272516771, 'FD_Position': 'C'}, 'Jose Abreu_batter': {'Salary': 4400.0, 'projected_FD_points': 3.2941479576431054, 'confidence': 0.0010946674887886143, 'FD_Position': '1B'}, 'Omar Infante_batter': {'Salary': 2200.0, 'projected_FD_points': 2.244679506492345, 'confidence': -0.398376348570743, 'FD_Position': '2B'}}</t>
  </si>
  <si>
    <t>{'Max Scherzer_pitcher': {'Salary': 11000.0, 'projected_FD_points': 14.094059700677398, 'confidence': -0.013005763057906572, 'FD_Position': 'P'}, 'Alexander Guerrero_batter': {'Salary': 2700.0, 'projected_FD_points': 2.2367491275280607, 'confidence': -1.1489721005452473, 'FD_Position': '2B'}, 'Casey McGehee_batter': {'Salary': 2400.0, 'projected_FD_points': 1.914935704940492, 'confidence': -0.12901320343220091, 'FD_Position': '3B'}, 'Will Venable_batter': {'Salary': 2300.0, 'projected_FD_points': 1.3839159149336295, 'confidence': 0.026661846759364449, 'FD_Position': 'OF'}, 'Matt Adams_batter': {'Salary': 3000.0, 'projected_FD_points': 2.5591701002821265, 'confidence': -0.16068654896512147, 'FD_Position': '1B'}, 'Jon Jay_batter': {'Salary': 2300.0, 'projected_FD_points': 1.8932562465529394, 'confidence': -0.043727471889762226, 'FD_Position': 'OF'}, 'Yasmani Grandal_batter': {'Salary': 2800.0, 'projected_FD_points': 1.8068083511116515, 'confidence': -0.12281859744648904, 'FD_Position': 'C'}, 'Troy Tulowitzki_batter': {'Salary': 5200.0, 'projected_FD_points': 4.2320976145026261, 'confidence': 0.038895833408364999, 'FD_Position': 'SS'}, 'Denard Span_batter': {'Salary': 3100.0, 'projected_FD_points': 2.4646961177232658, 'confidence': -0.03725088748452654, 'FD_Position': 'OF'}}</t>
  </si>
  <si>
    <t>{'Adam Eaton_batter': {'Salary': 2500.0, 'projected_FD_points': 2.4275259768260806, 'confidence': -0.072357725969667941, 'FD_Position': 'OF'}, 'Stephen Vogt_batter': {'Salary': 3500.0, 'projected_FD_points': 2.4819670025601956, 'confidence': 0.055855221164498148, 'FD_Position': 'C'}, 'Adam LaRoche_batter': {'Salary': 3200.0, 'projected_FD_points': 2.7173943073324911, 'confidence': -0.075046597591847952, 'FD_Position': '1B'}, 'Evan Longoria_batter': {'Salary': 3300.0, 'projected_FD_points': 2.2610743251433671, 'confidence': -0.010203337714455474, 'FD_Position': '3B'}, 'Mookie Betts_batter': {'Salary': 3400.0, 'projected_FD_points': 2.525309316747629, 'confidence': -0.044088514362212283, 'FD_Position': 'OF'}, 'Alexei Ramirez_batter': {'Salary': 3000.0, 'projected_FD_points': 3.1106970761211805, 'confidence': -0.27907126846595176, 'FD_Position': 'SS'}, 'Johnny Giavotella_batter': {'Salary': 2700.0, 'projected_FD_points': 2.7493328057661701, 'confidence': -8.7724781387358526, 'FD_Position': '2B'}, 'Dalton Pompey_batter': {'Salary': 3200.0, 'projected_FD_points': 2.7586049422839545, 'confidence': 0.079214354560509737, 'FD_Position': 'OF'}, 'Chris Sale_pitcher': {'Salary': 10200.0, 'projected_FD_points': 13.958657432274006, 'confidence': -0.8110862517141384, 'FD_Position': 'P'}}</t>
  </si>
  <si>
    <t>{'Dillon Gee_pitcher': {'Salary': 6600.0, 'projected_FD_points': 14.163507544591299, 'confidence': -7.0035561911245168, 'FD_Position': 'P'}, 'Brian Dozier_batter': {'Salary': 3000.0, 'projected_FD_points': 2.5453479378956403, 'confidence': -0.0061678363515225154, 'FD_Position': '2B'}, 'Paulo Orlando_batter': {'Salary': 3000.0, 'projected_FD_points': 4.7874988430746477, 'confidence': 0, 'FD_Position': 'OF'}, 'Freddie Freeman_batter': {'Salary': 4000.0, 'projected_FD_points': 3.3371704446797854, 'confidence': -0.015853155574315769, 'FD_Position': '1B'}, 'Dexter Fowler_batter': {'Salary': 3700.0, 'projected_FD_points': 3.6489204639848412, 'confidence': -0.0090274504943756995, 'FD_Position': 'OF'}, 'Kyle Seager_batter': {'Salary': 3800.0, 'projected_FD_points': 3.511145956327979, 'confidence': 0.035611366263675448, 'FD_Position': '3B'}, 'Troy Tulowitzki_batter': {'Salary': 5300.0, 'projected_FD_points': 3.6119290741874917, 'confidence': 0.26794659510410979, 'FD_Position': 'SS'}, 'Michael Cuddyer_batter': {'Salary': 3400.0, 'projected_FD_points': 4.4316787994197098, 'confidence': 0.1197118746738618, 'FD_Position': 'OF'}, 'Michael McKenry_batter': {'Salary': 2200.0, 'projected_FD_points': 2.1443131898229653, 'confidence': 0.037149411301641178, 'FD_Position': 'C'}}</t>
  </si>
  <si>
    <t>{'Madison Bumgarner_pitcher': {'Salary': 9900.0, 'projected_FD_points': 14.10794695397891, 'confidence': -0.85159062828863608, 'FD_Position': 'P'}, 'Chris Owings_batter': {'Salary': 2500.0, 'projected_FD_points': 1.8772949331245372, 'confidence': 0.24028309829857231, 'FD_Position': 'SS'}, 'Seth Smith_batter': {'Salary': 2400.0, 'projected_FD_points': 2.3343203254527571, 'confidence': -0.05749846995580965, 'FD_Position': 'OF'}, 'Stephen Vogt_batter': {'Salary': 3600.0, 'projected_FD_points': 2.4632934373677755, 'confidence': 0.068796082944325154, 'FD_Position': 'C'}, 'Prince Fielder_batter': {'Salary': 3600.0, 'projected_FD_points': 2.9965653092297613, 'confidence': -0.13864582530172376, 'FD_Position': '1B'}, 'A.J. Pollock_batter': {'Salary': 3500.0, 'projected_FD_points': 3.4565582604512342, 'confidence': -2.2416737450290216, 'FD_Position': 'OF'}, 'Kyle Seager_batter': {'Salary': 3800.0, 'projected_FD_points': 3.511145956327979, 'confidence': 0.035611366263675448, 'FD_Position': '3B'}, 'Aaron Hill_batter': {'Salary': 2300.0, 'projected_FD_points': 2.0764717669536381, 'confidence': 0.023636906314705386, 'FD_Position': '2B'}, 'Mark Trumbo_batter': {'Salary': 3200.0, 'projected_FD_points': 2.749475826418204, 'confidence': -0.63203089214681341, 'FD_Position': 'OF'}}</t>
  </si>
  <si>
    <t>{'Brian Dozier_batter': {'Salary': 3000.0, 'projected_FD_points': 2.5453479378956403, 'confidence': -0.0061678363515225154, 'FD_Position': '2B'}, 'Johnny Cueto_pitcher': {'Salary': 10600.0, 'projected_FD_points': 15.222658666205984, 'confidence': -0.76674175415293266,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2.0995440543031907, 'confidence': 0.0098316590731548636, 'FD_Position': '1B'}, 'Alex Gordon_batter': {'Salary': 3100.0, 'projected_FD_points': 2.8542000955695506, 'confidence': -0.34487661914420009, 'FD_Position': 'OF'}, 'Marlon Byrd_batter': {'Salary': 2200.0, 'projected_FD_points': 2.1480265946575856, 'confidence': -0.065345453973991052, 'FD_Position': 'OF'}, 'Troy Tulowitzki_batter': {'Salary': 5300.0, 'projected_FD_points': 3.6119290741874917, 'confidence': 0.26794659510410979, 'FD_Position': 'SS'}, 'Michael McKenry_batter': {'Salary': 2200.0, 'projected_FD_points': 2.1443131898229653, 'confidence': 0.037149411301641178, 'FD_Position': 'C'}}</t>
  </si>
  <si>
    <t>{'Adrian Beltre_batter': {'Salary': 3400.0, 'projected_FD_points': 2.8006952110747743, 'confidence': -0.13420467213973297, 'FD_Position': '3B'}, 'Russell Martin_batter': {'Salary': 3300.0, 'projected_FD_points': 3.0425747837792199, 'confidence': -0.59342395757952904, 'FD_Position': 'C'}, 'Paulo Orlando_batter': {'Salary': 3000.0, 'projected_FD_points': 3.5, 'confidence': 0, 'FD_Position': 'OF'}, 'Chase Anderson_pitcher': {'Salary': 6600.0, 'projected_FD_points': 14.586715363860357, 'confidence': 0.71983832778500445, 'FD_Position': 'P'}, 'Dexter Fowler_batter': {'Salary': 3800.0, 'projected_FD_points': 3.6610085224487241, 'confidence': -0.12103612567393141, 'FD_Position': 'OF'}, 'Carlos Santana_batter': {'Salary': 3300.0, 'projected_FD_points': 3.0491528062840372, 'confidence': -0.036978160086662548, 'FD_Position': '1B'}, 'Troy Tulowitzki_batter': {'Salary': 5300.0, 'projected_FD_points': 4.3417781798477399, 'confidence': 0.12007248578466434, 'FD_Position': 'SS'}, 'Michael Cuddyer_batter': {'Salary': 3400.0, 'projected_FD_points': 4.3005780280245736, 'confidence': 0.78723056331441743, 'FD_Position': 'OF'}, 'Rafael Ynoa_batter': {'Salary': 2800.0, 'projected_FD_points': 2.9440019978394254, 'confidence': -2.9873090652444452, 'FD_Position': '2B'}}</t>
  </si>
  <si>
    <t>{'Tyler Flowers_batter': {'Salary': 2800.0, 'projected_FD_points': 1.8483117135437692, 'confidence': -0.43621201358033446, 'FD_Position': 'C'}, 'Brian Dozier_batter': {'Salary': 3000.0, 'projected_FD_points': 2.6919915300683375, 'confidence': -0.0055658410419971993, 'FD_Position': '2B'}, 'Paulo Orlando_batter': {'Salary': 3000.0, 'projected_FD_points': 3.5, 'confidence': 0, 'FD_Position': 'OF'}, 'Charlie Blackmon_batter': {'Salary': 4200.0, 'projected_FD_points': 3.6271413194233855, 'confidence': 0.26999883210885578, 'FD_Position': 'OF'}, 'Todd Frazier_batter': {'Salary': 3400.0, 'projected_FD_points': 2.5159351785220898, 'confidence': -0.15248863085013098, 'FD_Position': '3B'}, 'Alex Gordon_batter': {'Salary': 3200.0, 'projected_FD_points': 2.7844464109047671, 'confidence': -1.1340284389961863, 'FD_Position': 'OF'}, 'Justin Morneau_batter': {'Salary': 4000.0, 'projected_FD_points': 3.0907636807616967, 'confidence': -0.36496915374270844, 'FD_Position': '1B'}, 'Troy Tulowitzki_batter': {'Salary': 5300.0, 'projected_FD_points': 4.3417781798477399, 'confidence': 0.12007248578466434, 'FD_Position': 'SS'}, 'Tyler Matzek_pitcher': {'Salary': 6100.0, 'projected_FD_points': 12.018788237827273, 'confidence': -8.1597121941621271, 'FD_Position': 'P'}}</t>
  </si>
  <si>
    <t>{'Alex Rodriguez_batter': {'Salary': 3700.0, 'projected_FD_points': 6.4904153190023841, 'confidence': -1.2628530457448433, 'FD_Position': '3B'}, 'Chris Iannetta_batter': {'Salary': 2300.0, 'projected_FD_points': 2.1517946431336421, 'confidence': 0.048770677319128319, 'FD_Position': 'C'}, 'Marlon Byrd_batter': {'Salary': 2200.0, 'projected_FD_points': 2.1369049644554843, 'confidence': -0.036325737874896014, 'FD_Position': 'OF'}, 'Austin Jackson_batter': {'Salary': 2500.0, 'projected_FD_points': 2.4228876594205593, 'confidence': -0.14872663844303413, 'FD_Position': 'OF'}, 'Dexter Fowler_batter': {'Salary': 3800.0, 'projected_FD_points': 3.7079027560803803, 'confidence': 0.00077826696545246765, 'FD_Position': 'OF'}, 'Jake Arrieta_pitcher': {'Salary': 9200.0, 'projected_FD_points': 14.911527428307416, 'confidence': -0.2383300645713049, 'FD_Position': 'P'},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</si>
  <si>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{'Michael Brantley_batter': {'Salary': 3900.0, 'projected_FD_points': 3.1777915121712734, 'confidence': 0.032820496602115834, 'FD_Position': 'OF'}, 'Melky Cabrera_batter': {'Salary': 2700.0, 'projected_FD_points': 2.517009819078007, 'confidence': -0.024445302568335769, 'FD_Position': 'OF'}, 'Charlie Blackmon_batter': {'Salary': 4200.0, 'projected_FD_points': 3.7281683509385477, 'confidence': 0.17462493349365571, 'FD_Position': 'OF'}, 'Mike Moustakas_batter': {'Salary': 3100.0, 'projected_FD_points': 2.5148280871784348, 'confidence': 0.022651062112254094, 'FD_Position': '3B'}, 'Jorge De La Rosa_pitcher': {'Salary': 6800.0, 'projected_FD_points': 11.200957904183328, 'confidence': -0.52622108349642915, 'FD_Position': 'P'}, 'Kurt Suzuki_batter': {'Salary': 2600.0, 'projected_FD_points': 1.5909342158403301, 'confidence': -0.13024448666549593, 'FD_Position': 'C'},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</si>
  <si>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{'Alex Rodriguez_batter': {'Salary': 3700.0, 'projected_FD_points': 4.0957664341151947, 'confidence': 0, 'FD_Position': '3B'}, 'Ian Desmond_batter': {'Salary': 3900.0, 'projected_FD_points': 3.1889594628979117, 'confidence': -0.23592982281184605, 'FD_Position': 'SS'}, 'Jose Bautista_batter': {'Salary': 4900.0, 'projected_FD_points': 3.6475488460736942, 'confidence': -0.03604964764733265, 'FD_Position': 'OF'}, 'Freddie Freeman_batter': {'Salary': 3700.0, 'projected_FD_points': 3.8121519365483363, 'confidence': -0.21165884089376452, 'FD_Position': '1B'}, 'Denard Span_batter': {'Salary': 3300.0, 'projected_FD_points': 3.0785419441841069, 'confidence': -0.13272148994948152, 'FD_Position': 'OF'}, 'Jacob Realmuto_batter': {'Salary': 2300.0, 'projected_FD_points': 3.1083560112070057, 'confidence': -0.14143810567301784, 'FD_Position': 'C'}, 'Dexter Fowler_batter': {'Salary': 3800.0, 'projected_FD_points': 3.9267513609088569, 'confidence': 0.031508679373245418, 'FD_Position': 'OF'}, 'Neil Walker_batter': {'Salary': 3400.0, 'projected_FD_points': 2.7513492219984048, 'confidence': -0.049132982662877467, 'FD_Position': '2B'}, 'Trevor May_pitcher': {'Salary': 5600.0, 'projected_FD_points': 20.409736218491155, 'confidence': 0, 'FD_Position': 'P'}}</t>
  </si>
  <si>
    <t>{'Brandon McCarthy_pitcher': {'Salary': 7900.0, 'projected_FD_points': 14.208736335570297, 'confidence': 0.027145583695673769, 'FD_Position': 'P'}, 'Robinson Cano_batter': {'Salary': 3800.0, 'projected_FD_points': 2.7399925044172413, 'confidence': -0.25450056992965231, 'FD_Position': '2B'}, 'Matt Holliday_batter': {'Salary': 3600.0, 'projected_FD_points': 3.0440591074499168, 'confidence': -0.020345282180123547, 'FD_Position': 'OF'}, 'Paul Goldschmidt_batter': {'Salary': 5200.0, 'projected_FD_points': 3.6807452626700758, 'confidence': -0.18165654051498858, 'FD_Position': '1B'}, 'A.J. Pollock_batter': {'Salary': 3500.0, 'projected_FD_points': 2.8270427728142051, 'confidence': -1.0731661095730147, 'FD_Position': 'OF'}, 'Austin Jackson_batter': {'Salary': 2500.0, 'projected_FD_points': 2.3935109097778384, 'confidence': -0.30319499355028112, 'FD_Position': 'OF'}, 'Kyle Seager_batter': {'Salary': 3400.0, 'projected_FD_points': 3.9323378805294009, 'confidence': -0.31218033596524264, 'FD_Position': '3B'}, 'Brandon Crawford_batter': {'Salary': 2500.0, 'projected_FD_points': 2.1046379175761092, 'confidence': 0.11519933600527898, 'FD_Position': 'SS'}, 'Michael McKenry_batter': {'Salary': 2200.0, 'projected_FD_points': 2.3956055783440879, 'confidence': -0.10774617168631684, 'FD_Position': 'C'}}</t>
  </si>
  <si>
    <t>{'Alex Rodriguez_batter': {'Salary': 3300.0, 'projected_FD_points': 6.7013921839821791, 'confidence': 0, 'FD_Position': '3B'}, 'Seth Smith_batter': {'Salary': 2600.0, 'projected_FD_points': 2.5951994314929423, 'confidence': -0.58812002084170101, 'FD_Position': 'OF'}, 'Stephen Vogt_batter': {'Salary': 2900.0, 'projected_FD_points': 2.5561015839277887, 'confidence': -0.068154142939575779, 'FD_Position': 'C'}, 'Lucas Duda_batter': {'Salary': 4300.0, 'projected_FD_points': 3.1866979399318018, 'confidence': -0.069030213035378374, 'FD_Position': '1B'}, 'Carlos Peguero_batter': {'Salary': 2400.0, 'projected_FD_points': 3.0162628443737609, 'confidence': 0, 'FD_Position': 'OF'}, 'Marcus Semien_batter': {'Salary': 2900.0, 'projected_FD_points': 2.4059798270893378, 'confidence': -0.096068458367394083, 'FD_Position': 'SS'}, 'Johnny Giavotella_batter': {'Salary': 2500.0, 'projected_FD_points': 2.6776773830359524, 'confidence': -3.67268884833633, 'FD_Position': '2B'}, 'Jacob deGrom_pitcher': {'Salary': 9400.0, 'projected_FD_points': 14.210017601462576, 'confidence': -0.29621433496118565, 'FD_Position': 'P'}, 'Andrew McCutchen_batter': {'Salary': 4700.0, 'projected_FD_points': 3.1794240541241248, 'confidence': -0.067024195600184688, 'FD_Position': 'OF'}}</t>
  </si>
  <si>
    <t>{'Russell Martin_batter': {'Salary': 2900.0, 'projected_FD_points': 2.7399180985554126, 'confidence': -0.48932632482101091, 'FD_Position': 'C'}, 'Alex Rodriguez_batter': {'Salary': 3300.0, 'projected_FD_points': 15.010939994794498, 'confidence': 0, 'FD_Position': '3B'}, 'Seth Smith_batter': {'Salary': 2600.0, 'projected_FD_points': 2.5510161751639391, 'confidence': -0.31125253727719482, 'FD_Position': 'OF'}, 'Devon Travis_batter': {'Salary': 2800.0, 'projected_FD_points': 12.871616175698955, 'confidence': 0, 'FD_Position': '2B'}, 'Tim Beckham_batter': {'Salary': 2200.0, 'projected_FD_points': 11.467943859881203, 'confidence': 0, 'FD_Position': 'SS'}, 'Jake Smolinski_batter': {'Salary': 2800.0, 'projected_FD_points': 2.3900939195431241, 'confidence': -0.3449910612022129, 'FD_Position': 'OF'},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'Michael Cuddyer_batter': {'Salary': 3000.0, 'projected_FD_points': 3.9017045555383341, 'confidence': 0.78394818102275643, 'FD_Position': 'OF'}}</t>
  </si>
  <si>
    <t>{'Seth Smith_batter': {'Salary': 2600.0, 'projected_FD_points': 2.5510161751639391, 'confidence': -0.31125253727719482, 'FD_Position': 'OF'}, 'Rougned Odor_batter': {'Salary': 3000.0, 'projected_FD_points': 2.3634489090076287, 'confidence': 0.041383433295959282, 'FD_Position': '2B'}, 'Jake Smolinski_batter': {'Salary': 2800.0, 'projected_FD_points': 2.3900939195431241, 'confidence': -0.3449910612022129, 'FD_Position': 'OF'}, 'A.J. Pollock_batter': {'Salary': 3000.0, 'projected_FD_points': 2.7943508121734051, 'confidence': -0.10599121735572359, 'FD_Position': 'OF'}, 'Mike Zunino_batter': {'Salary': 2300.0, 'projected_FD_points': 1.9705605812850562, 'confidence': -0.053696825038128448, 'FD_Position': 'C'},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'Kyle Seager_batter': {'Salary': 3500.0, 'projected_FD_points': 3.2823161055698384, 'confidence': 0.054196390427593499, 'FD_Position': '3B'}, 'Brandon Crawford_batter': {'Salary': 2300.0, 'projected_FD_points': 2.0824278081786782, 'confidence': 0.035879000125324967, 'FD_Position': 'SS'}}</t>
  </si>
  <si>
    <t>{'Corey Kluber_pitcher': {'Salary': 10700.0, 'projected_FD_points': 14.499147782763748, 'confidence': -0.34718420431318586, 'FD_Position': 'P'}, 'Kole Calhoun_batter': {'Salary': 3500.0, 'projected_FD_points': 2.9766896207719302, 'confidence': 0.1780337243559893, 'FD_Position': 'OF'}, 'Kennys Vargas_batter': {'Salary': 2400.0, 'projected_FD_points': 2.1007360887862006, 'confidence': 0.019454809545830898, 'FD_Position': '1B'}, 'Todd Frazier_batter': {'Salary': 3600.0, 'projected_FD_points': 2.2823758236247862, 'confidence': -0.26253970992092523, 'FD_Position': '3B'}, 'Daniel Santana_batter': {'Salary': 3300.0, 'projected_FD_points': 2.7720837033148249, 'confidence': -0.23346153661481117, 'FD_Position': 'SS'}, 'Matt Joyce_batter': {'Salary': 3200.0, 'projected_FD_points': 2.9192771756007252, 'confidence': -0.17795830428315029, 'FD_Position': 'OF'}, 'Chris Iannetta_batter': {'Salary': 2500.0, 'projected_FD_points': 2.1586133834134547, 'confidence': -0.024332228203443718, 'FD_Position': 'C'}, 'Michael Bourn_batter': {'Salary': 2700.0, 'projected_FD_points': 2.2191634977379691, 'confidence': -0.17011830698693453, 'FD_Position': 'OF'}, 'Brian Dozier_batter': {'Salary': 3100.0, 'projected_FD_points': 2.656800604107096, 'confidence': -1.3682238978419137, 'FD_Position': '2B'}}</t>
  </si>
  <si>
    <t>{'Jimmy Paredes_batter': {'Salary': 3200.0, 'projected_FD_points': 3.2633550323908733, 'confidence': -0.379608686173462, 'FD_Position': '2B'}, 'Johnny Cueto_pitcher': {'Salary': 10200.0, 'projected_FD_points': 14.611291324491942, 'confidence': -3.0827828045807841, 'FD_Position': 'P'}, 'Chris Iannetta_batter': {'Salary': 2300.0, 'projected_FD_points': 2.4555097025529378, 'confidence': -0.3452916052747157, 'FD_Position': 'C'}, 'Aramis Ramirez_batter': {'Salary': 2800.0, 'projected_FD_points': 2.7755179137333719, 'confidence': 0.031396139448447768, 'FD_Position': '3B'}, 'Prince Fielder_batter': {'Salary': 3400.0, 'projected_FD_points': 3.2128720545384253, 'confidence': 0.057194457768372731, 'FD_Position': '1B'}, 'Christian Yelich_batter': {'Salary': 2800.0, 'projected_FD_points': 3.0793421504656395, 'confidence': 0.049428589318463056, 'FD_Position': 'OF'}, 'Dexter Fowler_batter': {'Salary': 3400.0, 'projected_FD_points': 3.6838013527323774, 'confidence': 0.073794129193308633, 'FD_Position': 'OF'}, 'Troy Tulowitzki_batter': {'Salary': 4500.0, 'projected_FD_points': 4.3215287753697487, 'confidence': -1.9975990248170756, 'FD_Position': 'SS'}, 'Chris Colabello_batter': {'Salary': 2300.0, 'projected_FD_points': 2.7743986600213191, 'confidence': 0.087816897631521118, 'FD_Position': 'OF'}}</t>
  </si>
  <si>
    <t>{'Eddie Butler_pitcher': {'Salary': 5600.0, 'projected_FD_points': 13.333329011544336, 'confidence': 0, 'FD_Position': 'P'}, 'Charlie Blackmon_batter': {'Salary': 3900.0, 'projected_FD_points': 3.2672455510277549, 'confidence': -0.12003001272374236, 'FD_Position': 'OF'}, 'Prince Fielder_batter': {'Salary': 3400.0, 'projected_FD_points': 3.2963570816346035, 'confidence': -0.11565795161814063, 'FD_Position': '1B'}, 'Josh Phegley_batter': {'Salary': 2400.0, 'projected_FD_points': 3.0189530771335065, 'confidence': 0.44767351365705332, 'FD_Position': 'C'},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'Jose Altuve_batter': {'Salary': 4400.0, 'projected_FD_points': 3.2750023122335605, 'confidence': -0.033759169821712121, 'FD_Position': '2B'},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'OF'}}</t>
  </si>
  <si>
    <t>{'Russell Martin_batter': {'Salary': 3700.0, 'projected_FD_points': 3.0139204382011937, 'confidence': -0.030569595254426041, 'FD_Position': 'C'}, 'Neil Walker_batter': {'Salary': 2800.0, 'projected_FD_points': 2.8024807917837729, 'confidence': 0.013451751957303859, 'FD_Position': '2B'}, 'Eddie Butler_pitcher': {'Salary': 5600.0, 'projected_FD_points': 13.333329011544336, 'confidence': 0, 'FD_Position': 'P'}, 'Prince Fielder_batter': {'Salary': 3400.0, 'projected_FD_points': 3.2963570816346035, 'confidence': -0.11565795161814063, 'FD_Position': '1B'},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'OF'}, 'Nelson Cruz_batter': {'Salary': 4500.0, 'projected_FD_points': 3.488436171926228, 'confidence': -0.085449735896276913, 'FD_Position': 'OF'}}</t>
  </si>
  <si>
    <t>{'Wandy Rodriguez_pitcher': {'Salary': 6400.0, 'projected_FD_points': 14.115670298131631, 'confidence': 0, 'FD_Position': 'P'}, 'Stephen Vogt_batter': {'Salary': 3600.0, 'projected_FD_points': 3.0453635776501127, 'confidence': -0.34223967013652579, 'FD_Position': 'C'},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'Troy Tulowitzki_batter': {'Salary': 4500.0, 'projected_FD_points': 4.6590675580545868, 'confidence': -0.10281025675385624, 'FD_Position': 'SS'}, 'Giancarlo Stanton_batter': {'Salary': 4600.0, 'projected_FD_points': 4.2441567749949858, 'confidence': -0.6596146324665606, 'FD_Position': 'OF'}, 'Chase Utley_batter': {'Salary': 3100.0, 'projected_FD_points': 2.5343223379065756, 'confidence': -0.064012804683213353, 'FD_Position': '2B'}}</t>
  </si>
  <si>
    <t>{'Yoenis Cespedes_batter': {'Salary': 2700.0, 'projected_FD_points': 3.0678102931474056, 'confidence': -1.3052719669789981, 'FD_Position': 'OF'},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'Christian Yelich_batter': {'Salary': 2700.0, 'projected_FD_points': 2.913115929498773, 'confidence': 0.042625799126436492, 'FD_Position': 'OF'}, 'Troy Tulowitzki_batter': {'Salary': 4500.0, 'projected_FD_points': 4.6590675580545868, 'confidence': -0.10281025675385624, 'FD_Position': 'SS'}, 'Kyle Seager_batter': {'Salary': 3000.0, 'projected_FD_points': 2.5056057636263289, 'confidence': 0.036849680042132738, 'FD_Position': '3B'}, 'Chase Utley_batter': {'Salary': 3100.0, 'projected_FD_points': 2.5343223379065756, 'confidence': -0.064012804683213353, 'FD_Position': '2B'}, 'Michael McKenry_batter': {'Salary': 2700.0, 'projected_FD_points': 2.0106451238469165, 'confidence': -0.09742873227466653, 'FD_Position': 'C'}, 'Jacob deGrom_pitcher': {'Salary': 9100.0, 'projected_FD_points': 15.577746675451602, 'confidence': 0.039868252117295833, 'FD_Position': 'P'}}</t>
  </si>
  <si>
    <t>{'Ben Paulsen_batter': {'Salary': 2200.0, 'projected_FD_points': 1.1196543983871421, 'confidence': -0.3533649919866575, 'FD_Position': '1B'}, 'Alexander Guerrero_batter': {'Salary': 2900.0, 'projected_FD_points': 2.7094502260964752, 'confidence': -1.6536186620778279, 'FD_Position': 'OF'}, 'Jeff Francoeur_batter': {'Salary': 2700.0, 'projected_FD_points': 1.8569743773892797, 'confidence': -2.0944949346519017, 'FD_Position': 'OF'}, 'Charlie Blackmon_batter': {'Salary': 3800.0, 'projected_FD_points': 3.8641666999703514, 'confidence': 0.28444306477858838, 'FD_Position': 'OF'}, 'Casey McGehee_batter': {'Salary': 2200.0, 'projected_FD_points': 1.7656021822445644, 'confidence': -0.043795168472603674, 'FD_Position': '3B'}, 'Justin Turner_batter': {'Salary': 2700.0, 'projected_FD_points': 1.6582426719638323, 'confidence': 0.02065376449324563, 'FD_Position': '2B'}, 'Clayton Kershaw_pitcher': {'Salary': 11200.0, 'projected_FD_points': 14.631266060898053, 'confidence': -0.7807272532607723, 'FD_Position': 'P'}, 'Troy Tulowitzki_batter': {'Salary': 4500.0, 'projected_FD_points': 4.6590675580545868, 'confidence': -0.10281025675385624, 'FD_Position': 'SS'}, 'Michael McKenry_batter': {'Salary': 2700.0, 'projected_FD_points': 2.0106451238469165, 'confidence': -0.09742873227466653, 'FD_Position': 'C'}}</t>
  </si>
  <si>
    <t>{'Jason Kipnis_batter': {'Salary': 4700.0, 'projected_FD_points': 2.869533479995495, 'confidence': 0.022909463665315544, 'FD_Position': '2B'}, 'Wandy Rodriguez_pitcher': {'Salary': 6400.0, 'projected_FD_points': 14.115670298131631, 'confidence': 0, 'FD_Position': 'P'}, 'Stephen Vogt_batter': {'Salary': 3600.0, 'projected_FD_points': 3.0453635776501127, 'confidence': -0.34223967013652579,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'Chris Colabello_batter': {'Salary': 2300.0, 'projected_FD_points': 2.7164670006225551, 'confidence': -0.10885254644418429, 'FD_Position': 'OF'}, 'Jose Abreu_batter': {'Salary': 3600.0, 'projected_FD_points': 3.3485795835500531, 'confidence': -0.024817733124425034, 'FD_Position': '1B'}}</t>
  </si>
  <si>
    <t>{'Jimmy Paredes_batter': {'Salary': 3300.0, 'projected_FD_points': 3.0383457225584167, 'confidence': 0.18246697351930696, 'FD_Position': '2B'}, 'Odubel Herrera_batter': {'Salary': 3000.0, 'projected_FD_points': 3.8798668027964007, 'confidence': 0.37994892342241182, 'FD_Position': 'OF'}, 'Ian Desmond_batter': {'Salary': 3100.0, 'projected_FD_points': 3.2891302936364193, 'confidence': 0.0059899508279631641, 'FD_Position': 'SS'}, 'Albert Pujols_batter': {'Salary': 2800.0, 'projected_FD_points': 2.6724877052245697, 'confidence': -0.14952215537570734, 'FD_Position': '1B'}, 'Dexter Fowler_batter': {'Salary': 3600.0, 'projected_FD_points': 3.9964793212919614, 'confidence': -0.034523301539689522, 'FD_Position': 'OF'}, 'Kyle Seager_batter': {'Salary': 2900.0, 'projected_FD_points': 3.0275769026545958, 'confidence': -0.017677784607100344, 'FD_Position': '3B'}, 'Michael Pineda_pitcher': {'Salary': 9500.0, 'projected_FD_points': 16.014212124885816, 'confidence': -7.4908058125374701, 'FD_Position': 'P'}, 'Giancarlo Stanton_batter': {'Salary': 4500.0, 'projected_FD_points': 4.5304508963316188, 'confidence': -0.063264558016857819, 'FD_Position': 'OF'}, 'Jason Castro_batter': {'Salary': 2300.0, 'projected_FD_points': 2.292526779890887, 'confidence': -0.12289702575266959, 'FD_Position': 'C'}}</t>
  </si>
  <si>
    <t>{'Brian Dozier_batter': {'Salary': 3800.0, 'projected_FD_points': 2.6327336477808547, 'confidence': -0.10033819200622651, 'FD_Position': '2B'}, 'Hunter Pence_batter': {'Salary': 3300.0, 'projected_FD_points': 2.678430069264762, 'confidence': -0.0069085623444187227, 'FD_Position': 'OF'}, 'Charlie Blackmon_batter': {'Salary': 3800.0, 'projected_FD_points': 2.9569022587457159, 'confidence': 0.22967158739927052, 'FD_Position': 'OF'}, 'Lance Lynn_pitcher': {'Salary': 8800.0, 'projected_FD_points': 11.740499616373635, 'confidence': 0.10249657008096791, 'FD_Position': 'P'}, 'Salvador Perez_batter': {'Salary': 2500.0, 'projected_FD_points': 1.7582914681534225, 'confidence': -0.010629723468654095, 'FD_Position': 'C'}, 'Jose Abreu_batter': {'Salary': 3500.0, 'projected_FD_points': 3.0902176493252145, 'confidence': 0.027337114313059852, 'FD_Position': '1B'}, 'Nolan Arenado_batter': {'Salary': 3900.0, 'projected_FD_points': 2.7895099629622231, 'confidence': -0.039340061920411173, 'FD_Position': '3B'}, 'Alexei Ramirez_batter': {'Salary': 2300.0, 'projected_FD_points': 2.8569988634413441, 'confidence': -0.021821805558424945, 'FD_Position': 'SS'}, 'Melky Cabrera_batter': {'Salary': 2400.0, 'projected_FD_points': 2.5124940022460005, 'confidence': -0.086693697668713376, 'FD_Position': 'OF'}}</t>
  </si>
  <si>
    <t>{'Brandon Belt_batter': {'Salary': 3800.0, 'projected_FD_points': 3.7001557003833319, 'confidence': -0.15265107662096655, 'FD_Position': '1B'}, 'Hunter Pence_batter': {'Salary': 3300.0, 'projected_FD_points': 3.4907744613290639, 'confidence': -0.1894730307316641, 'FD_Position': 'OF'}, 'Justin Turner_batter': {'Salary': 2600.0, 'projected_FD_points': 2.3207779262467638, 'confidence': -0.32277553719706265, 'FD_Position': '2B'}, 'Christian Yelich_batter': {'Salary': 2500.0, 'projected_FD_points': 2.631581422761097, 'confidence': 0.041846200251530297, 'FD_Position': 'OF'},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'Brock Holt_batter': {'Salary': 2200.0, 'projected_FD_points': 2.2753954065721764, 'confidence': -0.28162463521519876, 'FD_Position': '3B'},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</si>
  <si>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{'Yangervis Solarte_batter': {'Salary': 2200.0, 'projected_FD_points': 1.7753760270004009, 'confidence': -0.052118498722034223, 'FD_Position': '3B'}, 'Hunter Pence_batter': {'Salary': 3300.0, 'projected_FD_points': 3.4907744613290639, 'confidence': -0.1894730307316641, 'FD_Position': 'OF'}, 'Chris Coghlan_batter': {'Salary': 2400.0, 'projected_FD_points': 1.672577294999015, 'confidence': -0.0055322748806356792, 'FD_Position': 'OF'}, 'Justin Turner_batter': {'Salary': 2600.0, 'projected_FD_points': 2.3207779262467638, 'confidence': -0.32277553719706265, 'FD_Position': '2B'}, 'Brandon Belt_batter': {'Salary': 3800.0, 'projected_FD_points': 3.7001557003833319, 'confidence': -0.15265107662096655, 'FD_Position': '1B'},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</si>
  <si>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1.8425732210263321, 'confidence': -0.10894502558349561, 'FD_Position': 'OF'}, 'Justin Turner_batter': {'Salary': 2600.0, 'projected_FD_points': 2.3207779262467638, 'confidence': -0.32277553719706265, 'FD_Position': '2B'}, 'A.J. Pollock_batter': {'Salary': 4000.0, 'projected_FD_points': 2.8850838224739359, 'confidence': 0.040765696738737756, 'FD_Position': 'OF'}, 'Miguel Montero_batter': {'Salary': 2900.0, 'projected_FD_points': 2.2535720342211314, 'confidence': 0.0038795149321271261, 'FD_Position': 'C'},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'P'}}</t>
  </si>
  <si>
    <t>{'Sonny Gray_pitcher': {'Salary': 10200.0, 'projected_FD_points': 12.889392821039365, 'confidence': 0.096240597818821216, 'FD_Position': 'P'}, 'Kris Bryant_batter': {'Salary': 4000.0, 'projected_FD_points': 3.5501010105272979, 'confidence': -1.4372839334685534, 'FD_Position': '3B'}, 'Brandon Belt_batter': {'Salary': 4100.0, 'projected_FD_points': 3.7370561938223767, 'confidence': -0.14528957551932398, 'FD_Position': '1B'}, 'Russell Martin_batter': {'Salary': 3400.0, 'projected_FD_points': 3.0939276155141169, 'confidence': -0.071849132823992967, 'FD_Position': 'C'}, 'Robinson Cano_batter': {'Salary': 2800.0, 'projected_FD_points': 2.4304549531910156, 'confidence': -0.18148594723223521, 'FD_Position': '2B'}, 'Todd Cunningham_batter': {'Salary': 2200.0, 'projected_FD_points': 4.727705112960745, 'confidence': 0, 'FD_Position': 'OF'}, 'Rusney Castillo_batter': {'Salary': 2900.0, 'projected_FD_points': 4.8761810265825627, 'confidence': -0.32165328456098474, 'FD_Position': 'OF'}, 'Chris Colabello_batter': {'Salary': 2500.0, 'projected_FD_points': 3.4216093181554648, 'confidence': -0.31633122257426294, 'FD_Position': 'OF'}, 'Alexei Ramirez_batter': {'Salary': 2400.0, 'projected_FD_points': 3.0996157929733843, 'confidence': -0.38390992411901759, 'FD_Position': 'SS'}}</t>
  </si>
  <si>
    <t>{'Sonny Gray_pitcher': {'Salary': 10200.0, 'projected_FD_points': 12.889392821039365, 'confidence': 0.096240597818821216, 'FD_Position': 'P'}, 'Jason Kipnis_batter': {'Salary': 4700.0, 'projected_FD_points': 2.8576923302325019, 'confidence': -0.030125941434082648, 'FD_Position': '2B'}, 'Russell Martin_batter': {'Salary': 3400.0, 'projected_FD_points': 3.0939276155141169, 'confidence': -0.071849132823992967, 'FD_Position': 'C'}, 'Adam LaRoche_batter': {'Salary': 2800.0, 'projected_FD_points': 2.8195094878737974, 'confidence': -0.99742529177265804, 'FD_Position': '1B'}, 'Josh Donaldson_batter': {'Salary': 3800.0, 'projected_FD_points': 3.0270375705012795, 'confidence': -0.048448450475952587, 'FD_Position': '3B'}, 'Todd Cunningham_batter': {'Salary': 2200.0, 'projected_FD_points': 4.727705112960745, 'confidence': 0, 'FD_Position': 'OF'}, 'Alexei Ramirez_batter': {'Salary': 2400.0, 'projected_FD_points': 3.0996157929733843, 'confidence': -0.38390992411901759, 'FD_Position': 'SS'}, 'Chris Colabello_batter': {'Salary': 2500.0, 'projected_FD_points': 3.4216093181554648, 'confidence': -0.31633122257426294, 'FD_Position': 'OF'}, 'Rusney Castillo_batter': {'Salary': 2900.0, 'projected_FD_points': 4.8761810265825627, 'confidence': -0.32165328456098474, 'FD_Position': 'OF'}}</t>
  </si>
  <si>
    <t>{'Kris Bryant_batter': {'Salary': 4000.0, 'projected_FD_points': 3.5501010105272979, 'confidence': -1.4372839334685534, 'FD_Position': '3B'}, 'Robinson Chirinos_batter': {'Salary': 2600.0, 'projected_FD_points': 2.0519607323791726, 'confidence': 0.012110662728286981, 'FD_Position': 'C'}, 'Brandon Belt_batter': {'Salary': 4100.0, 'projected_FD_points': 3.7370561938223767, 'confidence': -0.14528957551932398, 'FD_Position': '1B'}, 'Aaron Hill_batter': {'Salary': 2800.0, 'projected_FD_points': 1.7491426158600609, 'confidence': -0.18327735586875105, 'FD_Position': '2B'}, 'Hunter Pence_batter': {'Salary': 3400.0, 'projected_FD_points': 3.0192392150458884, 'confidence': 0.0039762409029778789, 'FD_Position': 'OF'}, 'Carlos Frias_pitcher': {'Salary': 6600.0, 'projected_FD_points': 9.7030830959807695, 'confidence': 0.16156764305165539, 'FD_Position': 'P'}, 'Dexter Fowler_batter': {'Salary': 3800.0, 'projected_FD_points': 3.6965595550695083, 'confidence': -0.075429655242002402, 'FD_Position': 'OF'}, 'Troy Tulowitzki_batter': {'Salary': 4400.0, 'projected_FD_points': 3.5369192437064649, 'confidence': -0.097001404657689028, 'FD_Position': 'SS'}, 'Brett Gardner_batter': {'Salary': 3300.0, 'projected_FD_points': 3.0017318373356257, 'confidence': -0.00020837386717653672, 'FD_Position': 'OF'}}</t>
  </si>
  <si>
    <t>{'Kris Bryant_batter': {'Salary': 4100.0, 'projected_FD_points': 3.5402036468883171, 'confidence': -3.9504681589423756, 'FD_Position': '3B'},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'Russell Martin_batter': {'Salary': 3300.0, 'projected_FD_points': 2.9729386359229095, 'confidence': -0.13741634456202911, 'FD_Position': 'C'}, 'Lucas Duda_batter': {'Salary': 3400.0, 'projected_FD_points': 3.9163635686158647, 'confidence': -0.25982737219604246, 'FD_Position': '1B'}, 'Michael Brantley_batter': {'Salary': 4500.0, 'projected_FD_points': 3.4460501038148106, 'confidence': -0.057306554053293102, 'FD_Position': 'OF'}, 'Dexter Fowler_batter': {'Salary': 3800.0, 'projected_FD_points': 3.3776336036360464, 'confidence': -0.032941537715535762, 'FD_Position': 'OF'}, 'Jacob Elmore_batter': {'Salary': 2300.0, 'projected_FD_points': 3.9507953200332668, 'confidence': -0.788090666678819, 'FD_Position': 'SS'}, 'Michael Cuddyer_batter': {'Salary': 2300.0, 'projected_FD_points': 3.6848131565358893, 'confidence': 0.029493826115233879, 'FD_Position': 'OF'}}</t>
  </si>
  <si>
    <t>{'Avisail Garcia_batter': {'Salary': 3000.0, 'projected_FD_points': 3.1683534726489917, 'confidence': -1.668860077641138, 'FD_Position': 'OF'}, 'Russell Martin_batter': {'Salary': 3300.0, 'projected_FD_points': 2.9729386359229095, 'confidence': -0.13741634456202911, 'FD_Position': 'C'}, 'Neil Walker_batter': {'Salary': 2700.0, 'projected_FD_points': 2.5024345216670638, 'confidence': -0.11490443457480137, 'FD_Position': '2B'}, 'Josh Donaldson_batter': {'Salary': 3800.0, 'projected_FD_points': 3.1067559930283708, 'confidence': -0.088426179003404215, 'FD_Position': '3B'}, 'Jake Odorizzi_pitcher': {'Salary': 8600.0, 'projected_FD_points': 14.194694868917253, 'confidence': -1.3729675802886518, 'FD_Position': 'P'}, 'Jacob Elmore_batter': {'Salary': 2300.0, 'projected_FD_points': 3.9507953200332668, 'confidence': -0.788090666678819, 'FD_Position': 'SS'}, 'Mike Trout_batter': {'Salary': 5300.0, 'projected_FD_points': 3.5635433312121103, 'confidence': -0.056988167333387629, 'FD_Position': 'OF'}, 'Chris Colabello_batter': {'Salary': 2700.0, 'projected_FD_points': 3.2308305569341611, 'confidence': 0.29110950737207286, 'FD_Position': 'OF'}, 'Jose Abreu_batter': {'Salary': 3200.0, 'projected_FD_points': 3.3109405893174486, 'confidence': -0.015386965297845778, 'FD_Position': '1B'}}</t>
  </si>
  <si>
    <t>{'Michael Brantley_batter': {'Salary': 4500.0, 'projected_FD_points': 3.4460501038148106, 'confidence': -0.057306554053293102, 'FD_Position': 'OF'},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'Stephen Vogt_batter': {'Salary': 3500.0, 'projected_FD_points': 2.509482601371086, 'confidence': 0.002123543385936455, 'FD_Position': 'C'}, 'Wilmer Flores_batter': {'Salary': 2200.0, 'projected_FD_points': 2.7515941693521011, 'confidence': -0.64896757667035043, 'FD_Position': 'SS'}, 'Lucas Duda_batter': {'Salary': 3400.0, 'projected_FD_points': 3.9163635686158647, 'confidence': -0.25982737219604246, 'FD_Position': '1B'}, 'Kris Bryant_batter': {'Salary': 4100.0, 'projected_FD_points': 3.5402036468883171, 'confidence': -3.9504681589423756, 'FD_Position': '3B'}, 'Dexter Fowler_batter': {'Salary': 3800.0, 'projected_FD_points': 3.3776336036360464, 'confidence': -0.032941537715535762, 'FD_Position': 'OF'}, 'Michael Cuddyer_batter': {'Salary': 2300.0, 'projected_FD_points': 3.6848131565358893, 'confidence': 0.029493826115233879, 'FD_Position': 'OF'}}</t>
  </si>
  <si>
    <t>{'Kris Bryant_batter': {'Salary': 4200.0, 'projected_FD_points': 4.4382402649414843, 'confidence': -0.093921964378099743, 'FD_Position': '3B'}, 'Jimmy Paredes_batter': {'Salary': 3100.0, 'projected_FD_points': 3.6410990583351666, 'confidence': -1.3348180908412592, 'FD_Position': '2B'}, 'Jose Bautista_batter': {'Salary': 4500.0, 'projected_FD_points': 3.6855446091412474, 'confidence': -0.023082872340447702, 'FD_Position': 'OF'}, 'Kevin Plawecki_batter': {'Salary': 2200.0, 'projected_FD_points': 3.304323292035857, 'confidence': 0.47765125555183641, 'FD_Position': 'C'}, 'Tyler Moore_batter': {'Salary': 2300.0, 'projected_FD_points': 3.6361689260829957, 'confidence': -1.4342922249783112, 'FD_Position': '1B'}, 'Troy Tulowitzki_batter': {'Salary': 3900.0, 'projected_FD_points': 3.2168438118106408, 'confidence': -0.76211409126461471, 'FD_Position': 'SS'}, 'Chris Colabello_batter': {'Salary': 2800.0, 'projected_FD_points': 3.1716721801412984, 'confidence': 0.095723241393791292, 'FD_Position': 'OF'}, 'Michael Cuddyer_batter': {'Salary': 2200.0, 'projected_FD_points': 3.5156860131302317, 'confidence': 0.18742467118916317, 'FD_Position': 'OF'}, 'Jacob deGrom_pitcher': {'Salary': 9700.0, 'projected_FD_points': 20.354993353276498, 'confidence': -2.1163211885491156, 'FD_Position': 'P'}}</t>
  </si>
  <si>
    <t>{'Jimmy Paredes_batter': {'Salary': 3000.0, 'projected_FD_points': 3.2153418360797215, 'confidence': 0.38948543947530612, 'FD_Position': '2B'}, 'Eddie Rosario_batter': {'Salary': 2600.0, 'projected_FD_points': 3.028367539195969, 'confidence': 0.21771259176275182, 'FD_Position': 'OF'}, 'Kevin Plawecki_batter': {'Salary': 2200.0, 'projected_FD_points': 2.8881031917816973, 'confidence': -3.2949420921213548, 'FD_Position': 'C'},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'3B'}, 'Miguel Cabrera_batter': {'Salary': 5100.0, 'projected_FD_points': 4.0600413650214264, 'confidence': -0.12630318645671701, 'FD_Position': '1B'}}</t>
  </si>
  <si>
    <t>{'Kevin Plawecki_batter': {'Salary': 2200.0, 'projected_FD_points': 2.8881031917816973, 'confidence': -3.2949420921213548, 'FD_Position': 'C'}, 'Neil Walker_batter': {'Salary': 2700.0, 'projected_FD_points': 2.8921522509449762, 'confidence': -0.0068557882972435369, 'FD_Position': '2B'}, 'Eddie Rosario_batter': {'Salary': 2600.0, 'projected_FD_points': 3.028367539195969, 'confidence': 0.21771259176275182, 'FD_Position': 'OF'}, 'Jose Bautista_batter': {'Salary': 4500.0, 'projected_FD_points': 3.3300387925115604, 'confidence': 0.045343153600964525, 'FD_Position': 'OF'},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'3B'}}</t>
  </si>
  <si>
    <t>{'Kris Bryant_batter': {'Salary': 4600.0, 'projected_FD_points': 3.3710316724637197, 'confidence': -0.32853990151358636, 'FD_Position': '3B'}, 'Starlin Castro_batter': {'Salary': 2700.0, 'projected_FD_points': 2.2051161875623291, 'confidence': -0.13128970049181476, 'FD_Position': 'SS'}, 'Adrian Gonzalez_batter': {'Salary': 3800.0, 'projected_FD_points': 3.7161431759586039, 'confidence': -0.011138889404179286, 'FD_Position': '1B'}, 'A.J. Pierzynski_batter': {'Salary': 2300.0, 'projected_FD_points': 2.4825654510561823, 'confidence': -0.16783394164969367, 'FD_Position': 'C'}, 'Howie Kendrick_batter': {'Salary': 2900.0, 'projected_FD_points': 2.2761683448369112, 'confidence': -0.0359231047242905, 'FD_Position': '2B'}, 'Matt Holliday_batter': {'Salary': 3200.0, 'projected_FD_points': 3.0686681841308414, 'confidence': 0.028812836711821888, 'FD_Position': 'OF'}, 'Nick Markakis_batter': {'Salary': 2500.0, 'projected_FD_points': 2.4672983955815431, 'confidence': -0.003102354851644229, 'FD_Position': 'OF'}, 'Dexter Fowler_batter': {'Salary': 3800.0, 'projected_FD_points': 3.2344098479775236, 'confidence': -0.069828466466596684, 'FD_Position': 'OF'}, 'Garrett Richards_pitcher': {'Salary': 9000.0, 'projected_FD_points': 11.592006410574673, 'confidence': -0.61483132384614891, 'FD_Position': 'P'}}</t>
  </si>
  <si>
    <t>{'Kevin Plawecki_batter': {'Salary': 2200.0, 'projected_FD_points': 2.8881031917816973, 'confidence': -3.2949420921213548, 'FD_Position': 'C'}, 'Brian Dozier_batter': {'Salary': 4000.0, 'projected_FD_points': 2.8638971462706539, 'confidence': -0.022659052453771533, 'FD_Position': '2B'}, 'Eddie Rosario_batter': {'Salary': 2600.0, 'projected_FD_points': 3.028367539195969, 'confidence': 0.21771259176275182, 'FD_Position': 'OF'}, 'Trevor Plouffe_batter': {'Salary': 2900.0, 'projected_FD_points': 3.3026810910805562, 'confidence': 0.044035434095595183, 'FD_Position': '3B'},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'OF'}}</t>
  </si>
  <si>
    <t>{'Jimmy Paredes_batter': {'Salary': 3200.0, 'projected_FD_points': 3.471928722308399, 'confidence': 0.29243225291346031, 'FD_Position': '2B'}, 'Alex Rodriguez_batter': {'Salary': 3300.0, 'projected_FD_points': 3.2485848001222979, 'confidence': -0.1124645223647327, 'FD_Position': '3B'},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'Alexei Ramirez_batter': {'Salary': 2400.0, 'projected_FD_points': 2.838593659456957, 'confidence': 0.098717663423378621, 'FD_Position': 'SS'}, 'Andrew McCutchen_batter': {'Salary': 4300.0, 'projected_FD_points': 3.3036528625465027, 'confidence': -0.12663014846023879, 'FD_Position': 'OF'}}</t>
  </si>
  <si>
    <t>{'Alex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'Marcus Semien_batter': {'Salary': 2800.0, 'projected_FD_points': 2.6175936251971219, 'confidence': -1.0187049718985435, 'FD_Position': 'SS'},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</si>
  <si>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3.515563998895598, 'confidence': -3.3235930484575844, 'FD_Position': '2B'}, 'Dexter Fowler_batter': {'Salary': 3800.0, 'projected_FD_points': 4.0211270487132342, 'confidence': -0.1982328885505471, 'FD_Position': 'OF'}, 'Trevor Plouffe_batter': {'Salary': 2900.0, 'projected_FD_points': 3.1095884634508599, 'confidence': 0.058651889151009828, 'FD_Position': '3B'}, 'Matt Harvey_pitcher': {'Salary': 10700.0, 'projected_FD_points': 18.049516405201537, 'confidence': 0, 'FD_Position': 'P'}, 'Alexander Guerrero_batter': {'Salary': 3000.0, 'projected_FD_points': 3.5826567201349739, 'confidence': 0.19926817551945353, 'FD_Position': 'OF'},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'Joey Butler_batter': {'Salary': 2300.0, 'projected_FD_points': 2.7892492700995044, 'confidence': -3.6189970836014167, 'FD_Position': 'OF'}}</t>
  </si>
  <si>
    <t>{'Jimmy Paredes_batter': {'Salary': 3300.0, 'projected_FD_points': 3.515563998895598, 'confidence': -3.3235930484575844, 'FD_Position': '2B'}, 'Alexander Guerrero_batter': {'Salary': 3000.0, 'projected_FD_points': 3.5826567201349739, 'confidence': 0.19926817551945353, 'FD_Position': 'OF'}, 'Hunter Pence_batter': {'Salary': 3100.0, 'projected_FD_points': 2.9030821213711131, 'confidence': -0.029895138898433871, 'FD_Position': 'OF'}, 'Matt Harvey_pitcher': {'Salary': 10700.0, 'projected_FD_points': 18.049516405201537, 'confidence': 0, 'FD_Position': 'P'}, 'Trevor Plouffe_batter': {'Salary': 2900.0, 'projected_FD_points': 3.1095884634508599, 'confidence': 0.058651889151009828, 'FD_Position': '3B'},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'Michael Cuddyer_batter': {'Salary': 2700.0, 'projected_FD_points': 2.877623240646253, 'confidence': 0.029390735138695168, 'FD_Position': 'OF'}}</t>
  </si>
  <si>
    <t>{'Kyle Gibson_pitcher': {'Salary': 6500.0, 'projected_FD_points': 13.724529012731605, 'confidence': -0.37393070251483418, 'FD_Position': 'P'}, 'Michael Brantley_batter': {'Salary': 4300.0, 'projected_FD_points': 3.7417477284779936, 'confidence': 0.071502902663285628, 'FD_Position': 'OF'},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'Miguel Cabrera_batter': {'Salary': 4900.0, 'projected_FD_points': 3.8684687133627098, 'confidence': -0.066247379112902127, 'FD_Position': '1B'}, 'Kyle Seager_batter': {'Salary': 3600.0, 'projected_FD_points': 3.2710442326206106, 'confidence': 0.074323558024306347, 'FD_Position': '3B'},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</si>
  <si>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{'Michael Brantley_batter': {'Salary': 4300.0, 'projected_FD_points': 3.7417477284779936, 'confidence': 0.071502902663285628, 'FD_Position': 'OF'}, 'Shane Greene_pitcher': {'Salary': 7200.0, 'projected_FD_points': 12.510740704087929, 'confidence': 0.34697299187105546, 'FD_Position': 'P'}, 'Brandon Moss_batter': {'Salary': 3500.0, 'projected_FD_points': 3.4423594249633691, 'confidence': -0.10350102889596191, 'FD_Position': 'OF'}, 'Robinson Cano_batter': {'Salary': 2600.0, 'projected_FD_points': 2.3421685858738357, 'confidence': -0.0057636588127119026, 'FD_Position': '2B'}, 'Matt Holliday_batter': {'Salary': 3200.0, 'projected_FD_points': 3.0139710406077365, 'confidence': 0.12459678611167202, 'FD_Position': 'OF'}, 'Derek Norris_batter': {'Salary': 2600.0, 'projected_FD_points': 2.0799267210851387, 'confidence': -0.2457813606682604, 'FD_Position': 'C'}, 'Kyle Seager_batter': {'Salary': 3600.0, 'projected_FD_points': 3.2710442326206106, 'confidence': 0.074323558024306347, 'FD_Position': '3B'}, 'Brandon Crawford_batter': {'Salary': 2900.0, 'projected_FD_points': 2.4738006489997848, 'confidence': -0.0014936347535974281, 'FD_Position': 'SS'}, 'Miguel Cabrera_batter': {'Salary': 4900.0, 'projected_FD_points': 3.8684687133627098, 'confidence': -0.066247379112902127, 'FD_Position': '1B'}}</t>
  </si>
  <si>
    <t>{'Kyle Gibson_pitcher': {'Salary': 6500.0, 'projected_FD_points': 13.724529012731605, 'confidence': -0.37393070251483418, 'FD_Position': 'P'},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'Trevor Plouffe_batter': {'Salary': 2900.0, 'projected_FD_points': 3.0706540160985312, 'confidence': -0.13545582731992978, 'FD_Position': '3B'}, 'Paul Goldschmidt_batter': {'Salary': 5100.0, 'projected_FD_points': 3.4262979693952587, 'confidence': 0.021849882439766377, 'FD_Position': '1B'}, 'A.J. Pollock_batter': {'Salary': 4100.0, 'projected_FD_points': 3.2937158529265553, 'confidence': -0.39733203241607384, 'FD_Position': 'OF'},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</si>
  <si>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{'Adrian Beltre_batter': {'Salary': 3300.0, 'projected_FD_points': 2.9177197490165061, 'confidence': -0.053243880167303193, 'FD_Position': '3B'}, 'Jimmy Paredes_batter': {'Salary': 3200.0, 'projected_FD_points': 2.9996352592815327, 'confidence': -0.53802811015516294, 'FD_Position': '2B'}, 'Paul Goldschmidt_batter': {'Salary': 5100.0, 'projected_FD_points': 3.4262979693952587, 'confidence': 0.021849882439766377, 'FD_Position': '1B'}, 'Jhonny Peralta_batter': {'Salary': 3300.0, 'projected_FD_points': 2.4322539582271117, 'confidence': -0.060230725381939632, 'FD_Position': 'SS'},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'Michael Cuddyer_batter': {'Salary': 2700.0, 'projected_FD_points': 3.4290272560936419, 'confidence': -0.56743194479869419, 'FD_Position': 'OF'}, 'Wei-Yin Chen_pitcher': {'Salary': 7400.0, 'projected_FD_points': 11.411416265111562, 'confidence': -0.36915013246100825, 'FD_Position': 'P'}, 'Jason Castro_batter': {'Salary': 2400.0, 'projected_FD_points': 2.5867890668816571, 'confidence': -0.003213939436687907, 'FD_Position': 'C'}}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</si>
  <si>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'David Price_pitcher': {'Salary': 10800.0, 'projected_FD_points': 15.363802223889664, 'confidence': -0.17632288686443709, 'FD_Position': 'P'}, 'Dexter Fowler_batter': {'Salary': 3600.0, 'projected_FD_points': 3.1447183213201866, 'confidence': 0.066582040081868299, 'FD_Position': 'OF'}, 'Chris Colabello_batter': {'Salary': 2900.0, 'projected_FD_points': 3.189892340701407, 'confidence': -0.12501180147043156, 'FD_Position': 'OF'}, 'Chase Utley_batter': {'Salary': 2700.0, 'projected_FD_points': 2.4696186044190047, 'confidence': -0.23052725789185602, 'FD_Position': '2B'}, 'Jason Castro_batter': {'Salary': 2400.0, 'projected_FD_points': 2.6196699204434335, 'confidence': -0.0080299962156076266, 'FD_Position': 'C'}}</t>
  </si>
  <si>
    <t>{'Albert Pujols_batter': {'Salary': 3200.0, 'projected_FD_points': 2.9968141433639714, 'confidence': -0.36994625900524292,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2.8854905455560327, 'confidence': -0.016092241055954748, 'FD_Position': 'C'}, 'David Price_pitcher': {'Salary': 10800.0, 'projected_FD_points': 15.363802223889664, 'confidence': -0.17632288686443709, 'FD_Position': 'P'}, 'Nick Markakis_batter': {'Salary': 2400.0, 'projected_FD_points': 2.4974556938012071, 'confidence': -0.1050294761095294, 'FD_Position': 'OF'}, 'Kyle Seager_batter': {'Salary': 3500.0, 'projected_FD_points': 2.7444741432135111, 'confidence': -0.1489034081433509, 'FD_Position': '3B'}, 'Brandon Crawford_batter': {'Salary': 2900.0, 'projected_FD_points': 2.7441597430726743, 'confidence': -0.056864633161136879, 'FD_Position': 'SS'}}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</si>
  <si>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'Brett Anderson_pitcher': {'Salary': 6700.0, 'projected_FD_points': 11.657670212111153, 'confidence': -5.4186403399974248, 'FD_Position': 'P'}, 'Evan Gattis_batter': {'Salary': 4000.0, 'projected_FD_points': 3.3376750250183207, 'confidence': -0.29730346539648544, 'FD_Position': 'C'},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'Jose Altuve_batter': {'Salary': 3800.0, 'projected_FD_points': 2.792222866364328, 'confidence': -0.016637347398131164, 'FD_Position': '2B'}, 'Chris Colabello_batter': {'Salary': 2900.0, 'projected_FD_points': 3.189892340701407, 'confidence': -0.12501180147043156, 'FD_Position': 'OF'}}</t>
  </si>
  <si>
    <t>{'Adrian Beltre_batter': {'Salary': 3200.0, 'projected_FD_points': 3.1706624711716369, 'confidence': -0.034538870447961001, 'FD_Position': '3B'}, 'Anthony Rizzo_batter': {'Salary': 4100.0, 'projected_FD_points': 3.1980828196293518, 'confidence': -0.055343676968154787, 'FD_Position': '1B'},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'Jose Altuve_batter': {'Salary': 3800.0, 'projected_FD_points': 2.792222866364328, 'confidence': -0.016637347398131164, 'FD_Position': '2B'}, 'Evan Gattis_batter': {'Salary': 4000.0, 'projected_FD_points': 3.3376750250183207, 'confidence': -0.29730346539648544, 'FD_Position': 'C'}, 'Daniel Santana_batter': {'Salary': 2400.0, 'projected_FD_points': 2.488479165839006, 'confidence': -0.016785280662543256, 'FD_Position': 'SS'}, 'Brett Anderson_pitcher': {'Salary': 6700.0, 'projected_FD_points': 11.657670212111153, 'confidence': -5.4186403399974248, 'FD_Position': 'P'}, 'Chris Colabello_batter': {'Salary': 2900.0, 'projected_FD_points': 3.189892340701407, 'confidence': -0.12501180147043156, 'FD_Position': 'OF'}}</t>
  </si>
  <si>
    <t>{'Aaron Hill_batter': {'Salary': 2300.0, 'projected_FD_points': 2.17820897640566, 'confidence': -0.14467331718245346, 'FD_Position': '2B'}, 'Dexter Fowler_batter': {'Salary': 3600.0, 'projected_FD_points': 3.3104587872708766, 'confidence': 0.078614148612096924, 'FD_Position': 'OF'}, 'Carlos Perez_batter': {'Salary': 2800.0, 'projected_FD_points': 3.1674431339059534, 'confidence': -2.4252783517557845, 'FD_Position': 'C'}, 'Aramis Ramirez_batter': {'Salary': 2800.0, 'projected_FD_points': 2.7564799578723731, 'confidence': -0.82079597983942154, 'FD_Position': '3B'}, 'Felix Hernandez_pitcher': {'Salary': 12000.0, 'projected_FD_points': 15.450352621764077, 'confidence': 0.14943524463796731, 'FD_Position': 'P'}, 'Wilin Rosario_batter': {'Salary': 3100.0, 'projected_FD_points': 2.6111062171271984, 'confidence': -0.10615394846518145, 'FD_Position': '1B'}, 'Christian Yelich_batter': {'Salary': 2300.0, 'projected_FD_points': 2.4502726281873768, 'confidence': -0.014659786546548981, 'FD_Position': 'OF'}, 'Joey Butler_batter': {'Salary': 2200.0, 'projected_FD_points': 3.5818628160795711, 'confidence': 0.4584322280478409, 'FD_Position': 'OF'}, 'Troy Tulowitzki_batter': {'Salary': 3900.0, 'projected_FD_points': 3.593471616340512, 'confidence': -0.1272879811120744, 'FD_Position': 'SS'}}</t>
  </si>
  <si>
    <t>{'Dexter Fowler_batter': {'Salary': 3500.0, 'projected_FD_points': 3.3783478026705138, 'confidence': 0.13404811182950815, 'FD_Position': 'OF'}, 'Stephen Vogt_batter': {'Salary': 3600.0, 'projected_FD_points': 3.0858350747465173, 'confidence': 0.01315525617670199, 'FD_Position': 'C'}, 'Aramis Ramirez_batter': {'Salary': 2600.0, 'projected_FD_points': 2.7554684401281277, 'confidence': -0.088369840706594704, 'FD_Position': '3B'}, 'Matt Holliday_batter': {'Salary': 3100.0, 'projected_FD_points': 3.4009984833871245, 'confidence': -0.087521188330291766, 'FD_Position': 'OF'}, 'Chris Heston_pitcher': {'Salary': 6900.0, 'projected_FD_points': 25.487388978554318, 'confidence': -3.0404118839742029, 'FD_Position': 'P'}, 'Giancarlo Stanton_batter': {'Salary': 4500.0, 'projected_FD_points': 3.4016461966256313, 'confidence': -0.0044930417408179935, 'FD_Position': 'OF'}, 'Chase Utley_batter': {'Salary': 2600.0, 'projected_FD_points': 2.8084112361647211, 'confidence': -0.057073334613151339, 'FD_Position': '2B'}, 'Miguel Cabrera_batter': {'Salary': 4800.0, 'projected_FD_points': 3.5026680123052971, 'confidence': -0.19793292470714752, 'FD_Position': '1B'}, 'Ian Desmond_batter': {'Salary': 3200.0, 'projected_FD_points': 2.8317956416127448, 'confidence': -2.8916638336484723e-05, 'FD_Position': 'SS'}}</t>
  </si>
  <si>
    <t>{'Michael Brantley_batter': {'Salary': 3900.0, 'projected_FD_points': 3.3375182327540953, 'confidence': -0.068570229627560098, 'FD_Position': 'OF'}, 'Jimmy Paredes_batter': {'Salary': 2900.0, 'projected_FD_points': 2.7528004026452075, 'confidence': -8.9644158747413645, 'FD_Position': '2B'}, 'Matt Holliday_batter': {'Salary': 3100.0, 'projected_FD_points': 3.4009984833871245, 'confidence': -0.087521188330291766, 'FD_Position': 'OF'}, 'Alex Gordon_batter': {'Salary': 3100.0, 'projected_FD_points': 2.5100883506086897, 'confidence': -0.015136284693879398, 'FD_Position': 'OF'}, 'Matt Carpenter_batter': {'Salary': 3800.0, 'projected_FD_points': 2.9902900735043492, 'confidence': -0.041824704280569946, 'FD_Position': '3B'}, 'Adrian Gonzalez_batter': {'Salary': 4300.0, 'projected_FD_points': 3.1132574557043897, 'confidence': -0.14303235318067387, 'FD_Position': '1B'}, 'Lance Lynn_pitcher': {'Salary': 8800.0, 'projected_FD_points': 12.249319862181219, 'confidence': 0.02293738971999626, 'FD_Position': 'P'}, 'Michael McKenry_batter': {'Salary': 2800.0, 'projected_FD_points': 2.3195933881578763, 'confidence': 0.017500203456009777, 'FD_Position': 'C'}, 'Alexei Ramirez_batter': {'Salary': 2300.0, 'projected_FD_points': 2.2028238137509497, 'confidence': -0.013162568127320862, 'FD_Position': 'SS'}}</t>
  </si>
  <si>
    <t>{'Jimmy Paredes_batter': {'Salary': 2800.0, 'projected_FD_points': 2.8868591462621223, 'confidence': -1.2227473780196556, 'FD_Position': '2B'}, 'Adrian Gonzalez_batter': {'Salary': 4500.0, 'projected_FD_points': 3.9039381770958399, 'confidence': 0.058648217408700742,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'Matt Holliday_batter': {'Salary': 3100.0, 'projected_FD_points': 2.9894246042067993, 'confidence': -0.015037783394030724, 'FD_Position': 'OF'}, 'Maikel Franco_batter': {'Salary': 2200.0, 'projected_FD_points': 2.6756756505997412, 'confidence': -2.5208169778653651, 'FD_Position': '3B'},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'Alexei Ramirez_batter': {'Salary': 2300.0, 'projected_FD_points': 2.6985014047652252, 'confidence': -0.01632615377251212, 'FD_Position': 'SS'}}</t>
  </si>
  <si>
    <t>{'Phil Hughes_pitcher': {'Salary': 7800.0, 'projected_FD_points': 11.394350154302542, 'confidence': -1.7470986801689699, 'FD_Position': 'P'}, 'Neil Walker_batter': {'Salary': 2800.0, 'projected_FD_points': 2.6458935890428905, 'confidence': -1.2644739521430779, 'FD_Position': '2B'}, 'Jonathan Lucroy_batter': {'Salary': 2800.0, 'projected_FD_points': 2.3170601133562094, 'confidence': -0.00083193656939473115, 'FD_Position': 'C'}, 'Freddie Freeman_batter': {'Salary': 3500.0, 'projected_FD_points': 2.7172416172587881, 'confidence': 0.01121383676602028, 'FD_Position': '1B'}, 'Matt Holliday_batter': {'Salary': 3100.0, 'projected_FD_points': 2.9894246042067993, 'confidence': -0.015037783394030724, 'FD_Position': 'OF'}, 'Daniel Santana_batter': {'Salary': 2200.0, 'projected_FD_points': 2.1759420666342386, 'confidence': -0.0013636145103808062, 'FD_Position': 'SS'}, 'Nelson Cruz_batter': {'Salary': 4200.0, 'projected_FD_points': 3.2163171851812447, 'confidence': -0.35067891703765341,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</si>
  <si>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2.5894110278114528, 'confidence': -3.3269561280366595, 'FD_Position': '3B'}, 'Chris Owings_batter': {'Salary': 2600.0, 'projected_FD_points': 2.1395903794058557, 'confidence': -0.028217477613176278, 'FD_Position': 'SS'}, 'Neil Walker_batter': {'Salary': 2800.0, 'projected_FD_points': 2.6458935890428905, 'confidence': -1.2644739521430779, 'FD_Position': '2B'}, 'Seth Smith_batter': {'Salary': 2600.0, 'projected_FD_points': 2.1739458033398158, 'confidence': -0.22829977933303369, 'FD_Position': 'OF'}, 'Francisco Liriano_pitcher': {'Salary': 9300.0, 'projected_FD_points': 11.029280071040635, 'confidence': -0.11038266964939059, 'FD_Position': 'P'}, 'Freddie Freeman_batter': {'Salary': 3500.0, 'projected_FD_points': 2.7172416172587881, 'confidence': 0.01121383676602028, 'FD_Position': '1B'}, 'Jarrod Saltalamacchia_batter': {'Salary': 2200.0, 'projected_FD_points': 2.0769537758411536, 'confidence': -0.026531447736630298, 'FD_Position': 'C'}, 'Nelson Cruz_batter': {'Salary': 4200.0, 'projected_FD_points': 3.2163171851812447, 'confidence': -0.35067891703765341, 'FD_Position': 'OF'}, 'Andrew McCutchen_batter': {'Salary': 4700.0, 'projected_FD_points': 3.1803824028846424, 'confidence': -0.024250623897334789, 'FD_Position': 'OF'}}</t>
  </si>
  <si>
    <t>{'Ben Paulsen_batter': {'Salary': 3200.0, 'projected_FD_points': 3.3143929507813867, 'confidence': -3.1054718996914259,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'Brock Holt_batter': {'Salary': 2400.0, 'projected_FD_points': 2.345698074039781, 'confidence': -0.038211979445555544, 'FD_Position': '3B'}, 'Giancarlo Stanton_batter': {'Salary': 4500.0, 'projected_FD_points': 3.5340837077251641, 'confidence': -0.022073269804075091, 'FD_Position': 'OF'}, 'Chase Utley_batter': {'Salary': 2600.0, 'projected_FD_points': 2.8452712530577773, 'confidence': -0.12135373181340126, 'FD_Position': '2B'}, 'Alexei Ramirez_batter': {'Salary': 2300.0, 'projected_FD_points': 2.6985014047652252, 'confidence': -0.01632615377251212, 'FD_Position': 'SS'}}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</si>
  <si>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'Chase Utley_batter': {'Salary': 2800.0, 'projected_FD_points': 2.4685327948842568, 'confidence': -0.031435862500481804, 'FD_Position': '2B'},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'Caleb Joseph_batter': {'Salary': 2200.0, 'projected_FD_points': 2.2687055112326, 'confidence': -0.26950034710314719, 'FD_Position': 'C'}}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</si>
  <si>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</si>
  <si>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{'J.D. Martinez_batter': {'Salary': 3100.0, 'projected_FD_points': 2.8465536097653876, 'confidence': -0.010075326200420065, 'FD_Position': 'OF'}, 'Jose Altuve_batter': {'Salary': 3800.0, 'projected_FD_points': 2.815481497446648, 'confidence': -0.037205481519626549, 'FD_Position': '2B'}, 'Trevor Plouffe_batter': {'Salary': 2900.0, 'projected_FD_points': 2.1805922416867629, 'confidence': 0.078808530297700741, 'FD_Position': '3B'}, 'Xander Bogaerts_batter': {'Salary': 2400.0, 'projected_FD_points': 2.0429644583530644, 'confidence': -0.044021778058022321, 'FD_Position': 'SS'}, 'Billy Burns_batter': {'Salary': 3300.0, 'projected_FD_points': 2.7683904897224947, 'confidence': -0.5399318533988724, 'FD_Position': 'OF'}, 'Adam Jones_batter': {'Salary': 2700.0, 'projected_FD_points': 2.3152026426534942, 'confidence': -0.019475149052536, 'FD_Position': 'OF'}, 'Dallas Keuchel_pitcher': {'Salary': 9800.0, 'projected_FD_points': 11.373198166683927, 'confidence': -5.9548449392665841, 'FD_Position': 'P'}, 'Caleb Joseph_batter': {'Salary': 2200.0, 'projected_FD_points': 2.2687055112326, 'confidence': -0.26950034710314719, 'FD_Position': 'C'}, 'Miguel Cabrera_batter': {'Salary': 4700.0, 'projected_FD_points': 3.4282805485371304, 'confidence': 0.015393525248789564, 'FD_Position': '1B'}}</t>
  </si>
  <si>
    <t>{'Kyle Gibson_pitcher': {'Salary': 6500.0, 'projected_FD_points': 13.43954613346455, 'confidence': -0.0063569647081092029, 'FD_Position': 'P'}, 'Jimmy Paredes_batter': {'Salary': 2700.0, 'projected_FD_points': 2.7667708658208539, 'confidence': -4.5352059550920512, 'FD_Position': '2B'},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'Kris Bryant_batter': {'Salary': 4200.0, 'projected_FD_points': 3.6917385131047249, 'confidence': -2.4457001132992486, 'FD_Position': '3B'}, 'Dexter Fowler_batter': {'Salary': 3400.0, 'projected_FD_points': 3.4569633944018991, 'confidence': 0.042622998739998197, 'FD_Position': 'OF'}, 'Troy Tulowitzki_batter': {'Salary': 4800.0, 'projected_FD_points': 4.4130604688124437, 'confidence': -0.20783640671431858, 'FD_Position': 'SS'}, 'Miguel Cabrera_batter': {'Salary': 4700.0, 'projected_FD_points': 3.6867981850126852, 'confidence': 0.035674402833249408, 'FD_Position': '1B'}, 'Matt Wieters_batter': {'Salary': 2900.0, 'projected_FD_points': 2.7925586485747003, 'confidence': 0.24447555613027294, 'FD_Position': 'C'}}</t>
  </si>
  <si>
    <t>{'Yasmany Tomas_batter': {'Salary': 3000.0, 'projected_FD_points': 3.0977010169539287, 'confidence': -0.10531185699983658, 'FD_Position': '3B'}, 'Chris Owings_batter': {'Salary': 2700.0, 'projected_FD_points': 2.2845474642766641, 'confidence': 0.06194391054177506, 'FD_Position': 'SS'}, 'Jake Odorizzi_pitcher': {'Salary': 8600.0, 'projected_FD_points': 13.100623659610172, 'confidence': 0.24332325243265462, 'FD_Position': 'P'}, 'Robinson Cano_batter': {'Salary': 2500.0, 'projected_FD_points': 2.2716747128952566, 'confidence': -0.028558003545640087, 'FD_Position': '2B'}, 'Paul Goldschmidt_batter': {'Salary': 5500.0, 'projected_FD_points': 3.6062539188492124, 'confidence': 0.043854871989445043, 'FD_Position': '1B'}, 'Joey Butler_batter': {'Salary': 3000.0, 'projected_FD_points': 2.8009564387037269, 'confidence': -2.3846857160868824, 'FD_Position': 'OF'}, 'Michael Cuddyer_batter': {'Salary': 2700.0, 'projected_FD_points': 2.7864388105143423, 'confidence': -0.082669181342780229, 'FD_Position': 'OF'}, 'Anthony Recker_batter': {'Salary': 2300.0, 'projected_FD_points': 1.8717834636265858, 'confidence': -0.12512048085040894, 'FD_Position': 'C'}, 'Nelson Cruz_batter': {'Salary': 4000.0, 'projected_FD_points': 2.9960841519027523, 'confidence': 0.010834179537511868, 'FD_Position': 'OF'}}</t>
  </si>
  <si>
    <t>{'Kyle Gibson_pitcher': {'Salary': 6500.0, 'projected_FD_points': 13.43954613346455, 'confidence': -0.0063569647081092029, 'FD_Position': 'P'},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'Charlie Blackmon_batter': {'Salary': 4000.0, 'projected_FD_points': 3.1285055448563539, 'confidence': 0.082869217090184799, 'FD_Position': 'OF'}, 'Kurt Suzuki_batter': {'Salary': 2200.0, 'projected_FD_points': 1.9086839276154532, 'confidence': 0.012918123800703007, 'FD_Position': 'C'}, 'Troy Tulowitzki_batter': {'Salary': 4800.0, 'projected_FD_points': 4.4130604688124437, 'confidence': -0.20783640671431858, 'FD_Position': 'SS'}, 'Trevor Plouffe_batter': {'Salary': 2800.0, 'projected_FD_points': 2.9145783338940969, 'confidence': -0.1033452072308263, 'FD_Position': '3B'}, 'Miguel Cabrera_batter': {'Salary': 4700.0, 'projected_FD_points': 3.6867981850126852, 'confidence': 0.035674402833249408, 'FD_Position': '1B'}, 'Dee Gordon_batter': {'Salary': 3900.0, 'projected_FD_points': 2.6304313198200933, 'confidence': -0.058724323418104962, 'FD_Position': '2B'}}</t>
  </si>
  <si>
    <t>{'Yoenis Cespedes_batter': {'Salary': 3300.0, 'projected_FD_points': 2.955060491602056, 'confidence': -0.18066764708407002, 'FD_Position': 'OF'}, 'Nick Castellanos_batter': {'Salary': 2200.0, 'projected_FD_points': 1.8393639030689313, 'confidence': -0.00093040808286404264, 'FD_Position': '3B'}, 'Marcus Semien_batter': {'Salary': 2600.0, 'projected_FD_points': 2.3379951987988292, 'confidence': -0.78659715231123339, 'FD_Position': 'SS'}, 'Adam Jones_batter': {'Salary': 3000.0, 'projected_FD_points': 2.6468366164533421, 'confidence': 0.0033710682509628942, 'FD_Position': 'OF'}, 'David Price_pitcher': {'Salary': 11000.0, 'projected_FD_points': 13.507024866934525, 'confidence': -0.040977975462757277, 'FD_Position': 'P'}, 'Marcell Ozuna_batter': {'Salary': 3400.0, 'projected_FD_points': 3.0236766965210116, 'confidence': -0.14849541344161699, 'FD_Position': 'OF'}, 'Jose Abreu_batter': {'Salary': 3600.0, 'projected_FD_points': 3.2933568851960779, 'confidence': -0.16713184936149506, 'FD_Position': '1B'}, 'Ben Zobrist_batter': {'Salary': 2900.0, 'projected_FD_points': 2.2825515778258909, 'confidence': -0.02660705738964686, 'FD_Position': '2B'}, 'Matt Wieters_batter': {'Salary': 2900.0, 'projected_FD_points': 3.5058026984201898, 'confidence': -6.377014131756761, 'FD_Position': 'C'}}</t>
  </si>
  <si>
    <t>{'Yoenis Cespedes_batter': {'Salary': 3300.0, 'projected_FD_points': 2.955060491602056, 'confidence': -0.18066764708407002, 'FD_Position': 'OF'}, 'Chris Owings_batter': {'Salary': 2600.0, 'projected_FD_points': 2.1821589945729887, 'confidence': -0.034979110713201145, 'FD_Position': 'SS'}, 'Jose Abreu_batter': {'Salary': 3600.0, 'projected_FD_points': 3.2933568851960779, 'confidence': -0.16713184936149506, 'FD_Position': '1B'}, 'Robinson Cano_batter': {'Salary': 2500.0, 'projected_FD_points': 2.39021164021164, 'confidence': -0.14801604598214424, 'FD_Position': '2B'}, 'Clayton Kershaw_pitcher': {'Salary': 11700.0, 'projected_FD_points': 16.195573964857331, 'confidence': -4.8572486202014522, 'FD_Position': 'P'}, 'Joey Butler_batter': {'Salary': 3200.0, 'projected_FD_points': 4.4644227963321823, 'confidence': 0.11886524697079459, 'FD_Position': 'OF'}, 'Kyle Seager_batter': {'Salary': 3200.0, 'projected_FD_points': 3.2041547855109176, 'confidence': 0.017668416723471636, 'FD_Position': '3B'}, 'Rene Rivera_batter': {'Salary': 2200.0, 'projected_FD_points': 1.9582180186414753, 'confidence': -0.011880771979793092, 'FD_Position': 'C'}, 'Michael Cuddyer_batter': {'Salary': 2600.0, 'projected_FD_points': 3.1499974251560987, 'confidence': -0.24225891377117414, 'FD_Position': 'OF'}}</t>
  </si>
  <si>
    <t>{'Hanser Alberto_batter': {'Salary': 2600.0, 'projected_FD_points': 2.25, 'confidence': 0, 'FD_Position': '2B'}, 'Jose Bautista_batter': {'Salary': 4700.0, 'projected_FD_points': 3.7555332649723212, 'confidence': -0.020002521399020923, 'FD_Position': 'OF'}, 'Josh Donaldson_batter': {'Salary': 4900.0, 'projected_FD_points': 3.7477404132292884, 'confidence': -0.033037617787579743, 'FD_Position': '3B'}, 'Jesse Chavez_pitcher': {'Salary': 8400.0, 'projected_FD_points': 11.959593783695837, 'confidence': -1.2154524475466499, 'FD_Position': 'P'}, 'Preston Tucker_batter': {'Salary': 2900.0, 'projected_FD_points': 3.4721717026992094, 'confidence': -1.4336668532869181, 'FD_Position': 'OF'}, 'Chris Colabello_batter': {'Salary': 2800.0, 'projected_FD_points': 3.2499826757896826, 'confidence': 0.01452644056661001, 'FD_Position': 'OF'}, 'Brandon Crawford_batter': {'Salary': 3000.0, 'projected_FD_points': 2.8908397374776715, 'confidence': -0.072370628617127286, 'FD_Position': 'SS'}, 'Joe Mauer_batter': {'Salary': 2800.0, 'projected_FD_points': 2.6471846697939503, 'confidence': -0.064828424276035967, 'FD_Position': '1B'}, 'Matt Wieters_batter': {'Salary': 2900.0, 'projected_FD_points': 3.5058026984201898, 'confidence': -6.377014131756761, 'FD_Position': 'C'}}</t>
  </si>
  <si>
    <t>{'Jarrod Saltalamacchia_batter': {'Salary': 2300.0, 'projected_FD_points': 1.8763722764841118, 'confidence': 0.0267962988388738, 'FD_Position': 'C'}, 'Dee Gordon_batter': {'Salary': 3900.0, 'projected_FD_points': 3.1652428865598279, 'confidence': -0.32130075226861665, 'FD_Position': '2B'}, 'Charlie Blackmon_batter': {'Salary': 4000.0, 'projected_FD_points': 3.7638749958989219, 'confidence': -0.15303162151086735, 'FD_Position': 'OF'}, 'Wilin Rosario_batter': {'Salary': 3000.0, 'projected_FD_points': 3.4078265305786619, 'confidence': -0.17853563658626803, 'FD_Position': '1B'}, 'Dexter Fowler_batter': {'Salary': 3300.0, 'projected_FD_points': 3.8999488907267401, 'confidence': -0.19083261854157563, 'FD_Position': 'OF'}, 'Jacob Elmore_batter': {'Salary': 2200.0, 'projected_FD_points': 3.1086322130070361, 'confidence': 0.10229799694930841, 'FD_Position': 'SS'}, 'Kyle Seager_batter': {'Salary': 3100.0, 'projected_FD_points': 2.3938112397219569, 'confidence': -0.019425225893529463, 'FD_Position': '3B'}, 'Michael Cuddyer_batter': {'Salary': 2700.0, 'projected_FD_points': 3.6148091710737784, 'confidence': -1.4774246811543961, 'FD_Position': 'OF'}, 'Jacob deGrom_pitcher': {'Salary': 10400.0, 'projected_FD_points': 14.218225618624537, 'confidence': -0.58477894306267797, 'FD_Position': 'P'}}</t>
  </si>
  <si>
    <t>{'Russell Martin_batter': {'Salary': 3000.0, 'projected_FD_points': 2.7184535616442798, 'confidence': -0.13900425954713569, 'FD_Position': 'C'}, 'Aramis Ramirez_batter': {'Salary': 2200.0, 'projected_FD_points': 2.3021128557413184, 'confidence': -0.014618894292524054, 'FD_Position': '3B'}, 'Jose Bautista_batter': {'Salary': 4900.0, 'projected_FD_points': 4.0635560428015953, 'confidence': -0.096503160037493041, 'FD_Position': 'OF'}, 'Matt Holliday_batter': {'Salary': 3400.0, 'projected_FD_points': 3.051168355430081, 'confidence': 0.0035146861550836572, 'FD_Position': 'OF'}, 'Kennys Vargas_batter': {'Salary': 2500.0, 'projected_FD_points': 3.2664431736836663, 'confidence': -0.031168549378298938, 'FD_Position': '1B'}, 'Chris Sale_pitcher': {'Salary': 10900.0, 'projected_FD_points': 15.636737573197554, 'confidence': -0.7747028468281052, 'FD_Position': 'P'}, 'Chris Colabello_batter': {'Salary': 2900.0, 'projected_FD_points': 3.5649130362912969, 'confidence': -0.11775056895396108, 'FD_Position': 'OF'}, 'Alexei Ramirez_batter': {'Salary': 2400.0, 'projected_FD_points': 2.7914741225708877, 'confidence': -0.10959322499927726, 'FD_Position': 'SS'}, 'Neil Walker_batter': {'Salary': 2800.0, 'projected_FD_points': 2.6148605127808757, 'confidence': 0.0046080368432217522, 'FD_Position': '2B'}}</t>
  </si>
  <si>
    <t>{'Corey Kluber_pitcher': {'Salary': 11100.0, 'projected_FD_points': 20.713612038035066, 'confidence': -4.5871726629573129, 'FD_Position': 'P'}, 'Aramis Ramirez_batter': {'Salary': 2200.0, 'projected_FD_points': 2.6903382429284002, 'confidence': 0.024533069830188103, 'FD_Position': '3B'}, 'Kennys Vargas_batter': {'Salary': 2500.0, 'projected_FD_points': 2.9679330100757229, 'confidence': -0.12598060641396702, 'FD_Position': '1B'}, 'Dexter Fowler_batter': {'Salary': 3300.0, 'projected_FD_points': 3.9046764278677255, 'confidence': -0.26544703745604603, 'FD_Position': 'OF'}, 'Neil Walker_batter': {'Salary': 2800.0, 'projected_FD_points': 2.9286160504901257, 'confidence': 0.0078649375320292148, 'FD_Position': '2B'}, 'Nelson Cruz_batter': {'Salary': 3700.0, 'projected_FD_points': 3.5173702301573027, 'confidence': -0.058819197728162465, 'FD_Position': 'OF'}, 'Jordy Mercer_batter': {'Salary': 2600.0, 'projected_FD_points': 2.8000333448724519, 'confidence': -0.24124536334497826, 'FD_Position': 'SS'}, 'Michael McKenry_batter': {'Salary': 3000.0, 'projected_FD_points': 2.8111368896511468, 'confidence': -0.0090636644892856388, 'FD_Position': 'C'}, 'Starling Marte_batter': {'Salary': 3800.0, 'projected_FD_points': 3.706205311090478, 'confidence': -0.32376298651392066, 'FD_Position': 'OF'}}</t>
  </si>
  <si>
    <t>{'Lucas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'Matt Harvey_pitcher': {'Salary': 11000.0, 'projected_FD_points': 18.746956309049551, 'confidence': 0, 'FD_Position': 'P'}, 'Wilmer Flores_batter': {'Salary': 2500.0, 'projected_FD_points': 2.3437501034238108, 'confidence': -0.098041906912742727, 'FD_Position': 'SS'}, 'Yan Gomes_batter': {'Salary': 2200.0, 'projected_FD_points': 2.5197984496150285, 'confidence': 0.011973684968448417, 'FD_Position': 'C'}, 'Josh Donaldson_batter': {'Salary': 4900.0, 'projected_FD_points': 4.0047118409480351, 'confidence': -0.23412988280132607, 'FD_Position': '3B'}, 'Neil Walker_batter': {'Salary': 2900.0, 'projected_FD_points': 2.5790478364085971, 'confidence': 0.0084733720658829448, 'FD_Position': '2B'}, 'Michael Cuddyer_batter': {'Salary': 2600.0, 'projected_FD_points': 3.4288070973019744, 'confidence': 0.16831788926996816, 'FD_Position': 'OF'}, 'Melky Cabrera_batter': {'Salary': 2200.0, 'projected_FD_points': 2.547005929044333, 'confidence': -0.39436064195149023, 'FD_Position': 'OF'}}</t>
  </si>
  <si>
    <t>{'Avisail Garcia_batter': {'Salary': 3000.0, 'projected_FD_points': 2.9232712118751132, 'confidence': -0.10354115667031949, 'FD_Position': 'OF'}, 'Kris Bryant_batter': {'Salary': 4200.0, 'projected_FD_points': 3.4293134906259652, 'confidence': -0.46825131680041299, 'FD_Position': '3B'}, 'Neil Walker_batter': {'Salary': 2900.0, 'projected_FD_points': 2.5790478364085971, 'confidence': 0.0084733720658829448, 'FD_Position': '2B'}, 'Matt Harvey_pitcher': {'Salary': 11000.0, 'projected_FD_points': 18.746956309049551, 'confidence': 0, 'FD_Position': 'P'}, 'Yan Gomes_batter': {'Salary': 2200.0, 'projected_FD_points': 2.5197984496150285, 'confidence': 0.011973684968448417, 'FD_Position': 'C'}, 'Marcus Semien_batter': {'Salary': 2400.0, 'projected_FD_points': 2.3254344103648514, 'confidence': -0.09404516291133147, 'FD_Position': 'SS'}, 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'Michael Cuddyer_batter': {'Salary': 2600.0, 'projected_FD_points': 3.4288070973019744, 'confidence': 0.16831788926996816, 'FD_Position': 'OF'}}</t>
  </si>
  <si>
    <t>{'Russell Martin_batter': {'Salary': 3300.0, 'projected_FD_points': 2.7571533235971226, 'confidence': -0.012208452566287553, 'FD_Position': 'C'}, 'Ben Revere_batter': {'Salary': 3000.0, 'projected_FD_points': 2.557922238365399, 'confidence': -0.025043846502435407, 'FD_Position': 'OF'}, 'Jose Bautista_batter': {'Salary': 5400.0, 'projected_FD_points': 3.7157646961381978, 'confidence': 0.03836569487123509, 'FD_Position': 'OF'}, 'Tom Koehler_pitcher': {'Salary': 6600.0, 'projected_FD_points': 8.90142945959267, 'confidence': -0.23687044874170193, 'FD_Position': 'P'}, 'Maikel Franco_batter': {'Salary': 3100.0, 'projected_FD_points': 2.671174856097128, 'confidence': -0.27307494050841896, 'FD_Position': '3B'}, 'Jay Bruce_batter': {'Salary': 3100.0, 'projected_FD_points': 3.2021530061906156, 'confidence': 0.055620329697719573, 'FD_Position': 'OF'}, 'Jose Reyes_batter': {'Salary': 4000.0, 'projected_FD_points': 2.817527098952239, 'confidence': -0.10302144226616972, 'FD_Position': 'SS'}, 'Chase Utley_batter': {'Salary': 2500.0, 'projected_FD_points': 1.878536658929302, 'confidence': 0.040048085329983163, 'FD_Position': '2B'}, 'Joey Votto_batter': {'Salary': 4000.0, 'projected_FD_points': 2.9288768912249368, 'confidence': -0.12166340607772952, 'FD_Position': '1B'}}</t>
  </si>
  <si>
    <t>{'Anthony Rizzo_batter': {'Salary': 4400.0, 'projected_FD_points': 3.1194477706592658, 'confidence': -0.021735586983470556, 'FD_Position': '1B'}, 'Dexter Fowler_batter': {'Salary': 3200.0, 'projected_FD_points': 4.3006959602038179, 'confidence': -0.0056865794317086937, 'FD_Position': 'OF'}, 'Buster Posey_batter': {'Salary': 3700.0, 'projected_FD_points': 2.465564750005321, 'confidence': -0.0066541029384421524, 'FD_Position': 'C'}, 'Joey Butler_batter': {'Salary': 3100.0, 'projected_FD_points': 3.5489813867185482, 'confidence': -0.10803693275316828, 'FD_Position': 'OF'}, 'Giancarlo Stanton_batter': {'Salary': 5300.0, 'projected_FD_points': 4.1464641037478307, 'confidence': -0.067929621671509288, 'FD_Position': 'OF'}, 'Tanner Roark_pitcher': {'Salary': 5800.0, 'projected_FD_points': 12.127699322061037, 'confidence': -0.42366442921387515, 'FD_Position': 'P'}, 'Brandon Crawford_batter': {'Salary': 2900.0, 'projected_FD_points': 2.4170443086046967, 'confidence': -0.13169004650960114, 'FD_Position': 'SS'}, 'Addison Russell_batter': {'Salary': 2400.0, 'projected_FD_points': 2.2825398169266178, 'confidence': -3.6628545138611193, 'FD_Position': '2B'}, 'Nolan Arenado_batter': {'Salary': 4000.0, 'projected_FD_points': 2.8340276681232544, 'confidence': -0.074872805054071678,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</si>
  <si>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'Jonathan Lucroy_batter': {'Salary': 2700.0, 'projected_FD_points': 2.3136591017871027, 'confidence': -0.0029123172107974327, 'FD_Position': 'C'}, 'Denard Span_batter': {'Salary': 2800.0, 'projected_FD_points': 2.4436313243175292, 'confidence': -0.014555731366835634, 'FD_Position': 'OF'}, 'Todd Frazier_batter': {'Salary': 4400.0, 'projected_FD_points': 2.6596032201955335, 'confidence': -0.083893148589238464, 'FD_Position': '3B'}, 'Bryce Harper_batter': {'Salary': 5600.0, 'projected_FD_points': 2.6258065078529533, 'confidence': 0.023896713541795234, 'FD_Position': 'OF'}, 'Dexter Fowler_batter': {'Salary': 3200.0, 'projected_FD_points': 4.3006959602038179, 'confidence': -0.0056865794317086937, 'FD_Position': 'OF'}, 'Tanner Roark_pitcher': {'Salary': 5800.0, 'projected_FD_points': 12.127699322061037, 'confidence': -0.42366442921387515, 'FD_Position': 'P'},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</si>
  <si>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'Brandon Moss_batter': {'Salary': 3500.0, 'projected_FD_points': 3.2059536130016935, 'confidence': -0.014855161405933126, 'FD_Position': 'OF'}, 'David Ortiz_batter': {'Salary': 2400.0, 'projected_FD_points': 2.4009646499090183, 'confidence': -0.032830906166594342, 'FD_Position': '1B'}, 'Robinson Cano_batter': {'Salary': 2400.0, 'projected_FD_points': 2.2469358920860976, 'confidence': -0.018600750821883283, 'FD_Position': '2B'},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'Dexter Fowler_batter': {'Salary': 3300.0, 'projected_FD_points': 4.1373960131004717, 'confidence': 0.019246794996130245, 'FD_Position': 'OF'}, 'Jacob Elmore_batter': {'Salary': 2200.0, 'projected_FD_points': 3.1177984209103613, 'confidence': -8.4960168827929223, 'FD_Position': 'SS'}}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</si>
  <si>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'Neil Walker_batter': {'Salary': 2700.0, 'projected_FD_points': 2.4345539393496338, 'confidence': -0.069684708368707104, 'FD_Position': '2B'}, 'David Ortiz_batter': {'Salary': 2400.0, 'projected_FD_points': 2.4009646499090183, 'confidence': -0.032830906166594342, 'FD_Position': '1B'},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'Christian Yelich_batter': {'Salary': 2500.0, 'projected_FD_points': 2.8243985344372611, 'confidence': 0.012486795749287016, 'FD_Position': 'OF'}, 'Jacob Elmore_batter': {'Salary': 2200.0, 'projected_FD_points': 3.1177984209103613, 'confidence': -8.4960168827929223, 'FD_Position': 'SS'}, 'Starling Marte_batter': {'Salary': 3800.0, 'projected_FD_points': 3.3469793368638525, 'confidence': -0.10970009091360011, 'FD_Position': 'OF'}}</t>
  </si>
  <si>
    <t>{'Yoenis Cespedes_batter': {'Salary': 2900.0, 'projected_FD_points': 2.936904641765993, 'confidence': -0.2039842452777294, 'FD_Position': 'OF'}, 'Alex Rodriguez_batter': {'Salary': 3400.0, 'projected_FD_points': 3.1075141764938179, 'confidence': -0.1254577574098541, 'FD_Position': '3B'}, 'Dexter Fowler_batter': {'Salary': 3200.0, 'projected_FD_points': 2.8641279461232485, 'confidence': -0.097089863245803709, 'FD_Position': 'OF'},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'Adrian Gonzalez_batter': {'Salary': 4500.0, 'projected_FD_points': 3.5225944485245568, 'confidence': -0.025291932585608246, 'FD_Position': '1B'}, 'Chris Colabello_batter': {'Salary': 2400.0, 'projected_FD_points': 2.7796692495033821, 'confidence': -0.3266281129821571, 'FD_Position': 'OF'}, 'Jason Castro_batter': {'Salary': 2300.0, 'projected_FD_points': 2.2617197747601949, 'confidence': -0.2136870073871211, 'FD_Position': 'C'}, 'Jose Iglesias_batter': {'Salary': 2400.0, 'projected_FD_points': 2.3305966204087492, 'confidence': 0.0015566704314724511, 'FD_Position': 'SS'}}</t>
  </si>
  <si>
    <t>{'Michael Brantley_batter': {'Salary': 4400.0, 'projected_FD_points': 3.080139292805824, 'confidence': -0.078336952711836938, 'FD_Position': 'OF'}, 'Yoenis Cespedes_batter': {'Salary': 2900.0, 'projected_FD_points': 2.936904641765993, 'confidence': -0.2039842452777294, 'FD_Position': 'OF'},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'Vance Worley_pitcher': {'Salary': 6600.0, 'projected_FD_points': 11.685505972864568, 'confidence': -0.71355842150380844, 'FD_Position': 'P'}, 'Brian Dozier_batter': {'Salary': 3500.0, 'projected_FD_points': 2.8097766289817261, 'confidence': 0.001577832721203043, 'FD_Position': '2B'}, 'Adrian Beltre_batter': {'Salary': 3100.0, 'projected_FD_points': 2.699327591062469, 'confidence': -0.11868710949896366, 'FD_Position': '3B'}, 'Dexter Fowler_batter': {'Salary': 3200.0, 'projected_FD_points': 2.8641279461232485, 'confidence': -0.097089863245803709, 'FD_Position': 'OF'}, 'Jose Iglesias_batter': {'Salary': 2400.0, 'projected_FD_points': 2.3305966204087492, 'confidence': 0.0015566704314724511, 'FD_Position': 'SS'}}</t>
  </si>
  <si>
    <t>{'Alex Rodriguez_batter': {'Salary': 3400.0, 'projected_FD_points': 3.1075141764938179, 'confidence': -0.1254577574098541, 'FD_Position': '3B'},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'Edwin Encarnacion_batter': {'Salary': 4400.0, 'projected_FD_points': 3.2912294747663204, 'confidence': -0.79551337931142196, 'FD_Position': '1B'}, 'Mookie Betts_batter': {'Salary': 3400.0, 'projected_FD_points': 2.7655664486312235, 'confidence': -0.31924943040242604, 'FD_Position': 'OF'}, 'Jay Bruce_batter': {'Salary': 2500.0, 'projected_FD_points': 2.6652967085127548, 'confidence': 0.0093117097015176231, 'FD_Position': 'OF'}, 'Chris Colabello_batter': {'Salary': 2400.0, 'projected_FD_points': 2.7796692495033821, 'confidence': -0.3266281129821571, 'FD_Position': 'OF'}, 'Jimmy Rollins_batter': {'Salary': 2700.0, 'projected_FD_points': 2.0427431997794629, 'confidence': 0.015684555732020544, 'FD_Position': 'SS'}, 'Jason Castro_batter': {'Salary': 2300.0, 'projected_FD_points': 2.2617197747601949, 'confidence': -0.2136870073871211, 'FD_Position': 'C'}}</t>
  </si>
  <si>
    <t>Moneyline only</t>
  </si>
  <si>
    <t>{'Adrian Beltre_batter': {'Salary': 3100.0, 'projected_FD_points': 2.699327591062469, 'confidence': -0.11868710949896366, 'FD_Position': '3B'},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'Dilson Herrera_batter': {'Salary': 2300.0, 'projected_FD_points': 1.9557685331696981, 'confidence': 0.031930548698634209, 'FD_Position': '2B'}, 'Jorge Soler_batter': {'Salary': 3000.0, 'projected_FD_points': 2.491882716657424, 'confidence': -0.26378665917907074, 'FD_Position': 'OF'}, 'Alex Gordon_batter': {'Salary': 3500.0, 'projected_FD_points': 2.5345303867403315, 'confidence': -0.0042533275512712798, 'FD_Position': 'OF'}, 'Dexter Fowler_batter': {'Salary': 3200.0, 'projected_FD_points': 2.8641279461232485, 'confidence': -0.097089863245803709, 'FD_Position': 'OF'}, 'Alcides Escobar_batter': {'Salary': 2700.0, 'projected_FD_points': 2.0402481875218257, 'confidence': 0.048507502212675302, 'FD_Position': 'SS'}, 'Travis Wood_pitcher': {'Salary': 7000.0, 'projected_FD_points': 11.479313212448705, 'confidence': 0.28334665719726693, 'FD_Position': 'P'}}</t>
  </si>
  <si>
    <t>{'Trevor Plouffe_batter': {'Salary': 2900.0, 'projected_FD_points': 3.2395571201450655, 'confidence': -0.76766715961078669, 'FD_Position': '3B'}, 'Howie Kendrick_batter': {'Salary': 3400.0, 'projected_FD_points': 2.9613768616905007, 'confidence': -0.24507983657355847, 'FD_Position': '2B'}, 'Kennys Vargas_batter': {'Salary': 2700.0, 'projected_FD_points': 3.4468383115830457, 'confidence': -1.3588936236378126, 'FD_Position': '1B'}, 'Daniel Santana_batter': {'Salary': 2700.0, 'projected_FD_points': 2.8588291971627262, 'confidence': -0.073920896417482007, 'FD_Position': 'SS'}, 'Clayton Kershaw_pitcher': {'Salary': 11000.0, 'projected_FD_points': 18.591117539746584, 'confidence': -0.23475244474114332, 'FD_Position': 'P'}, 'Christian Yelich_batter': {'Salary': 2900.0, 'projected_FD_points': 3.0024057147431304, 'confidence': 0.092187132848802977, 'FD_Position': 'OF'}, 'Marcell Ozuna_batter': {'Salary': 3100.0, 'projected_FD_points': 2.9918714264744684, 'confidence': -0.14632598068505853, 'FD_Position': 'OF'}, 'Buster Posey_batter': {'Salary': 3800.0, 'projected_FD_points': 2.7994184102011226, 'confidence': -0.39322490750298589, 'FD_Position': 'C'}, 'Michael Cuddyer_batter': {'Salary': 2500.0, 'projected_FD_points': 4.5027972396013833, 'confidence': -0.025620329500966488, 'FD_Position': 'OF'}}</t>
  </si>
  <si>
    <t>{'Kris Bryant_batter': {'Salary': 3800.0, 'projected_FD_points': 3.8883154823807651, 'confidence': -0.80799356857009075, 'FD_Position': '3B'}, 'Albert Pujols_batter': {'Salary': 2900.0, 'projected_FD_points': 2.7489025699080907, 'confidence': -0.040755159914141359, 'FD_Position': '1B'}, 'Jose Altuve_batter': {'Salary': 4500.0, 'projected_FD_points': 3.3246359428666024, 'confidence': -0.11944728876551758, 'FD_Position': '2B'}, 'Mark Canha_batter': {'Salary': 2700.0, 'projected_FD_points': 2.6984274591212873, 'confidence': -0.48392559362532328, 'FD_Position': 'OF'}, 'Blake Swihart_batter': {'Salary': 2200.0, 'projected_FD_points': 5.9209036915086521, 'confidence': 0, 'FD_Position': 'C'}, 'Daniel Santana_batter': {'Salary': 2700.0, 'projected_FD_points': 3.0007124569011281, 'confidence': -0.10483431600924553, 'FD_Position': 'SS'}, 'Giancarlo Stanton_batter': {'Salary': 4600.0, 'projected_FD_points': 4.2530158178166149, 'confidence': -0.064692512290427162, 'FD_Position': 'OF'},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</si>
  <si>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{'Yoenis Cespedes_batter': {'Salary': 2800.0, 'projected_FD_points': 2.6235248886942268, 'confidence': -0.0096634002978663869, 'FD_Position': 'OF'}, 'Brian Dozier_batter': {'Salary': 3500.0, 'projected_FD_points': 2.6210055190331953, 'confidence': -0.034306322505073483, 'FD_Position': '2B'}, 'Trevor Plouffe_batter': {'Salary': 2800.0, 'projected_FD_points': 3.2680672925858771, 'confidence': -0.32299293740542767, 'FD_Position': '3B'}, 'Freddie Freeman_batter': {'Salary': 3700.0, 'projected_FD_points': 3.0512648494777146, 'confidence': -0.033009784444151036, 'FD_Position': '1B'}, 'Daniel Santana_batter': {'Salary': 2700.0, 'projected_FD_points': 3.0007124569011281, 'confidence': -0.10483431600924553, 'FD_Position': 'SS'}, 'Kurt Suzuki_batter': {'Salary': 2400.0, 'projected_FD_points': 1.958807497377594, 'confidence': -0.87541743079127077, 'FD_Position': 'C'}, 'Dexter Fowler_batter': {'Salary': 3400.0, 'projected_FD_points': 2.9261171232038232, 'confidence': -0.35333428989990079, 'FD_Position': 'OF'}, 'Giancarlo Stanton_batter': {'Salary': 4600.0, 'projected_FD_points': 4.2530158178166149, 'confidence': -0.064692512290427162, 'FD_Position': 'OF'}, 'Jon Lester_pitcher': {'Salary': 9100.0, 'projected_FD_points': 12.265534468409255, 'confidence': 0.04968917004420248, 'FD_Position': 'P'}}</t>
  </si>
  <si>
    <t>{'Yasmany Tomas_batter': {'Salary': 2800.0, 'projected_FD_points': 3.1453223284488292, 'confidence': -6.5200162565562056, 'FD_Position': '3B'}, 'George Springer_batter': {'Salary': 3800.0, 'projected_FD_points': 3.0264075441109775, 'confidence': -0.12098251983023589, 'FD_Position': 'OF'}, 'Jose Altuve_batter': {'Salary': 4500.0, 'projected_FD_points': 3.3246359428666024, 'confidence': -0.11944728876551758, 'FD_Position': '2B'}, 'Paul Goldschmidt_batter': {'Salary': 5300.0, 'projected_FD_points': 3.8514022178478684, 'confidence': -0.08789569928972174, 'FD_Position': '1B'}, 'Blake Swihart_batter': {'Salary': 2200.0, 'projected_FD_points': 5.9209036915086521, 'confidence': 0, 'FD_Position': 'C'}, 'Chris Colabello_batter': {'Salary': 2300.0, 'projected_FD_points': 2.5642787107861356, 'confidence': -0.32104068782383455, 'FD_Position': 'OF'}, 'Jimmy Rollins_batter': {'Salary': 2600.0, 'projected_FD_points': 2.6358134960740425, 'confidence': -0.077754283533642887, 'FD_Position': 'SS'},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</si>
  <si>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{'Kris Bryant_batter': {'Salary': 4000.0, 'projected_FD_points': 3.7618015893593348, 'confidence': -9.2824399228472547, 'FD_Position': '3B'}, 'Jose Altuve_batter': {'Salary': 4700.0, 'projected_FD_points': 3.5110742648577471, 'confidence': -0.32972686179779265, 'FD_Position': '2B'}, 'Michael Cuddyer_batter': {'Salary': 2300.0, 'projected_FD_points': 3.5434597889170569, 'confidence': 0.0749822748264376, 'FD_Position': 'OF'}, 'James McCann_batter': {'Salary': 2400.0, 'projected_FD_points': 2.4075610461731261, 'confidence': -0.33260632119773659, 'FD_Position': 'C'}, 'Christian Yelich_batter': {'Salary': 2900.0, 'projected_FD_points': 3.0483469016947651, 'confidence': -0.025679308353345531, 'FD_Position': 'OF'}, 'Chris Heston_pitcher': {'Salary': 7400.0, 'projected_FD_points': 13.357791715305313, 'confidence': 0, 'FD_Position': 'P'}, 'Giancarlo Stanton_batter': {'Salary': 4800.0, 'projected_FD_points': 3.9516444155276731, 'confidence': 0.022747289634275414, 'FD_Position': 'OF'}, 'Jimmy Rollins_batter': {'Salary': 2800.0, 'projected_FD_points': 2.4939424260327918, 'confidence': -0.042541485923056621, 'FD_Position': 'SS'}, 'Jose Abreu_batter': {'Salary': 3600.0, 'projected_FD_points': 3.3902255607658609, 'confidence': -0.079663891212656157, 'FD_Position': '1B'}}</t>
  </si>
  <si>
    <t>{'Anthony Rizzo_batter': {'Salary': 4700.0, 'projected_FD_points': 3.6313326377949489, 'confidence': -0.085430760138784034, 'FD_Position': '1B'}, 'Alex Rodriguez_batter': {'Salary': 3400.0, 'projected_FD_points': 3.1657054976175489, 'confidence': -0.37261873497248743, 'FD_Position': '3B'}, 'Mitch Moreland_batter': {'Salary': 2200.0, 'projected_FD_points': 2.1521535800721701, 'confidence': -0.056286647128988676, 'FD_Position': 'OF'}, 'Jose Altuve_batter': {'Salary': 4700.0, 'projected_FD_points': 3.5110742648577471, 'confidence': -0.32972686179779265, 'FD_Position': '2B'}, 'Colby Rasmus_batter': {'Salary': 2700.0, 'projected_FD_points': 2.4250116967386623, 'confidence': -0.0083008811820102224, 'FD_Position': 'OF'}, 'Daniel Santana_batter': {'Salary': 2800.0, 'projected_FD_points': 2.6026919264490815, 'confidence': -0.085073177700174307, 'FD_Position': 'SS'}, 'Salvador Perez_batter': {'Salary': 2300.0, 'projected_FD_points': 2.1525707964816005, 'confidence': -0.16430918535735617, 'FD_Position': 'C'}, 'Jake Arrieta_pitcher': {'Salary': 9900.0, 'projected_FD_points': 12.509546354263872, 'confidence': -0.3116732690521784, 'FD_Position': 'P'}, 'Michael Bourn_batter': {'Salary': 2300.0, 'projected_FD_points': 2.1776226806217358, 'confidence': 0.0051275690249681372, 'FD_Position': 'OF'}}</t>
  </si>
  <si>
    <t>{'Kris Bryant_batter': {'Salary': 4000.0, 'projected_FD_points': 3.7618015893593348, 'confidence': -9.2824399228472547, 'FD_Position': '3B'}, 'Chris Davis_batter': {'Salary': 3500.0, 'projected_FD_points': 3.0937738132858357, 'confidence': -0.033444337088558429, 'FD_Position': '1B'}, 'Chris Heston_pitcher': {'Salary': 7400.0, 'projected_FD_points': 13.357791715305313, 'confidence': 0, 'FD_Position': 'P'}, 'Jose Altuve_batter': {'Salary': 4700.0, 'projected_FD_points': 3.5110742648577471, 'confidence': -0.32972686179779265, 'FD_Position': '2B'}, 'Daniel Santana_batter': {'Salary': 2800.0, 'projected_FD_points': 2.6026919264490815, 'confidence': -0.085073177700174307, 'FD_Position': 'SS'}, 'Christian Yelich_batter': {'Salary': 2900.0, 'projected_FD_points': 3.0483469016947651, 'confidence': -0.025679308353345531, 'FD_Position': 'OF'}, 'Salvador Perez_batter': {'Salary': 2300.0, 'projected_FD_points': 2.1525707964816005, 'confidence': -0.16430918535735617, 'FD_Position': 'C'}, 'Giancarlo Stanton_batter': {'Salary': 4800.0, 'projected_FD_points': 3.9516444155276731, 'confidence': 0.022747289634275414, 'FD_Position': 'OF'}, 'Michael Cuddyer_batter': {'Salary': 2300.0, 'projected_FD_points': 3.5434597889170569, 'confidence': 0.0749822748264376, 'FD_Position': 'OF'}}</t>
  </si>
  <si>
    <t>{'Scott Kazmir_pitcher': {'Salary': 8800.0, 'projected_FD_points': 11.155095916582871, 'confidence': -0.26886446619835525, 'FD_Position': 'P'}, 'Robinson Cano_batter': {'Salary': 3200.0, 'projected_FD_points': 2.7608463006028607, 'confidence': -0.12917203600020155, 'FD_Position': '2B'}, 'Matt Holliday_batter': {'Salary': 3600.0, 'projected_FD_points': 3.0884545947773305, 'confidence': 0.008354515467325907, 'FD_Position': 'OF'}, 'James McCann_batter': {'Salary': 2400.0, 'projected_FD_points': 2.4075610461731261, 'confidence': -0.33260632119773659, 'FD_Position': 'C'}, 'Coco Crisp_batter': {'Salary': 2200.0, 'projected_FD_points': 2.5476158678691974, 'confidence': -0.032753176824611874, 'FD_Position': 'OF'}, 'Jimmy Rollins_batter': {'Salary': 2800.0, 'projected_FD_points': 2.4939424260327918, 'confidence': -0.042541485923056621, 'FD_Position': 'SS'}, 'Hanley Ramirez_batter': {'Salary': 3700.0, 'projected_FD_points': 2.924145299145299, 'confidence': -0.02271640087303517, 'FD_Position': 'OF'}, 'Jose Abreu_batter': {'Salary': 3600.0, 'projected_FD_points': 3.3902255607658609, 'confidence': -0.079663891212656157, 'FD_Position': '1B'}, 'Matt Carpenter_batter': {'Salary': 4200.0, 'projected_FD_points': 2.8987499783522281, 'confidence': -0.025793505805279171, 'FD_Position': '3B'}}</t>
  </si>
  <si>
    <t>{'Albert Pujols_batter': {'Salary': 2900.0, 'projected_FD_points': 2.6740776065174305, 'confidence': -0.029921789947039867, 'FD_Position': '1B'}, 'Kevin Plawecki_batter': {'Salary': 2400.0, 'projected_FD_points': 2.5127469036105738, 'confidence': 0.023163951302521357, 'FD_Position': 'C'}, 'Jose Altuve_batter': {'Salary': 4600.0, 'projected_FD_points': 3.0466114071281618, 'confidence': 0.018049626165630772, 'FD_Position': '2B'}, 'Christian Yelich_batter': {'Salary': 2900.0, 'projected_FD_points': 2.9272875677799584, 'confidence': 0.077214288720327318, 'FD_Position': 'OF'}, 'Giancarlo Stanton_batter': {'Salary': 4800.0, 'projected_FD_points': 4.1767027168974238, 'confidence': -0.0043960286283375449, 'FD_Position': 'OF'}, 'Chris Sale_pitcher': {'Salary': 10000.0, 'projected_FD_points': 13.161113256112422, 'confidence': -4.1756368436644777, 'FD_Position': 'P'}, 'Michael Cuddyer_batter': {'Salary': 2500.0, 'projected_FD_points': 3.7843635038314907, 'confidence': 0.068338744480474944, 'FD_Position': 'OF'}, 'Alexei Ramirez_batter': {'Salary': 2400.0, 'projected_FD_points': 2.3481895907907973, 'confidence': -0.099250175030612287, 'FD_Position': 'SS'}, 'Martin Prado_batter': {'Salary': 2400.0, 'projected_FD_points': 2.1125561460113289, 'confidence': -0.11477682368459163, 'FD_Position': '3B'}}</t>
  </si>
  <si>
    <t>{'Kevin Plawecki_batter': {'Salary': 2400.0, 'projected_FD_points': 2.5127469036105738, 'confidence': 0.023163951302521357, 'FD_Position': 'C'}, 'Michael Cuddyer_batter': {'Salary': 2500.0, 'projected_FD_points': 3.7843635038314907, 'confidence': 0.068338744480474944, 'FD_Position': 'OF'}, 'Aramis Ramirez_batter': {'Salary': 2900.0, 'projected_FD_points': 2.3623354073966363, 'confidence': -0.10240685596088106, 'FD_Position': '3B'}, 'Carlos Gonzalez_batter': {'Salary': 3300.0, 'projected_FD_points': 2.941642266279902, 'confidence': -0.026157942202640783, 'FD_Position': 'OF'}, 'Chris Sale_pitcher': {'Salary': 10000.0, 'projected_FD_points': 13.161113256112422, 'confidence': -4.1756368436644777, 'FD_Position': 'P'}, 'Giancarlo Stanton_batter': {'Salary': 4800.0, 'projected_FD_points': 4.1767027168974238, 'confidence': -0.0043960286283375449, 'FD_Position': 'OF'}, 'Chase Utley_batter': {'Salary': 3000.0, 'projected_FD_points': 2.4556224216746996, 'confidence': 0.023022302779352022, 'FD_Position': '2B'}, 'Jose Abreu_batter': {'Salary': 3700.0, 'projected_FD_points': 3.0005523882595839, 'confidence': -0.019208250065622101, 'FD_Position': '1B'}, 'Alexei Ramirez_batter': {'Salary': 2400.0, 'projected_FD_points': 2.3481895907907973, 'confidence': -0.099250175030612287, 'FD_Position': 'SS'}}</t>
  </si>
  <si>
    <t>{'Albert Pujols_batter': {'Salary': 2900.0, 'projected_FD_points': 2.4642463507828749, 'confidence': -0.023221519580411965, 'FD_Position': '1B'}, 'Matt Kemp_batter': {'Salary': 3100.0, 'projected_FD_points': 2.4849388874668099, 'confidence': -0.25277097828480311, 'FD_Position': 'OF'}, 'Erick Aybar_batter': {'Salary': 2200.0, 'projected_FD_points': 1.8477150842184065, 'confidence': -0.19114610408169908, 'FD_Position': 'SS'}, 'Kole Calhoun_batter': {'Salary': 3100.0, 'projected_FD_points': 3.0212146748135895, 'confidence': -0.19317936773030087, 'FD_Position': 'OF'}, 'Robinson Cano_batter': {'Salary': 3400.0, 'projected_FD_points': 2.7707584113818431, 'confidence': -0.15651841803477273, 'FD_Position': '2B'}, 'James Shields_pitcher': {'Salary': 8700.0, 'projected_FD_points': 11.395177536380107, 'confidence': -0.35144155732169668, 'FD_Position': 'P'}, 'Wilin Rosario_batter': {'Salary': 3000.0, 'projected_FD_points': 2.0299153350310957, 'confidence': -0.0035137324288858629, 'FD_Position': 'C'}, 'Mike Trout_batter': {'Salary': 5400.0, 'projected_FD_points': 3.6793047189040529, 'confidence': -0.058766729287515362, 'FD_Position': 'OF'}, 'Kyle Seager_batter': {'Salary': 3000.0, 'projected_FD_points': 2.4168385049930143, 'confidence': 0.0018014504192926939, 'FD_Position': '3B'}}</t>
  </si>
  <si>
    <t>{'Alex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'Kole Calhoun_batter': {'Salary': 3100.0, 'projected_FD_points': 3.0893006980614239, 'confidence': -0.0028802986437235223, 'FD_Position': 'OF'}, 'Victor Martinez_batter': {'Salary': 3500.0, 'projected_FD_points': 2.7820949402274531, 'confidence': -0.15175216817259707, 'FD_Position': 'C'}, 'Jayson Werth_batter': {'Salary': 3000.0, 'projected_FD_points': 2.9037954056551167, 'confidence': -0.013589874211520581, 'FD_Position': 'OF'}, 'Chris Sale_pitcher': {'Salary': 9600.0, 'projected_FD_points': 13.852017786733187, 'confidence': -0.19654777457765382, 'FD_Position': 'P'}, 'Andrew McCutchen_batter': {'Salary': 3800.0, 'projected_FD_points': 3.654671874079213, 'confidence': 0.0037308316520834328, 'FD_Position': 'OF'}}</t>
  </si>
  <si>
    <t>{'Yoenis Cespedes_batter': {'Salary': 2900.0, 'projected_FD_points': 2.737818932896829, 'confidence': 0.029346960225499652, 'FD_Position': 'OF'}, 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'A.J. Burnett_pitcher': {'Salary': 8200.0, 'projected_FD_points': 13.193087504182412, 'confidence': -0.35281264183744288, 'FD_Position': 'P'}, 'Daniel Santana_batter': {'Salary': 2700.0, 'projected_FD_points': 2.3405154070097689, 'confidence': -0.056534781100668452, 'FD_Position': 'SS'}, 'Jay Bruce_batter': {'Salary': 2700.0, 'projected_FD_points': 2.5817435496010832, 'confidence': 0.023345190371967917, 'FD_Position': 'OF'}, 'Victor Martinez_batter': {'Salary': 3500.0, 'projected_FD_points': 2.7820949402274531, 'confidence': -0.15175216817259707, 'FD_Position': 'C'}, 'Miguel Cabrera_batter': {'Salary': 4600.0, 'projected_FD_points': 3.6087964817315399, 'confidence': -0.314370302401485, 'FD_Position': '1B'}, 'Andrew McCutchen_batter': {'Salary': 3800.0, 'projected_FD_points': 3.654671874079213, 'confidence': 0.0037308316520834328, 'FD_Position': 'OF'}}</t>
  </si>
  <si>
    <t>{'C.J. Wilson_pitcher': {'Salary': 8000.0, 'projected_FD_points': 12.722864764439889, 'confidence': -0.3819845658818557, 'FD_Position': 'P'},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'Robinson Cano_batter': {'Salary': 3400.0, 'projected_FD_points': 2.7294397294402559, 'confidence': 0.010570378994237628, 'FD_Position': '2B'}, 'Mike Trout_batter': {'Salary': 5400.0, 'projected_FD_points': 3.5062886380261471, 'confidence': -0.0038314150814806602, 'FD_Position': 'OF'}, 'Kole Calhoun_batter': {'Salary': 3100.0, 'projected_FD_points': 3.0893006980614239, 'confidence': -0.0028802986437235223, 'FD_Position': 'OF'}, 'Yasmani Grandal_batter': {'Salary': 3000.0, 'projected_FD_points': 2.2629505224176718, 'confidence': -0.30070959361417438, 'FD_Position': 'C'}, 'Kyle Seager_batter': {'Salary': 3000.0, 'projected_FD_points': 2.470242827203744, 'confidence': 0.0064843352174157598, 'FD_Position': '3B'}, 'Jayson Werth_batter': {'Salary': 3000.0, 'projected_FD_points': 2.9037954056551167, 'confidence': -0.013589874211520581, 'FD_Position': 'OF'}}</t>
  </si>
  <si>
    <t>{'Adrian Beltre_batter': {'Salary': 2900.0, 'projected_FD_points': 2.5881641863793692, 'confidence': -0.022517243765473705, 'FD_Position': '3B'}, 'Jose Altuve_batter': {'Salary': 4600.0, 'projected_FD_points': 3.2061398293318955, 'confidence': -0.098930198099231426, 'FD_Position': '2B'}, 'Carlos Gomez_batter': {'Salary': 3700.0, 'projected_FD_points': 2.6282327979881352, 'confidence': 0.00074164975475299322, 'FD_Position': 'OF'}, 'Chris Sale_pitcher': {'Salary': 9600.0, 'projected_FD_points': 13.852017786733187, 'confidence': -0.19654777457765382, 'FD_Position': 'P'}, 'Dexter Fowler_batter': {'Salary': 3300.0, 'projected_FD_points': 2.9401750361709622, 'confidence': 0.023205142887229302, 'FD_Position': 'OF'}, 'Jose Abreu_batter': {'Salary': 3400.0, 'projected_FD_points': 3.0156317611716501, 'confidence': -0.0025660267683502713, 'FD_Position': '1B'}, 'Michael Cuddyer_batter': {'Salary': 2600.0, 'projected_FD_points': 2.4398797441962459, 'confidence': 0.086198891804900701, 'FD_Position': 'OF'}, 'Alexei Ramirez_batter': {'Salary': 2700.0, 'projected_FD_points': 2.4439983593224839, 'confidence': 0.033291002618643484, 'FD_Position': 'SS'}, 'Jason Castro_batter': {'Salary': 2200.0, 'projected_FD_points': 2.2828980428056003, 'confidence': -0.0068727565343957853, 'FD_Position': 'C'}}</t>
  </si>
  <si>
    <t>{'Adrian Beltre_batter': {'Salary': 2700.0, 'projected_FD_points': 2.577038186354907, 'confidence': -0.010030415892744893, 'FD_Position': '3B'}, 'Ian Desmond_batter': {'Salary': 2900.0, 'projected_FD_points': 2.6819617264827307, 'confidence': 0.03157140686282911, 'FD_Position': 'SS'}, 'David Ortiz_batter': {'Salary': 2900.0, 'projected_FD_points': 2.9359614269706422, 'confidence': -0.00039824683291000973, 'FD_Position': '1B'},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'Dexter Fowler_batter': {'Salary': 3300.0, 'projected_FD_points': 3.2253650926539423, 'confidence': -0.16926392783171251, 'FD_Position': 'OF'}, 'Devon Travis_batter': {'Salary': 3400.0, 'projected_FD_points': 3.5435334846521944, 'confidence': -0.24405570256897202, 'FD_Position': '2B'}, 'Jayson Werth_batter': {'Salary': 3100.0, 'projected_FD_points': 2.9570936842523641, 'confidence': -0.040554279743052701, 'FD_Position': 'OF'}, 'Andrew McCutchen_batter': {'Salary': 3800.0, 'projected_FD_points': 3.6389848151385054, 'confidence': -0.027872130593574296, 'FD_Position': 'OF'}}</t>
  </si>
  <si>
    <t>{'Coco Crisp_batter': {'Salary': 2300.0, 'projected_FD_points': 2.569552789462934, 'confidence': -0.098736141254203158, 'FD_Position': 'OF'}, 'Ian Desmond_batter': {'Salary': 2900.0, 'projected_FD_points': 2.6819617264827307, 'confidence': 0.03157140686282911, 'FD_Position': 'SS'}, 'Howie Kendrick_batter': {'Salary': 3200.0, 'projected_FD_points': 2.7427494752104504, 'confidence': -0.038119239539526673, 'FD_Position': '2B'},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'Adrian Gonzalez_batter': {'Salary': 4500.0, 'projected_FD_points': 3.1626354730114818, 'confidence': -0.0063220587173333787, 'FD_Position': '1B'}, 'Brett Lawrie_batter': {'Salary': 2400.0, 'projected_FD_points': 2.0900209490986295, 'confidence': -0.045692925297934561, 'FD_Position': '3B'}, 'Hanley Ramirez_batter': {'Salary': 3900.0, 'projected_FD_points': 3.2538597670395308, 'confidence': -0.010450228135357564, 'FD_Position': 'OF'}, 'Jayson Werth_batter': {'Salary': 3100.0, 'projected_FD_points': 2.9570936842523641, 'confidence': -0.040554279743052701, 'FD_Position': 'OF'}}</t>
  </si>
  <si>
    <t>{'Adrian Beltre_batter': {'Salary': 2700.0, 'projected_FD_points': 2.577038186354907, 'confidence': -0.010030415892744893, 'FD_Position': '3B'}, 'Starlin Castro_batter': {'Salary': 3200.0, 'projected_FD_points': 1.9421838424557885, 'confidence': -0.02015959846646842, 'FD_Position': 'SS'}, 'Anthony Rizzo_batter': {'Salary': 4400.0, 'projected_FD_points': 3.392531394121618, 'confidence': 0.022341854224765312, 'FD_Position': '1B'}, 'Dexter Fowler_batter': {'Salary': 3300.0, 'projected_FD_points': 3.2253650926539423, 'confidence': -0.16926392783171251, 'FD_Position': 'OF'}, 'Dilson Herrera_batter': {'Salary': 2400.0, 'projected_FD_points': 2.8135016215671813, 'confidence': -1.3243608614765265, 'FD_Position': '2B'}, 'Jorge Soler_batter': {'Salary': 3100.0, 'projected_FD_points': 2.5105674675746754, 'confidence': -0.040560372551253998, 'FD_Position': 'OF'}, 'Alex Gordon_batter': {'Salary': 3200.0, 'projected_FD_points': 2.5039867127489353, 'confidence': -0.0038680077149697567, 'FD_Position': 'OF'}, 'Salvador Perez_batter': {'Salary': 2700.0, 'projected_FD_points': 2.0955841994126319, 'confidence': -0.073795859817362697, 'FD_Position': 'C'}, 'Jon Lester_pitcher': {'Salary': 9100.0, 'projected_FD_points': 12.518589122705915, 'confidence': -0.1364863185308951, 'FD_Position': 'P'}}</t>
  </si>
  <si>
    <t>{'Ian Desmond_batter': {'Salary': 2900.0, 'projected_FD_points': 2.821174647595551, 'confidence': -0.046943967070947501, 'FD_Position': 'SS'}, 'David Ortiz_batter': {'Salary': 3000.0, 'projected_FD_points': 3.0152574461249007, 'confidence': 0.0019579871935196946, 'FD_Position': '1B'}, 'Clayton Kershaw_pitcher': {'Salary': 11200.0, 'projected_FD_points': 15.307195057688592, 'confidence': -0.12320756694782564, 'FD_Position': 'P'}, 'Devon Travis_batter': {'Salary': 3300.0, 'projected_FD_points': 3.2681542784468136, 'confidence': -0.22127985445708354, 'FD_Position': '2B'}, 'Kyle Seager_batter': {'Salary': 3000.0, 'projected_FD_points': 2.8467434300994578, 'confidence': -0.68384116119403693, 'FD_Position': '3B'}, 'Chris Colabello_batter': {'Salary': 2300.0, 'projected_FD_points': 2.6442772504292442, 'confidence': -0.42804805651643352, 'FD_Position': 'OF'}, 'Andrew McCutchen_batter': {'Salary': 3900.0, 'projected_FD_points': 3.0768442024489748, 'confidence': 0.017323178346962398, 'FD_Position': 'OF'}, 'Jayson Werth_batter': {'Salary': 3100.0, 'projected_FD_points': 3.0582496134416717, 'confidence': -0.0085016808762836682, 'FD_Position': 'OF'}, 'Jason Castro_batter': {'Salary': 2200.0, 'projected_FD_points': 2.1343032086709535, 'confidence': -0.034202136190243593, 'FD_Position': 'C'}}</t>
  </si>
  <si>
    <t>{'Jordan Zimmermann_pitcher': {'Salary': 8800.0, 'projected_FD_points': 12.338669994088997, 'confidence': 0.17569592409948553, 'FD_Position': 'P'}, 'Ian Desmond_batter': {'Salary': 2900.0, 'projected_FD_points': 2.821174647595551, 'confidence': -0.046943967070947501, 'FD_Position': 'SS'}, 'Caleb Joseph_batter': {'Salary': 2700.0, 'projected_FD_points': 2.3158559591873979, 'confidence': -3.9432795047541527, 'FD_Position': 'C'}, 'Josh Donaldson_batter': {'Salary': 3700.0, 'projected_FD_points': 2.752808981286309, 'confidence': -0.031334809101796424, 'FD_Position': '3B'}, 'Edwin Encarnacion_batter': {'Salary': 3800.0, 'projected_FD_points': 3.2111111111111112, 'confidence': -0.0049278609547576124, 'FD_Position': '1B'}, 'Devon Travis_batter': {'Salary': 3300.0, 'projected_FD_points': 3.2681542784468136, 'confidence': -0.22127985445708354, 'FD_Position': '2B'}, 'Chris Colabello_batter': {'Salary': 2300.0, 'projected_FD_points': 2.6442772504292442, 'confidence': -0.42804805651643352, 'FD_Position': 'OF'}, 'Hanley Ramirez_batter': {'Salary': 4100.0, 'projected_FD_points': 3.2890937388146089, 'confidence': -0.038176090668445184, 'FD_Position': 'OF'}, 'Jayson Werth_batter': {'Salary': 3100.0, 'projected_FD_points': 3.0582496134416717, 'confidence': -0.0085016808762836682, 'FD_Position': 'OF'}}</t>
  </si>
  <si>
    <t>{'Yoenis Cespedes_batter': {'Salary': 3000.0, 'projected_FD_points': 2.636112231308013, 'confidence': -0.047769585876264786, 'FD_Position': 'OF'}, 'Miguel Cabrera_batter': {'Salary': 4900.0, 'projected_FD_points': 3.4736160903541271, 'confidence': 0.00029230521905254658, 'FD_Position': '1B'}, 'Billy Burns_batter': {'Salary': 2300.0, 'projected_FD_points': 2.2787508128452116, 'confidence': 0.19212761382695431, 'FD_Position': 'OF'}, 'Clayton Kershaw_pitcher': {'Salary': 11200.0, 'projected_FD_points': 15.307195057688592, 'confidence': -0.12320756694782564, 'FD_Position': 'P'}, 'Christian Yelich_batter': {'Salary': 2800.0, 'projected_FD_points': 2.6736555711099186, 'confidence': 0.056495881190862685, 'FD_Position': 'OF'}, 'Kyle Seager_batter': {'Salary': 3000.0, 'projected_FD_points': 2.8467434300994578, 'confidence': -0.68384116119403693, 'FD_Position': '3B'}, 'Jimmy Rollins_batter': {'Salary': 3200.0, 'projected_FD_points': 2.1372461155076552, 'confidence': -0.0021347416126487051, 'FD_Position': 'SS'}, 'Rickie Weeks_batter': {'Salary': 2400.0, 'projected_FD_points': 2.6047143165181161, 'confidence': -0.58709035179798441, 'FD_Position': '2B'}, 'Andrew Susac_batter': {'Salary': 2200.0, 'projected_FD_points': 1.6603527768877877, 'confidence': -0.079329586074470493, 'FD_Position': 'C'}}</t>
  </si>
  <si>
    <t>{'Kris Bryant_batter': {'Salary': 3600.0, 'projected_FD_points': 3.005117803260557, 'confidence': -3.6369073853280911, 'FD_Position': '3B'}, 'Madison Bumgarner_pitcher': {'Salary': 10100.0, 'projected_FD_points': 12.798620786960823, 'confidence': -0.09626617247026692, 'FD_Position': 'P'}, 'Jorge Soler_batter': {'Salary': 3000.0, 'projected_FD_points': 2.8290581060514888, 'confidence': -0.70300292698530242, 'FD_Position': 'OF'}, 'Robinson Cano_batter': {'Salary': 3400.0, 'projected_FD_points': 2.7543150325243868, 'confidence': -0.0040174275334166065, 'FD_Position': '2B'}, 'Angel Pagan_batter': {'Salary': 2900.0, 'projected_FD_points': 2.845236109095544, 'confidence': -0.20683417237281798, 'FD_Position': 'OF'}, 'Buster Posey_batter': {'Salary': 3400.0, 'projected_FD_points': 2.5183784234185782, 'confidence': -0.058791391667314175, 'FD_Position': 'C'}, 'Jose Abreu_batter': {'Salary': 3500.0, 'projected_FD_points': 2.921237660558778, 'confidence': -0.017566434464183489, 'FD_Position': '1B'}, 'Michael Cuddyer_batter': {'Salary': 2600.0, 'projected_FD_points': 3.3117052968801253, 'confidence': 0.034055490861863214, 'FD_Position': 'OF'}, 'Alexei Ramirez_batter': {'Salary': 2400.0, 'projected_FD_points': 2.510418890909095, 'confidence': -0.035540095719260423, 'FD_Position': 'SS'}}</t>
  </si>
  <si>
    <t>{'Robinson Chirinos_batter': {'Salary': 2400.0, 'projected_FD_points': 1.7367924978576219, 'confidence': -0.13739393034458725, 'FD_Position': 'C'}, 'Brian Dozier_batter': {'Salary': 3200.0, 'projected_FD_points': 2.483413547659524, 'confidence': -0.0084028676633784993, 'FD_Position': '2B'}, 'Brandon Moss_batter': {'Salary': 3400.0, 'projected_FD_points': 2.6521828410448314, 'confidence': 0.016190983353294941, 'FD_Position': 'OF'}, 'Doug Fister_pitcher': {'Salary': 8000.0, 'projected_FD_points': 10.695924002394914, 'confidence': -1.2542438725127938, 'FD_Position': 'P'}, 'Evan Longoria_batter': {'Salary': 3500.0, 'projected_FD_points': 2.6772013915674879, 'confidence': -0.023932207975999598, 'FD_Position': '3B'}, 'Daniel Santana_batter': {'Salary': 2900.0, 'projected_FD_points': 2.7359785407890227, 'confidence': 0.029287051031895106, 'FD_Position': 'SS'}, 'Bryce Harper_batter': {'Salary': 4500.0, 'projected_FD_points': 2.7492177324208922, 'confidence': -0.024007921147341404, 'FD_Position': 'OF'}, 'Kennys Vargas_batter': {'Salary': 2700.0, 'projected_FD_points': 2.7539790100680328, 'confidence': 0.16417045798477126, 'FD_Position': '1B'}, 'Jayson Werth_batter': {'Salary': 2900.0, 'projected_FD_points': 2.9207640217931825, 'confidence': -0.038926351580433671, 'FD_Position': 'OF'}}</t>
  </si>
  <si>
    <t>{'Kevin Plawecki_batter': {'Salary': 2300.0, 'projected_FD_points': 2.4913181075777597, 'confidence': 0.86468655092483193, 'FD_Position': 'C'}, 'Josh Donaldson_batter': {'Salary': 3600.0, 'projected_FD_points': 2.759300706749189, 'confidence': -0.074013356051153112, 'FD_Position': '3B'}, 'Matt Harvey_pitcher': {'Salary': 10600.0, 'projected_FD_points': 14.340662805644726, 'confidence': 0.25410880339854724, 'FD_Position': 'P'}, 'Edwin Encarnacion_batter': {'Salary': 3700.0, 'projected_FD_points': 3.2066820532736977, 'confidence': -0.017210138662675734, 'FD_Position': '1B'}, 'Devon Travis_batter': {'Salary': 3400.0, 'projected_FD_points': 2.9898805332271485, 'confidence': -0.32840015236456699, 'FD_Position': '2B'}, 'Michael Cuddyer_batter': {'Salary': 2600.0, 'projected_FD_points': 3.5584144214981515, 'confidence': 0.030622678573423268, 'FD_Position': 'OF'}, 'Jose Pirela_batter': {'Salary': 2200.0, 'projected_FD_points': 5.8676966434165614, 'confidence': 0, 'FD_Position': 'SS'}, 'Jayson Werth_batter': {'Salary': 2900.0, 'projected_FD_points': 3.0475842487646325, 'confidence': -0.044596664404664033, 'FD_Position': 'OF'}, 'Andrew McCutchen_batter': {'Salary': 3600.0, 'projected_FD_points': 3.2644515636767575, 'confidence': -0.044380197896567219, 'FD_Position': 'OF'}}</t>
  </si>
  <si>
    <t>{'Adrian Beltre_batter': {'Salary': 2800.0, 'projected_FD_points': 2.4245130574735065, 'confidence': -0.041841173319059566, 'FD_Position': '3B'}, 'Neil Walker_batter': {'Salary': 2700.0, 'projected_FD_points': 2.4695410201130121, 'confidence': -0.068482549116479552, 'FD_Position': '2B'}, 'Erick Aybar_batter': {'Salary': 2300.0, 'projected_FD_points': 1.9857993397902765, 'confidence': -0.031892096690004479, 'FD_Position': 'SS'}, 'A.J. Burnett_pitcher': {'Salary': 7100.0, 'projected_FD_points': 12.459873375795805, 'confidence': -0.28808474978658261, 'FD_Position': 'P'}, 'Mike Trout_batter': {'Salary': 5200.0, 'projected_FD_points': 3.7468609020817425, 'confidence': -0.084157508655035684, 'FD_Position': 'OF'}, 'Giancarlo Stanton_batter': {'Salary': 4700.0, 'projected_FD_points': 3.2932954627420323, 'confidence': 0.076559278547779663, 'FD_Position': 'OF'}, 'Jason Castro_batter': {'Salary': 2200.0, 'projected_FD_points': 2.3103465695644418, 'confidence': -0.39782929487268492, 'FD_Position': 'C'}, 'Joey Votto_batter': {'Salary': 4000.0, 'projected_FD_points': 3.0612963457181097, 'confidence': -0.11839364785927553, 'FD_Position': '1B'}, 'Andrew McCutchen_batter': {'Salary': 3700.0, 'projected_FD_points': 3.3540693777985635, 'confidence': 0.027574594085952087, 'FD_Position': 'OF'}}</t>
  </si>
  <si>
    <t>{'Kris Bryant_batter': {'Salary': 3600.0, 'projected_FD_points': 4.1986786205260707, 'confidence': 0.30749855565741901, 'FD_Position': '3B'}, 'Kevin Plawecki_batter': {'Salary': 2200.0, 'projected_FD_points': 2.4791335041145359, 'confidence': 0, 'FD_Position': 'C'}, 'Brandon Moss_batter': {'Salary': 3300.0, 'projected_FD_points': 2.9755541504987697, 'confidence': -0.026795553065058098, 'FD_Position': 'OF'}, 'David Ortiz_batter': {'Salary': 3200.0, 'projected_FD_points': 3.1220274276997104, 'confidence': -0.050965475079808975, 'FD_Position': '1B'}, 'Chris Sale_pitcher': {'Salary': 9800.0, 'projected_FD_points': 14.969826717860435, 'confidence': -1.2456515463017697, 'FD_Position': 'P'}, 'Devon Travis_batter': {'Salary': 3600.0, 'projected_FD_points': 3.750672201016644, 'confidence': -1.9009553450635259, 'FD_Position': '2B'}, 'Michael Cuddyer_batter': {'Salary': 2700.0, 'projected_FD_points': 3.6316051876929385, 'confidence': -0.022737821661854563, 'FD_Position': 'OF'}, 'Alexei Ramirez_batter': {'Salary': 2500.0, 'projected_FD_points': 2.6363261545818619, 'confidence': 0.0044415928339134325, 'FD_Position': 'SS'}, 'Andrew McCutchen_batter': {'Salary': 3800.0, 'projected_FD_points': 3.4789559155298369, 'confidence': 0.089546709237116828, 'FD_Position': 'OF'}}</t>
  </si>
  <si>
    <t>{'Kris Bryant_batter': {'Salary': 3500.0, 'projected_FD_points': 4.319934257940556, 'confidence': 0.63322470672637343, 'FD_Position': '3B'}, 'George Springer_batter': {'Salary': 3900.0, 'projected_FD_points': 3.8806492833258783, 'confidence': -0.41617229345924134, 'FD_Position': 'OF'}, 'Ian Desmond_batter': {'Salary': 2900.0, 'projected_FD_points': 2.8974257941361459, 'confidence': -0.040993526462247409, 'FD_Position': 'SS'}, 'Kevin Plawecki_batter': {'Salary': 2200.0, 'projected_FD_points': 4.4201783184884604, 'confidence': 0, 'FD_Position': 'C'}, 'Kennys Vargas_batter': {'Salary': 2400.0, 'projected_FD_points': 3.0710390303635124, 'confidence': -0.38298377938281569, 'FD_Position': '1B'}, 'Zack Greinke_pitcher': {'Salary': 10100.0, 'projected_FD_points': 13.304291466316547, 'confidence': -0.26373594708726733, 'FD_Position': 'P'}, 'Michael Cuddyer_batter': {'Salary': 2700.0, 'projected_FD_points': 3.7007146695895154, 'confidence': -0.058739290440607217, 'FD_Position': 'OF'}, 'Addison Russell_batter': {'Salary': 2800.0, 'projected_FD_points': 4.8732588651403166, 'confidence': 0, 'FD_Position': '2B'}, 'Andrew McCutchen_batter': {'Salary': 3800.0, 'projected_FD_points': 3.4392602269315935, 'confidence': 0.061909979296818296, 'FD_Position': 'OF'}}</t>
  </si>
  <si>
    <t>{'Kris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'Devon Travis_batter': {'Salary': 3500.0, 'projected_FD_points': 3.7727211445115829, 'confidence': -0.16059788823868026, 'FD_Position': '2B'}, 'Kennys Vargas_batter': {'Salary': 2200.0, 'projected_FD_points': 2.9308663261789665, 'confidence': 0.1277083008265204, 'FD_Position': '1B'}, 'Jacob Realmuto_batter': {'Salary': 2300.0, 'projected_FD_points': 2.3223244097092195, 'confidence': -1.753926812753591, 'FD_Position': 'C'}, 'Daniel Santana_batter': {'Salary': 2800.0, 'projected_FD_points': 2.768203444498984, 'confidence': -0.45703816994314139, 'FD_Position': 'SS'}, 'Clayton Kershaw_pitcher': {'Salary': 11300.0, 'projected_FD_points': 15.153338520281052, 'confidence': 0.039678110539335454, 'FD_Position': 'P'}, 'Khris Davis_batter': {'Salary': 2500.0, 'projected_FD_points': 2.5960642176213806, 'confidence': -0.1714141584754949, 'FD_Position': 'OF'}, 'Jayson Werth_batter': {'Salary': 3000.0, 'projected_FD_points': 2.9440107481611579, 'confidence': -0.00087146664854476086, 'FD_Position': 'OF'}}</t>
  </si>
  <si>
    <t>{'Robinson Chirinos_batter': {'Salary': 2300.0, 'projected_FD_points': 1.9607887339121541, 'confidence': -0.021442824849585929, 'FD_Position': 'C'}, 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'Jose Altuve_batter': {'Salary': 4900.0, 'projected_FD_points': 3.5023132329706135, 'confidence': 0.013081226437010374, 'FD_Position': '2B'}, 'Jacob Marisnick_batter': {'Salary': 3400.0, 'projected_FD_points': 3.0284087915953108, 'confidence': 0.034084006078827001, 'FD_Position': 'OF'}, 'Matt Holliday_batter': {'Salary': 3500.0, 'projected_FD_points': 3.1358521542661855, 'confidence': 0.040447274809001788, 'FD_Position': 'OF'}, 'Kennys Vargas_batter': {'Salary': 2200.0, 'projected_FD_points': 2.9308663261789665, 'confidence': 0.1277083008265204, 'FD_Position': '1B'}, 'Daniel Santana_batter': {'Salary': 2800.0, 'projected_FD_points': 2.768203444498984, 'confidence': -0.45703816994314139, 'FD_Position': 'SS'}, 'Dallas Keuchel_pitcher': {'Salary': 8500.0, 'projected_FD_points': 11.761033693507883, 'confidence': 0.038707397351797956, 'FD_Position': 'P'}}</t>
  </si>
  <si>
    <t>{'Albert Pujols_batter': {'Salary': 3100.0, 'projected_FD_points': 2.6484292213315657, 'confidence': -0.015038561289607566, 'FD_Position': '1B'}, 'Madison Bumgarner_pitcher': {'Salary': 9800.0, 'projected_FD_points': 12.944414460851013, 'confidence': -0.01636468288286097, 'FD_Position': 'P'}, 'Seth Smith_batter': {'Salary': 2200.0, 'projected_FD_points': 1.8801966783450472, 'confidence': -0.0065964407857446172, 'FD_Position': 'OF'}, 'Chris Iannetta_batter': {'Salary': 2200.0, 'projected_FD_points': 1.7450021542693188, 'confidence': -0.083025013751213184, 'FD_Position': 'C'}, 'Robinson Cano_batter': {'Salary': 3600.0, 'projected_FD_points': 2.8093731178923314, 'confidence': -0.016151230605195188, 'FD_Position': '2B'}, 'Angel Pagan_batter': {'Salary': 3000.0, 'projected_FD_points': 2.5583027759877703, 'confidence': 0.10013986946523468, 'FD_Position': 'OF'}, 'Mike Trout_batter': {'Salary': 5600.0, 'projected_FD_points': 3.665670680661866, 'confidence': -0.014218849413404344, 'FD_Position': 'OF'}, 'Kyle Seager_batter': {'Salary': 2800.0, 'projected_FD_points': 2.6213219813266315, 'confidence': -0.059207683916673526, 'FD_Position': '3B'}, 'Brandon Crawford_batter': {'Salary': 2500.0, 'projected_FD_points': 2.1762707199063756, 'confidence': 0.076683928565681514, 'FD_Position': 'SS'}}</t>
  </si>
  <si>
    <t>{'Alex Rodriguez_batter': {'Salary': 3500.0, 'projected_FD_points': 2.7748446133060587, 'confidence': 0.0081701520140583517, 'FD_Position': '3B'}, 'David Ortiz_batter': {'Salary': 3200.0, 'projected_FD_points': 3.2470584644590463, 'confidence': 0.0004979530074226135, 'FD_Position': '1B'}, 'James Shields_pitcher': {'Salary': 8600.0, 'projected_FD_points': 11.345073600776725, 'confidence': -0.0059489053282060222, 'FD_Position': 'P'}, 'Daniel Nava_batter': {'Salary': 2200.0, 'projected_FD_points': 2.1154932612574222, 'confidence': -0.079676455156210579, 'FD_Position': 'OF'}, 'Mike Trout_batter': {'Salary': 5500.0, 'projected_FD_points': 3.6356209150326797, 'confidence': -0.016551048885527386, 'FD_Position': 'OF'}, 'Jimmy Rollins_batter': {'Salary': 2700.0, 'projected_FD_points': 2.2949008991306967, 'confidence': -0.11876412300938854, 'FD_Position': 'SS'}, 'Hanley Ramirez_batter': {'Salary': 4200.0, 'projected_FD_points': 3.0673771889771415, 'confidence': -0.0096529973763708199, 'FD_Position': 'OF'}, 'Michael McKenry_batter': {'Salary': 2200.0, 'projected_FD_points': 1.9934410895916301, 'confidence': -0.051097254097054234, 'FD_Position': 'C'}, 'Dustin Pedroia_batter': {'Salary': 2900.0, 'projected_FD_points': 2.4995761140016555, 'confidence': 0.035637376654651942, 'FD_Position': '2B'}}</t>
  </si>
  <si>
    <t>{'George Springer_batter': {'Salary': 3800.0, 'projected_FD_points': 3.2710597962476959, 'confidence': -0.057332416764633187, 'FD_Position': 'OF'}, 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'Jose Abreu_batter': {'Salary': 4000.0, 'projected_FD_points': 3.3866705373532717, 'confidence': -1.1649921715464231, 'FD_Position': '1B'}, 'Michael Cuddyer_batter': {'Salary': 2700.0, 'projected_FD_points': 3.0968889920664058, 'confidence': 0.13019285364547439, 'FD_Position': 'OF'}}</t>
  </si>
  <si>
    <t>{'Corey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'Giancarlo Stanton_batter': {'Salary': 5100.0, 'projected_FD_points': 4.073093645626372, 'confidence': -0.07185271137673932, 'FD_Position': 'OF'}, 'Khris Davis_batter': {'Salary': 2700.0, 'projected_FD_points': 2.5604961778041435, 'confidence': -0.050178400436996728, 'FD_Position': 'OF'}, 'Mike Napoli_batter': {'Salary': 2500.0, 'projected_FD_points': 2.5674483245734749, 'confidence': -0.013409392258812991, 'FD_Position': '1B'}}</t>
  </si>
  <si>
    <t>{'Adrian Beltre_batter': {'Salary': 2900.0, 'projected_FD_points': 2.5595037100251341, 'confidence': -0.017737058089352775, 'FD_Position': '3B'}, 'George Springer_batter': {'Salary': 3800.0, 'projected_FD_points': 3.2710597962476959, 'confidence': -0.057332416764633187, 'FD_Position': 'OF'}, 'Howie Kendrick_batter': {'Salary': 3200.0, 'projected_FD_points': 2.4768890202380249, 'confidence': -0.032832659254895313, 'FD_Position': '2B'}, 'Freddie Freeman_batter': {'Salary': 3500.0, 'projected_FD_points': 2.8521341508075899, 'confidence': -0.039864266397662496, 'FD_Position': '1B'}, 'David Price_pitcher': {'Salary': 10900.0, 'projected_FD_points': 13.503082462358652, 'confidence': -0.42912144011550946, 'FD_Position': 'P'}, 'Jonathan Villar_batter': {'Salary': 2200.0, 'projected_FD_points': 2.1242492888976381, 'confidence': -0.0072729264470268173, 'FD_Position': 'SS'}, 'Marlon Byrd_batter': {'Salary': 2300.0, 'projected_FD_points': 2.3469135640224748, 'confidence': 0.001568290995467847, 'FD_Position': 'OF'}, 'Victor Martinez_batter': {'Salary': 3400.0, 'projected_FD_points': 2.5644528625821303, 'confidence': -0.12867706445791627, 'FD_Position': 'C'}, 'Michael Cuddyer_batter': {'Salary': 2700.0, 'projected_FD_points': 3.0968889920664058, 'confidence': 0.13019285364547439, 'FD_Position': 'OF'}}</t>
  </si>
  <si>
    <t>{'Russell Martin_batter': {'Salary': 3200.0, 'projected_FD_points': 2.3778712829917557, 'confidence': -0.022856296559245592, 'FD_Position': 'C'}, 'Corey Kluber_pitcher': {'Salary': 9500.0, 'projected_FD_points': 13.981794125030454, 'confidence': 0.034529379729773879, 'FD_Position': 'P'}, 'Cody Asche_batter': {'Salary': 2200.0, 'projected_FD_points': 1.6919811701474479, 'confidence': -0.017393597056756915, 'FD_Position': '3B'}, 'Erick Aybar_batter': {'Salary': 2500.0, 'projected_FD_points': 1.9482540151595886, 'confidence': -0.023854131008048229, 'FD_Position': 'SS'}, 'Devon Travis_batter': {'Salary': 3400.0, 'projected_FD_points': 3.9655893095815822, 'confidence': -0.80911207373071958, 'FD_Position': '2B'}, 'Michael Saunders_batter': {'Salary': 2300.0, 'projected_FD_points': 2.0614525677709108, 'confidence': -0.32842293392989141, 'FD_Position': 'OF'}, 'Edwin Encarnacion_batter': {'Salary': 3900.0, 'projected_FD_points': 3.145650348979681, 'confidence': -0.12317477236719121, 'FD_Position': '1B'}, 'Marcell Ozuna_batter': {'Salary': 2800.0, 'projected_FD_points': 2.5285859581716057, 'confidence': -0.010333661618184831, 'FD_Position': 'OF'}, 'Giancarlo Stanton_batter': {'Salary': 5100.0, 'projected_FD_points': 4.073093645626372, 'confidence': -0.07185271137673932, 'FD_Position': 'OF'}}</t>
  </si>
  <si>
    <t>{'Max Scherzer_pitcher': {'Salary': 10500.0, 'projected_FD_points': 14.640909090909091, 'confidence': -0.75535491773834496, 'FD_Position': 'P'}, 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'Kevin Plawecki_batter': {'Salary': 2200.0, 'projected_FD_points': 7.9289627465302885, 'confidence': 0, 'FD_Position': 'C'}, 'Mark Canha_batter': {'Salary': 2500.0, 'projected_FD_points': 3.51263131723619, 'confidence': -0.31049542238310446,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'Giancarlo Stanton_batter': {'Salary': 5100.0, 'projected_FD_points': 4.7452879264421544, 'confidence': -0.07432459460560259, 'FD_Position': 'OF'}, 'Michael Cuddyer_batter': {'Salary': 2800.0, 'projected_FD_points': 3.4168115146919495, 'confidence': 0.10992036365264146, 'FD_Position': 'OF'}}</t>
  </si>
  <si>
    <t>{'Trevor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'Mark Canha_batter': {'Salary': 2500.0, 'projected_FD_points': 3.51263131723619, 'confidence': -0.31049542238310446, 'FD_Position': 'OF'}, 'Matt Holliday_batter': {'Salary': 3500.0, 'projected_FD_points': 2.8633089621216508, 'confidence': -0.021471177946908337,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'Nelson Cruz_batter': {'Salary': 5200.0, 'projected_FD_points': 3.0615308109862194, 'confidence': -0.0060217028630569214, 'FD_Position': 'OF'}, 'Lance Lynn_pitcher': {'Salary': 8100.0, 'projected_FD_points': 11.12789090540516, 'confidence': -0.10435486023879026, 'FD_Position': 'P'}, 'Victor Martinez_batter': {'Salary': 3400.0, 'projected_FD_points': 2.6248902927695661, 'confidence': -0.0030815533387795746, 'FD_Position': 'C'}}</t>
  </si>
  <si>
    <t>{'Kris Bryant_batter': {'Salary': 3800.0, 'projected_FD_points': 3.8141681679112995, 'confidence': 0, 'FD_Position': '3B'}, 'Albert Pujols_batter': {'Salary': 3200.0, 'projected_FD_points': 2.8627477427522674, 'confidence': -0.074826511655434524, 'FD_Position': '1B'}, 'Matt Holliday_batter': {'Salary': 3400.0, 'projected_FD_points': 3.3282961616776103, 'confidence': 0.041096065186005504, 'FD_Position': 'OF'}, 'Felix Hernandez_pitcher': {'Salary': 11100.0, 'projected_FD_points': 14.189206447864525, 'confidence': 0.055175711658847382, 'FD_Position': 'P'}, 'Yadier Molina_batter': {'Salary': 2500.0, 'projected_FD_points': 2.4859276580088556, 'confidence': 0.007826643450596249, 'FD_Position': 'C'}, 'Jorge Soler_batter': {'Salary': 3200.0, 'projected_FD_points': 2.9543895455244127, 'confidence': -0.62206784058884756, 'FD_Position': 'OF'}, 'Michael Cuddyer_batter': {'Salary': 2700.0, 'projected_FD_points': 3.1812145771136358, 'confidence': 0.1459933951105481, 'FD_Position': 'OF'}, 'Jhonny Peralta_batter': {'Salary': 2700.0, 'projected_FD_points': 2.3696382811412242, 'confidence': -0.06257247389538545, 'FD_Position': 'SS'}, 'Rickie Weeks_batter': {'Salary': 2200.0, 'projected_FD_points': 2.4670623028512995, 'confidence': -0.05460728594561548, 'FD_Position': '2B'}}</t>
  </si>
  <si>
    <t>{'George Springer_batter': {'Salary': 3600.0, 'projected_FD_points': 2.931771360116449, 'confidence': -0.023412293548812579, 'FD_Position': 'OF'}, 'Yangervis Solarte_batter': {'Salary': 2300.0, 'projected_FD_points': 2.215598923352661, 'confidence': -0.36582544486829072, 'FD_Position': '3B'}, 'Devon Travis_batter': {'Salary': 3400.0, 'projected_FD_points': 4.1291132368495678, 'confidence': -1.179300341888506, 'FD_Position': '2B'}, 'Paulo Orlando_batter': {'Salary': 3000.0, 'projected_FD_points': 3.2584252708573507, 'confidence': -0.38571473754854391, 'FD_Position': 'OF'}, 'Xander Bogaerts_batter': {'Salary': 3000.0, 'projected_FD_points': 1.6748554913294798, 'confidence': -0.12012135081574371, 'FD_Position': 'SS'}, 'Edwin Encarnacion_batter': {'Salary': 3500.0, 'projected_FD_points': 3.193419014388259, 'confidence': -0.12373416363711209, 'FD_Position': '1B'}, 'Salvador Perez_batter': {'Salary': 2800.0, 'projected_FD_points': 1.699073289826857, 'confidence': -0.092629318923391546, 'FD_Position': 'C'}, 'Hanley Ramirez_batter': {'Salary': 4300.0, 'projected_FD_points': 3.0478105047980515, 'confidence': -0.047540328324673808, 'FD_Position': 'OF'}, 'Andrew Cashner_pitcher': {'Salary': 8500.0, 'projected_FD_points': 11.264818487624693, 'confidence': 0.43661771226194823, 'FD_Position': 'P'}}</t>
  </si>
  <si>
    <t>{'Adrian Beltre_batter': {'Salary': 3100.0, 'projected_FD_points': 2.6872464213438407, 'confidence': -0.011962226082163463, 'FD_Position': '3B'}, 'Aaron Hill_batter': {'Salary': 2200.0, 'projected_FD_points': 2.7420004640166145, 'confidence': -0.019985340385579198, 'FD_Position': '2B'}, 'Johnny Cueto_pitcher': {'Salary': 10400.0, 'projected_FD_points': 15.373429333977922, 'confidence': -0.37686694455674496, 'FD_Position': 'P'}, 'Freddie Freeman_batter': {'Salary': 3200.0, 'projected_FD_points': 2.810439565030757, 'confidence': -0.013690559632344446, 'FD_Position': '1B'}, 'Matt Holliday_batter': {'Salary': 3400.0, 'projected_FD_points': 3.7058377567233496, 'confidence': -0.06303757951252531, 'FD_Position': 'OF'}, 'Daniel Santana_batter': {'Salary': 2500.0, 'projected_FD_points': 2.5251276551376751, 'confidence': -0.0035387155686017469, 'FD_Position': 'SS'}, 'Giancarlo Stanton_batter': {'Salary': 4900.0, 'projected_FD_points': 4.04776085677124, 'confidence': 0.022560888673229029, 'FD_Position': 'OF'}, 'Mark Trumbo_batter': {'Salary': 2600.0, 'projected_FD_points': 3.0770001249247994, 'confidence': -0.1555447172569171, 'FD_Position': 'OF'}, 'Yadier Molina_batter': {'Salary': 2600.0, 'projected_FD_points': 2.6017107358167384, 'confidence': 0.11256875127770705, 'FD_Position': 'C'}}</t>
  </si>
  <si>
    <t>{'Russell Martin_batter': {'Salary': 3100.0, 'projected_FD_points': 2.3284833710952682, 'confidence': 6.2743405682019748e-05, 'FD_Position': 'C'}, 'Johnny Cueto_pitcher': {'Salary': 10400.0, 'projected_FD_points': 15.373429333977922, 'confidence': -0.37686694455674496, 'FD_Position': 'P'}, 'Asdrubal Cabrera_batter': {'Salary': 2200.0, 'projected_FD_points': 2.07518115942029, 'confidence': -0.0063261100934033365, 'FD_Position': 'SS'}, 'Aramis Ramirez_batter': {'Salary': 2400.0, 'projected_FD_points': 2.3714351873210919, 'confidence': -0.078104148446106247, 'FD_Position': '3B'}, 'Jay Bruce_batter': {'Salary': 2800.0, 'projected_FD_points': 2.8483645616573607, 'confidence': 0.0017299122547869139, 'FD_Position': 'OF'}, 'David Ortiz_batter': {'Salary': 3300.0, 'projected_FD_points': 3.3132618394258451, 'confidence': -0.081318115713362893, 'FD_Position': '1B'}, 'Giancarlo Stanton_batter': {'Salary': 4900.0, 'projected_FD_points': 4.04776085677124, 'confidence': 0.022560888673229029, 'FD_Position': 'OF'}, 'Jayson Werth_batter': {'Salary': 2700.0, 'projected_FD_points': 2.7254223650809575, 'confidence': -0.038600165841382594, 'FD_Position': 'OF'}, 'Dustin Pedroia_batter': {'Salary': 2900.0, 'projected_FD_points': 2.4577887174627047, 'confidence': 0.0039808831908408893, 'FD_Position': '2B'}}</t>
  </si>
  <si>
    <t>{'Adrian Beltre_batter': {'Salary': 3100.0, 'projected_FD_points': 2.6519994389695469, 'confidence': -0.042684303857490447, 'FD_Position': '3B'}, 'Nathan Karns_pitcher': {'Salary': 6500.0, 'projected_FD_points': 14.669403587008134, 'confidence': 0, 'FD_Position': 'P'}, 'David Ortiz_batter': {'Salary': 3300.0, 'projected_FD_points': 3.3666554771993638, 'confidence': -0.0048073587633072901, 'FD_Position': '1B'}, 'Matt Holliday_batter': {'Salary': 3400.0, 'projected_FD_points': 3.0957800111445213, 'confidence': 0.038675198688579382, 'FD_Position': 'OF'}, 'Devon Travis_batter': {'Salary': 3300.0, 'projected_FD_points': 3.875, 'confidence': -1.3611111111111112, 'FD_Position': '2B'}, 'Giancarlo Stanton_batter': {'Salary': 4800.0, 'projected_FD_points': 3.7209363093849861, 'confidence': 0.062404171883884807, 'FD_Position': 'OF'}, 'Troy Tulowitzki_batter': {'Salary': 4300.0, 'projected_FD_points': 3.1750573653375986, 'confidence': -0.019809107078355703, 'FD_Position': 'SS'}, 'Victor Martinez_batter': {'Salary': 3400.0, 'projected_FD_points': 2.7298828983024461, 'confidence': -0.002716306567569271, 'FD_Position': 'C'}, 'Michael Cuddyer_batter': {'Salary': 2800.0, 'projected_FD_points': 3.2314095727646737, 'confidence': 0.085428470790639532, 'FD_Position': 'OF'}}</t>
  </si>
  <si>
    <t>{'Adrian Beltre_batter': {'Salary': 3100.0, 'projected_FD_points': 2.6519994389695469, 'confidence': -0.042684303857490447, 'FD_Position': '3B'}, 'Brian Dozier_batter': {'Salary': 2900.0, 'projected_FD_points': 2.5683542130891173, 'confidence': -0.11776833934634956, 'FD_Position': '2B'}, 'Nathan Karns_pitcher': {'Salary': 6500.0, 'projected_FD_points': 14.669403587008134, 'confidence': 0, 'FD_Position': 'P'}, 'Michael Cuddyer_batter': {'Salary': 2800.0, 'projected_FD_points': 3.2314095727646737, 'confidence': 0.085428470790639532, 'FD_Position': 'OF'}, 'Miguel Cabrera_batter': {'Salary': 4100.0, 'projected_FD_points': 3.5492668022620109, 'confidence': -0.046660633269651308, 'FD_Position': '1B'}, 'Troy Tulowitzki_batter': {'Salary': 4300.0, 'projected_FD_points': 3.1750573653375986, 'confidence': -0.019809107078355703, 'FD_Position': 'SS'}, 'Giancarlo Stanton_batter': {'Salary': 4800.0, 'projected_FD_points': 3.7209363093849861, 'confidence': 0.062404171883884807, 'FD_Position': 'OF'}, 'Jayson Werth_batter': {'Salary': 2800.0, 'projected_FD_points': 2.9472167091863017, 'confidence': -0.10033955289592722, 'FD_Position': 'OF'}, 'Victor Martinez_batter': {'Salary': 3400.0, 'projected_FD_points': 2.7298828983024461, 'confidence': -0.002716306567569271, 'FD_Position': 'C'}}</t>
  </si>
  <si>
    <t>{'Alex Rodriguez_batter': {'Salary': 3200.0, 'projected_FD_points': 2.5772727272727272, 'confidence': -0.09446718905773932, 'FD_Position': '3B'}, 'Nathan Karns_pitcher': {'Salary': 6500.0, 'projected_FD_points': 14.669403587008134, 'confidence': 0, 'FD_Position': 'P'}, 'Devon Travis_batter': {'Salary': 3300.0, 'projected_FD_points': 3.875, 'confidence': -1.3611111111111112, 'FD_Position': '2B'}, 'Tim Beckham_batter': {'Salary': 2400.0, 'projected_FD_points': 2.6901857700084655, 'confidence': -1.1536385043590638, 'FD_Position': 'SS'}, 'Brian McCann_batter': {'Salary': 2800.0, 'projected_FD_points': 2.2082335505248167, 'confidence': -0.012516854720986181, 'FD_Position': 'C'}, 'David Ortiz_batter': {'Salary': 3300.0, 'projected_FD_points': 3.3666554771993638, 'confidence': -0.0048073587633072901, 'FD_Position': '1B'}, 'Giancarlo Stanton_batter': {'Salary': 4800.0, 'projected_FD_points': 3.7209363093849861, 'confidence': 0.062404171883884807, 'FD_Position': 'OF'}, 'Hanley Ramirez_batter': {'Salary': 3700.0, 'projected_FD_points': 3.0053378179214576, 'confidence': -0.018846504210871418, 'FD_Position': 'OF'}, 'Michael Cuddyer_batter': {'Salary': 2800.0, 'projected_FD_points': 3.2314095727646737, 'confidence': 0.085428470790639532, 'FD_Position': 'OF'}}</t>
  </si>
  <si>
    <t>{'Hisashi Iwakuma_pitcher': {'Salary': 7800.0, 'projected_FD_points': 11.652073181214494, 'confidence': -0.11986620963906636, 'FD_Position': 'P'}, 'Devon Travis_batter': {'Salary': 3300.0, 'projected_FD_points': 3.7404281133116504, 'confidence': -0.4797054148922455, 'FD_Position': '2B'}, 'Evan Longoria_batter': {'Salary': 3000.0, 'projected_FD_points': 2.6192569186525883, 'confidence': 0.0048789785007018471, 'FD_Position': '3B'}, 'Daniel Santana_batter': {'Salary': 2500.0, 'projected_FD_points': 2.4784356995643031, 'confidence': -0.092445590370799913, 'FD_Position': 'SS'}, 'Mike Trout_batter': {'Salary': 5100.0, 'projected_FD_points': 3.771594684385382, 'confidence': -0.22474399243636256, 'FD_Position': 'OF'}, 'Jason Castro_batter': {'Salary': 2200.0, 'projected_FD_points': 2.0977084117992857, 'confidence': 0.0067134878357897332, 'FD_Position': 'C'}, 'Jayson Werth_batter': {'Salary': 2800.0, 'projected_FD_points': 2.8370961553136986, 'confidence': -0.15892162181086822, 'FD_Position': 'OF'}, 'Miguel Cabrera_batter': {'Salary': 4100.0, 'projected_FD_points': 3.6212338852563084, 'confidence': -0.010388012663787638, 'FD_Position': '1B'}, 'Andrew McCutchen_batter': {'Salary': 4000.0, 'projected_FD_points': 3.4856964332359013, 'confidence': 0.045989517786014011, 'FD_Position': 'OF'}}</t>
  </si>
  <si>
    <t>{'Hisashi Iwakuma_pitcher': {'Salary': 7800.0, 'projected_FD_points': 11.652073181214494, 'confidence': -0.11986620963906636, 'FD_Position': 'P'}, 'Robinson Cano_batter': {'Salary': 3700.0, 'projected_FD_points': 2.8849318879988597, 'confidence': -0.033908230137150275, 'FD_Position': '2B'}, 'Paul Goldschmidt_batter': {'Salary': 4700.0, 'projected_FD_points': 3.715823983896084, 'confidence': -0.13997340697372662, 'FD_Position': '1B'}, 'Joc Pederson_batter': {'Salary': 3000.0, 'projected_FD_points': 2.8016311392584319, 'confidence': 0.22461351206487634, 'FD_Position': 'OF'}, 'Daniel Santana_batter': {'Salary': 2500.0, 'projected_FD_points': 2.4784356995643031, 'confidence': -0.092445590370799913, 'FD_Position': 'SS'}, 'Justin Upton_batter': {'Salary': 3400.0, 'projected_FD_points': 2.8075997748273891, 'confidence': -0.018438181489309757, 'FD_Position': 'OF'}, 'Kyle Seager_batter': {'Salary': 3400.0, 'projected_FD_points': 2.5566496185341494, 'confidence': 0.0028122460169106578, 'FD_Position': '3B'}, 'Jason Castro_batter': {'Salary': 2200.0, 'projected_FD_points': 2.0977084117992857, 'confidence': 0.0067134878357897332, 'FD_Position': 'C'}, 'Andrew McCutchen_batter': {'Salary': 4000.0, 'projected_FD_points': 3.4856964332359013, 'confidence': 0.045989517786014011, 'FD_Position': 'OF'}}</t>
  </si>
  <si>
    <t>{'Chris Davis_batter': {'Salary': 3100.0, 'projected_FD_points': 3.1662115026693254, 'confidence': -0.015784512618407076, 'FD_Position': '1B'}, 'Robinson Cano_batter': {'Salary': 3800.0, 'projected_FD_points': 3.1240941845340227, 'confidence': -0.043496650235945067, 'FD_Position': '2B'}, 'Carlos Gonzalez_batter': {'Salary': 3100.0, 'projected_FD_points': 3.0220737065130199, 'confidence': -0.033000595688985834, 'FD_Position': 'OF'}, 'Joc Pederson_batter': {'Salary': 3000.0, 'projected_FD_points': 2.7468776656688441, 'confidence': -1.5178446627298436, 'FD_Position': 'OF'}, 'Mike Zunino_batter': {'Salary': 2200.0, 'projected_FD_points': 1.9912415888189074, 'confidence': -0.074022516603235999, 'FD_Position': 'C'}, 'Kyle Seager_batter': {'Salary': 3400.0, 'projected_FD_points': 2.5557372414492807, 'confidence': -0.062861676010344869, 'FD_Position': '3B'}, 'C.J. Wilson_pitcher': {'Salary': 7600.0, 'projected_FD_points': 12.340279134622152, 'confidence': -0.15969872552369369, 'FD_Position': 'P'}, 'Troy Tulowitzki_batter': {'Salary': 4700.0, 'projected_FD_points': 3.7351910487196376, 'confidence': -0.21884627753830221, 'FD_Position': 'SS'}, 'Andrew McCutchen_batter': {'Salary': 4100.0, 'projected_FD_points': 3.2833468101459657, 'confidence': 0.046261488986091281, 'FD_Position': 'OF'}}</t>
  </si>
  <si>
    <t>{'Alex Rodriguez_batter': {'Salary': 3300.0, 'projected_FD_points': 2.6443830484486526, 'confidence': -0.10659663052024682, 'FD_Position': '3B'}, 'Asdrubal Cabrera_batter': {'Salary': 2200.0, 'projected_FD_points': 2.1475778252986251, 'confidence': -0.093298750670502084, 'FD_Position': 'SS'}, 'Matt Harvey_pitcher': {'Salary': 10100.0, 'projected_FD_points': 14.32694910492466, 'confidence': -0.26660466844956376, 'FD_Position': 'P'}, 'Edwin Encarnacion_batter': {'Salary': 3700.0, 'projected_FD_points': 3.22723759943641, 'confidence': -0.00022750870171939219, 'FD_Position': '1B'}, 'Jayson Werth_batter': {'Salary': 2900.0, 'projected_FD_points': 2.8449317150853286, 'confidence': -0.0095066243155887964, 'FD_Position': 'OF'}, 'Giancarlo Stanton_batter': {'Salary': 4700.0, 'projected_FD_points': 3.5133206579593144, 'confidence': -0.41061026397174927, 'FD_Position': 'OF'}, 'Daniel Murphy_batter': {'Salary': 2900.0, 'projected_FD_points': 2.1804389401211277, 'confidence': -0.03766018879882016, 'FD_Position': '2B'}, 'Michael Cuddyer_batter': {'Salary': 3000.0, 'projected_FD_points': 3.3721175213162766, 'confidence': 0.13295911268008964, 'FD_Position': 'OF'}, 'Jason Castro_batter': {'Salary': 2200.0, 'projected_FD_points': 2.295981822175682, 'confidence': -0.22594991656769681, 'FD_Position': 'C'}}</t>
  </si>
  <si>
    <t>{'Kole Calhoun_batter': {'Salary': 3600.0, 'projected_FD_points': 3.3903938169613181, 'confidence': -0.23751274126826938, 'FD_Position': 'OF'}, 'Chris Davis_batter': {'Salary': 3500.0, 'projected_FD_points': 3.1416957069115186, 'confidence': -0.015322758140798198, 'FD_Position': '1B'}, 'Devon Travis_batter': {'Salary': 3100.0, 'projected_FD_points': 4.097617778493813, 'confidence': -0.67875418736845416, 'FD_Position': '2B'}, 'Mark Canha_batter': {'Salary': 3100.0, 'projected_FD_points': 3.1167165858539843, 'confidence': -0.63094566387953344, 'FD_Position': 'OF'}, 'Aramis Ramirez_batter': {'Salary': 2600.0, 'projected_FD_points': 2.1315492006101611, 'confidence': -0.081788428539694813, 'FD_Position': '3B'}, 'Felix Hernandez_pitcher': {'Salary': 11500.0, 'projected_FD_points': 15.060563252541428, 'confidence': -0.29152805939444981, 'FD_Position': 'P'}, 'Mike Zunino_batter': {'Salary': 2500.0, 'projected_FD_points': 2.0934155200324307, 'confidence': 0.043800430967959159, 'FD_Position': 'C'}, 'Austin Jackson_batter': {'Salary': 2600.0, 'projected_FD_points': 2.7379593298712184, 'confidence': -0.072882911080591972, 'FD_Position': 'OF'}, 'Asdrubal Cabrera_batter': {'Salary': 2500.0, 'projected_FD_points': 2.1165105933723374, 'confidence': -0.040821943612610934, 'FD_Position': 'SS'}}</t>
  </si>
  <si>
    <t>{'Kole Calhoun_batter': {'Salary': 3600.0, 'projected_FD_points': 3.3903938169613181, 'confidence': -0.23751274126826938, 'FD_Position': 'OF'}, 'Robinson Cano_batter': {'Salary': 4100.0, 'projected_FD_points': 3.4679394111998683, 'confidence': -0.16110233192300316, 'FD_Position': '2B'}, 'Mark Canha_batter': {'Salary': 3100.0, 'projected_FD_points': 3.1167165858539843, 'confidence': -0.63094566387953344, 'FD_Position': 'OF'}, 'Felix Hernandez_pitcher': {'Salary': 11500.0, 'projected_FD_points': 15.060563252541428, 'confidence': -0.29152805939444981, 'FD_Position': 'P'}, 'Juan Uribe_batter': {'Salary': 2200.0, 'projected_FD_points': 1.7836894012485365, 'confidence': 0.012147364473194866, 'FD_Position': '3B'}, 'Mike Zunino_batter': {'Salary': 2500.0, 'projected_FD_points': 2.0934155200324307, 'confidence': 0.043800430967959159, 'FD_Position': 'C'}, 'Daniel Santana_batter': {'Salary': 2900.0, 'projected_FD_points': 2.2531439854674282, 'confidence': -0.01936430986933102, 'FD_Position': 'SS'}, 'Austin Jackson_batter': {'Salary': 2600.0, 'projected_FD_points': 2.7379593298712184, 'confidence': -0.072882911080591972, 'FD_Position': 'OF'}, 'C.J. Cron_batter': {'Salary': 2400.0, 'projected_FD_points': 2.1084236814683637, 'confidence': -0.042581537127236668, 'FD_Position': '1B'}}</t>
  </si>
  <si>
    <t>{'Aramis Ramirez_batter': {'Salary': 2600.0, 'projected_FD_points': 2.1315492006101611, 'confidence': -0.081788428539694813, 'FD_Position': '3B'}, 'Jose Quintana_pitcher': {'Salary': 8000.0, 'projected_FD_points': 9.8796031005922007, 'confidence': -0.0016265301077871275, 'FD_Position': 'P'}, 'Corey Dickerson_batter': {'Salary': 4900.0, 'projected_FD_points': 3.3079801480930624, 'confidence': -0.16969168429016857, 'FD_Position': 'OF'}, 'Yadier Molina_batter': {'Salary': 3000.0, 'projected_FD_points': 1.9693598914420192, 'confidence': -0.12466708448899411, 'FD_Position': 'C'}, 'Matt Holliday_batter': {'Salary': 3500.0, 'projected_FD_points': 2.8103631597976677, 'confidence': -0.021252836456217228, 'FD_Position': 'OF'}, 'Jhonny Peralta_batter': {'Salary': 2800.0, 'projected_FD_points': 2.1558745934611547, 'confidence': -0.12401316430959719, 'FD_Position': 'SS'}, 'Omar Infante_batter': {'Salary': 2200.0, 'projected_FD_points': 1.9042145593869733, 'confidence': -0.025913717637990885, 'FD_Position': '2B'}, 'Carlos Gonzalez_batter': {'Salary': 3500.0, 'projected_FD_points': 3.1516003232642196, 'confidence': -0.052547207869400703, 'FD_Position': 'OF'}, 'Jose Abreu_batter': {'Salary': 4400.0, 'projected_FD_points': 3.270407603126642, 'confidence': -0.0067415744691095014, 'FD_Position': '1B'}}</t>
  </si>
  <si>
    <t>{'Max Scherzer_pitcher': {'Salary': 11000.0, 'projected_FD_points': 14.247957894613144, 'confidence': -0.039486956893399094, 'FD_Position': 'P'}, 'Alexander Guerrero_batter': {'Salary': 2700.0, 'projected_FD_points': 2.2275159924255021, 'confidence': -1.8957659970025369, 'FD_Position': '2B'}, 'Casey McGehee_batter': {'Salary': 2400.0, 'projected_FD_points': 1.914935704940492, 'confidence': -0.12901320343220091, 'FD_Position': '3B'}, 'Will Venable_batter': {'Salary': 2300.0, 'projected_FD_points': 1.8939453642454143, 'confidence': -0.11847618063600973, 'FD_Position': 'OF'}, 'Matt Adams_batter': {'Salary': 3000.0, 'projected_FD_points': 2.3136186794208045, 'confidence': -0.04775596090881673, 'FD_Position': '1B'}, 'Jon Jay_batter': {'Salary': 2300.0, 'projected_FD_points': 1.6705932370495296, 'confidence': -0.033178725491175731, 'FD_Position': 'OF'}, 'Yasmani Grandal_batter': {'Salary': 2800.0, 'projected_FD_points': 1.9093959731543624, 'confidence': -0.15426812338466478, 'FD_Position': 'C'}, 'Troy Tulowitzki_batter': {'Salary': 5200.0, 'projected_FD_points': 3.5997684565583028, 'confidence': -0.11308194734858978, 'FD_Position': 'SS'}, 'Denard Span_batter': {'Salary': 3100.0, 'projected_FD_points': 2.3503692349877823, 'confidence': -0.056525569458377722, 'FD_Position': 'OF'}}</t>
  </si>
  <si>
    <t>{'Russell Martin_batter': {'Salary': 3300.0, 'projected_FD_points': 2.3178879310344827, 'confidence': -0.0064606730212788399, 'FD_Position': 'C'}, 'Adam Eaton_batter': {'Salary': 2500.0, 'projected_FD_points': 2.1854720009671289, 'confidence': -0.0077657303303819702, 'FD_Position': 'OF'}, 'Melky Cabrera_batter': {'Salary': 2700.0, 'projected_FD_points': 2.4086374777940693, 'confidence': -0.026627106325361583, 'FD_Position': 'OF'}, 'David Ortiz_batter': {'Salary': 3500.0, 'projected_FD_points': 3.1534920516751734, 'confidence': -0.014255651725749496, 'FD_Position': '1B'}, 'Evan Longoria_batter': {'Salary': 3300.0, 'projected_FD_points': 2.500748687005363, 'confidence': 0.0066220562365706392, 'FD_Position': '3B'}, 'Alex Gordon_batter': {'Salary': 3200.0, 'projected_FD_points': 2.5280294572881306, 'confidence': -0.085974257436180146, 'FD_Position': 'OF'}, 'Alexei Ramirez_batter': {'Salary': 3000.0, 'projected_FD_points': 2.5855053719487562, 'confidence': -0.028055361326298156, 'FD_Position': 'SS'}, 'Chris Sale_pitcher': {'Salary': 10200.0, 'projected_FD_points': 14.543625044689447, 'confidence': 0.029735648039828977, 'FD_Position': 'P'}, 'Dustin Pedroia_batter': {'Salary': 3200.0, 'projected_FD_points': 2.3101899533609282, 'confidence': -0.092865912367581016, 'FD_Position': '2B'}}</t>
  </si>
  <si>
    <t>{'Madison Bumgarner_pitcher': {'Salary': 9900.0, 'projected_FD_points': 13.143796713511156, 'confidence': -0.07380398963232282, 'FD_Position': 'P'}, 'Devon Travis_batter': {'Salary': 2800.0, 'projected_FD_points': 3.0384118064665824, 'confidence': -4.2647164467389613, 'FD_Position': '2B'}, 'Paulo Orlando_batter': {'Salary': 3000.0, 'projected_FD_points': 4.7874988430746477, 'confidence': 0, 'FD_Position': 'OF'}, 'Alex Rodriguez_batter': {'Salary': 3700.0, 'projected_FD_points': 3.1215832703853206, 'confidence': 0.033061243462063961, 'FD_Position': '3B'}, 'Daniel Santana_batter': {'Salary': 3000.0, 'projected_FD_points': 2.5137325685737593, 'confidence': -0.15636496529198696, 'FD_Position': 'SS'}, 'David Ortiz_batter': {'Salary': 3600.0, 'projected_FD_points': 3.1287453819904565, 'confidence': -0.014503682890996794, 'FD_Position': '1B'}, 'Michael Cuddyer_batter': {'Salary': 3400.0, 'projected_FD_points': 4.0830279259163333, 'confidence': 0.013094629235737454, 'FD_Position': 'OF'}, 'Jayson Werth_batter': {'Salary': 3300.0, 'projected_FD_points': 2.8491667613317055, 'confidence': -0.013219085037219136, 'FD_Position': 'OF'}, 'Francisco Cervelli_batter': {'Salary': 2300.0, 'projected_FD_points': 1.9376297453055962, 'confidence': -0.067807278589594455, 'FD_Position': 'C'}}</t>
  </si>
  <si>
    <t>{'Adrian Beltre_batter': {'Salary': 3400.0, 'projected_FD_points': 2.5950570401072941, 'confidence': 0.004636140694162294, 'FD_Position': '3B'}, 'George Springer_batter': {'Salary': 3500.0, 'projected_FD_points': 2.5958680157335565, 'confidence': -0.091529463365381813, 'FD_Position': 'OF'}, 'Madison Bumgarner_pitcher': {'Salary': 9900.0, 'projected_FD_points': 13.143796713511156, 'confidence': -0.07380398963232282, 'FD_Position': 'P'}, 'Aaron Hill_batter': {'Salary': 2300.0, 'projected_FD_points': 2.3576188247018544, 'confidence': -0.13116925437702731, 'FD_Position': '2B'}, 'Erick Aybar_batter': {'Salary': 2800.0, 'projected_FD_points': 2.0455559512982342, 'confidence': -0.079779243160413849, 'FD_Position': 'SS'}, 'Chris Iannetta_batter': {'Salary': 2200.0, 'projected_FD_points': 1.8510447499625651, 'confidence': -0.074370486878105657, 'FD_Position': 'C'}, 'Paul Goldschmidt_batter': {'Salary': 5300.0, 'projected_FD_points': 3.598710780456865, 'confidence': -0.011322170612660054, 'FD_Position': '1B'}, 'Mark Trumbo_batter': {'Salary': 3200.0, 'projected_FD_points': 2.6988715754981132, 'confidence': 0.046867952627371978, 'FD_Position': 'OF'}, 'Chris Carter_batter': {'Salary': 2400.0, 'projected_FD_points': 2.4071102217165063, 'confidence': -0.023480341894934531, 'FD_Position': 'OF'}}</t>
  </si>
  <si>
    <t>{'Brian Dozier_batter': {'Salary': 3000.0, 'projected_FD_points': 2.3732456257386225, 'confidence': -0.070485923887403379, 'FD_Position': '2B'}, 'Johnny Cueto_pitcher': {'Salary': 10600.0, 'projected_FD_points': 13.301189767054186, 'confidence': -0.32233001672839823, 'FD_Position': 'P'}, 'Paulo Orlando_batter': {'Salary': 3000.0, 'projected_FD_points': 4.7874988430746477, 'confidence': 0, 'FD_Position': 'OF'}, 'Aramis Ramirez_batter': {'Salary': 2700.0, 'projected_FD_points': 2.2117387960301018, 'confidence': -0.049213632769378846, 'FD_Position': '3B'}, 'Carlos Gonzalez_batter': {'Salary': 3700.0, 'projected_FD_points': 2.6575368330328129, 'confidence': 0.026297685505554447, 'FD_Position': 'OF'}, 'Michael McKenry_batter': {'Salary': 2200.0, 'projected_FD_points': 1.6038018574286677, 'confidence': -0.081425233122266683, 'FD_Position': 'C'}, 'Daniel Santana_batter': {'Salary': 3000.0, 'projected_FD_points': 2.5137325685737593, 'confidence': -0.15636496529198696, 'FD_Position': 'SS'}, 'Marlon Byrd_batter': {'Salary': 2200.0, 'projected_FD_points': 2.1760047126575901, 'confidence': -0.067999869748556652, 'FD_Position': 'OF'}, 'Joey Votto_batter': {'Salary': 4600.0, 'projected_FD_points': 3.0530284985863645, 'confidence': -0.05763744613770605, 'FD_Position': '1B'}}</t>
  </si>
  <si>
    <t>{'Dioner Navarro_batter': {'Salary': 2400.0, 'projected_FD_points': 2.4229898319201433, 'confidence': -0.0042693515918266201, 'FD_Position': 'C'}, 'Alex Rodriguez_batter': {'Salary': 3800.0, 'projected_FD_points': 3.4987350027212876, 'confidence': -1.8685255565080303, 'FD_Position': '3B'}, 'David Ortiz_batter': {'Salary': 3700.0, 'projected_FD_points': 3.1285593685071174, 'confidence': -0.086363972684110557, 'FD_Position': '1B'}, 'Carlos Gonzalez_batter': {'Salary': 3800.0, 'projected_FD_points': 3.3214257210832225, 'confidence': -0.15712010511698526, 'FD_Position': 'OF'}, 'Chase Anderson_pitcher': {'Salary': 6600.0, 'projected_FD_points': 15.324099581467392, 'confidence': 0.62577860332209734, 'FD_Position': 'P'}, 'Troy Tulowitzki_batter': {'Salary': 5300.0, 'projected_FD_points': 3.9305615400739007, 'confidence': -0.25291088095483505, 'FD_Position': 'SS'}, 'Michael Cuddyer_batter': {'Salary': 3400.0, 'projected_FD_points': 4.3315269038863136, 'confidence': 0.088705144335373132, 'FD_Position': 'OF'}, 'David Peralta_batter': {'Salary': 3000.0, 'projected_FD_points': 3.0268487638944306, 'confidence': -0.63157577168553414, 'FD_Position': 'OF'}, 'Rafael Ynoa_batter': {'Salary': 2800.0, 'projected_FD_points': 2.9371030017162845, 'confidence': -2.8034533223658733, 'FD_Position': '2B'}}</t>
  </si>
  <si>
    <t>{'Carlos Gonzalez_batter': {'Salary': 3800.0, 'projected_FD_points': 3.3214257210832225, 'confidence': -0.15712010511698526, 'FD_Position': 'OF'}, 'Todd Frazier_batter': {'Salary': 3400.0, 'projected_FD_points': 2.3296436326642938, 'confidence': 0.002199561890504298, 'FD_Position': '3B'}, 'Michael Fiers_pitcher': {'Salary': 8000.0, 'projected_FD_points': 9.2558642686041885, 'confidence': 0.11844155458887617, 'FD_Position': 'P'}, 'Salvador Perez_batter': {'Salary': 3600.0, 'projected_FD_points': 2.1431066845227345, 'confidence': 0.022502110485482563, 'FD_Position': 'C'}, 'Marlon Byrd_batter': {'Salary': 2200.0, 'projected_FD_points': 2.333938895321249, 'confidence': -0.1670793970380724, 'FD_Position': 'OF'}, 'Carlos Santana_batter': {'Salary': 3300.0, 'projected_FD_points': 2.7319684727561087, 'confidence': -0.084005762341868184, 'FD_Position': '1B'}, 'Troy Tulowitzki_batter': {'Salary': 5300.0, 'projected_FD_points': 3.9305615400739007, 'confidence': -0.25291088095483505, 'FD_Position': 'SS'}, 'Michael Bourn_batter': {'Salary': 2500.0, 'projected_FD_points': 2.3231564278474393, 'confidence': -0.11506198094862863, 'FD_Position': 'OF'}, 'Rafael Ynoa_batter': {'Salary': 2800.0, 'projected_FD_points': 2.9371030017162845, 'confidence': -2.8034533223658733, 'FD_Position': '2B'}}</t>
  </si>
  <si>
    <t>{'Alex Rodriguez_batter': {'Salary': 3700.0, 'projected_FD_points': 3.4218949571690072, 'confidence': -0.86523068343077791, 'FD_Position': '3B'}, 'A.J. Burnett_pitcher': {'Salary': 7000.0, 'projected_FD_points': 11.455257671909886, 'confidence': -0.029446862818246711, 'FD_Position': 'P'}, 'Jorge Soler_batter': {'Salary': 3800.0, 'projected_FD_points': 2.9679352973685282, 'confidence': 0.0079081243908396548, 'FD_Position': 'OF'}, 'Marlon Byrd_batter': {'Salary': 2200.0, 'projected_FD_points': 2.4014787062023162, 'confidence': -0.0017668277231397411, 'FD_Position': 'OF'}, 'Austin Jackson_batter': {'Salary': 2500.0, 'projected_FD_points': 2.4096176813756043, 'confidence': 0.011793929602752495, 'FD_Position': 'OF'}, 'Troy Tulowitzki_batter': {'Salary': 5300.0, 'projected_FD_points': 4.0458501977153078, 'confidence': -0.18473992320381272, 'FD_Position': 'SS'}, 'Jason Castro_batter': {'Salary': 2600.0, 'projected_FD_points': 2.2903253161860646, 'confidence': -0.72965697803933649, 'FD_Position': 'C'}, 'Miguel Cabrera_batter': {'Salary': 5000.0, 'projected_FD_points': 3.4532297661097759, 'confidence': -0.038879336061243164, 'FD_Position': '1B'}, 'Rafael Ynoa_batter': {'Salary': 2800.0, 'projected_FD_points': 3.3966182179116515, 'confidence': -2.2268860975768097, 'FD_Position': '2B'}}</t>
  </si>
  <si>
    <t>{'Lonnie Chisenhall_batter': {'Salary': 2600.0, 'projected_FD_points': 1.9165629831062077, 'confidence': -0.27968475618377453, 'FD_Position': '3B'}, 'Melky Cabrera_batter': {'Salary': 2700.0, 'projected_FD_points': 2.2069399076101117, 'confidence': -0.10802206305292272, 'FD_Position': 'OF'}, 'Corey Dickerson_batter': {'Salary': 4900.0, 'projected_FD_points': 3.0580298660330878, 'confidence': -0.071294842647985801, 'FD_Position': 'OF'}, 'Geovany Soto_batter': {'Salary': 2300.0, 'projected_FD_points': 1.6192316393348638, 'confidence': 0.15103457680580501, 'FD_Position': 'C'}, 'Carlos Gonzalez_batter': {'Salary': 4400.0, 'projected_FD_points': 3.0321563669075675, 'confidence': 0.071684895649285818, 'FD_Position': 'OF'}, 'Jorge De La Rosa_pitcher': {'Salary': 6800.0, 'projected_FD_points': 10.163443001326556, 'confidence': -0.067057833506677378, 'FD_Position': 'P'}, 'Carlos Santana_batter': {'Salary': 3200.0, 'projected_FD_points': 2.5485175087672136, 'confidence': -0.026503998912987603, 'FD_Position': '1B'}, 'Troy Tulowitzki_batter': {'Salary': 5300.0, 'projected_FD_points': 4.0458501977153078, 'confidence': -0.18473992320381272, 'FD_Position': 'SS'}, 'Rafael Ynoa_batter': {'Salary': 2800.0, 'projected_FD_points': 3.3966182179116515, 'confidence': -2.2268860975768097, 'FD_Position': '2B'}}</t>
  </si>
  <si>
    <t>{'Ian Desmond_batter': {'Salary': 3900.0, 'projected_FD_points': 3.0193084458280328, 'confidence': -0.0091748744347752709, 'FD_Position': 'SS'}, 'Trevor Plouffe_batter': {'Salary': 2500.0, 'projected_FD_points': 2.6438702935934653, 'confidence': -0.26656016592103571, 'FD_Position': '3B'}, 'Matt Holliday_batter': {'Salary': 3600.0, 'projected_FD_points': 3.3230376466597207, 'confidence': -0.19931439462596656, 'FD_Position': 'OF'},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'Daniel Murphy_batter': {'Salary': 3200.0, 'projected_FD_points': 2.4731909941297601, 'confidence': -0.025825704173150665, 'FD_Position': '2B'},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'OF'}}</t>
  </si>
  <si>
    <t>{'Neil Walker_batter': {'Salary': 3400.0, 'projected_FD_points': 2.5547480682996433, 'confidence': -0.066561920771815331, 'FD_Position': '2B'}, 'Jose Bautista_batter': {'Salary': 4900.0, 'projected_FD_points': 3.6586801748490183, 'confidence': -0.0033057444938482394, 'FD_Position': 'OF'}, 'Trevor Plouffe_batter': {'Salary': 2500.0, 'projected_FD_points': 2.6438702935934653, 'confidence': -0.26656016592103571, 'FD_Position': '3B'},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'OF'}, 'Ruben Tejada_batter': {'Salary': 2200.0, 'projected_FD_points': 2.2798046279193458, 'confidence': -0.052902173837947375, 'FD_Position': 'SS'}}</t>
  </si>
  <si>
    <t>{'Adam Wainwright_pitcher': {'Salary': 9400.0, 'projected_FD_points': 13.68665215269367, 'confidence': -1.3122720359974496, 'FD_Position': 'P'}, 'Robinson Cano_batter': {'Salary': 3800.0, 'projected_FD_points': 2.9056104275446657, 'confidence': -0.08152835755971588, 'FD_Position': '2B'}, 'Casey McGehee_batter': {'Salary': 2700.0, 'projected_FD_points': 2.4895041696338391, 'confidence': -0.32288015130245951, 'FD_Position': '3B'}, 'Matt Holliday_batter': {'Salary': 3600.0, 'projected_FD_points': 3.3230376466597207, 'confidence': -0.19931439462596656, 'FD_Position': 'OF'}, 'Jhonny Peralta_batter': {'Salary': 3100.0, 'projected_FD_points': 2.5217884419920988, 'confidence': -0.014941045084679194, 'FD_Position': 'SS'}, 'Angel Pagan_batter': {'Salary': 3200.0, 'projected_FD_points': 2.4287953954836636, 'confidence': -0.016651721211769166, 'FD_Position': 'OF'}, 'Austin Jackson_batter': {'Salary': 2500.0, 'projected_FD_points': 2.3349175457826701, 'confidence': 0.040264757941501195, 'FD_Position': 'OF'}, 'Joey Votto_batter': {'Salary': 4500.0, 'projected_FD_points': 3.2190882704062429, 'confidence': -0.012017329834104418, 'FD_Position': '1B'}, 'Andrew Susac_batter': {'Salary': 2200.0, 'projected_FD_points': 2.0285557490718542, 'confidence': -3.4465205136246739, 'FD_Position': 'C'}}</t>
  </si>
  <si>
    <t>{'George Springer_batter': {'Salary': 3400.0, 'projected_FD_points': 3.1069622827547598, 'confidence': -1.3869532649792027, 'FD_Position': 'OF'}, 'Eric Hosmer_batter': {'Salary': 3400.0, 'projected_FD_points': 2.5879745502972149, 'confidence': -0.195074104200891, 'FD_Position': '1B'}, 'Robinson Cano_batter': {'Salary': 3900.0, 'projected_FD_points': 3.1524614312024877, 'confidence': 0.015126177594337431, 'FD_Position': '2B'}, 'Mike Zunino_batter': {'Salary': 2300.0, 'projected_FD_points': 2.0724759935005084, 'confidence': -0.013071437445166367, 'FD_Position': 'C'}, 'Zack Greinke_pitcher': {'Salary': 10100.0, 'projected_FD_points': 14.504976448418224, 'confidence': -0.2389486254181632, 'FD_Position': 'P'}, 'Jonathan Villar_batter': {'Salary': 2200.0, 'projected_FD_points': 2.2468405806627789, 'confidence': -0.10808569598871842, 'FD_Position': 'SS'}, 'Austin Jackson_batter': {'Salary': 2600.0, 'projected_FD_points': 2.7295066948094946, 'confidence': -0.018244961945234506, 'FD_Position': 'OF'}, 'Kyle Seager_batter': {'Salary': 3500.0, 'projected_FD_points': 2.9889029878148921, 'confidence': -0.049664151615072649, 'FD_Position': '3B'}, 'Michael Cuddyer_batter': {'Salary': 3300.0, 'projected_FD_points': 3.374037365264646, 'confidence': 0.086155310972075072, 'FD_Position': 'OF'}}</t>
  </si>
  <si>
    <t>{'Shane Victorino_batter': {'Salary': 2600.0, 'projected_FD_points': 2.5841973102512892, 'confidence': -0.058640538963233402, 'FD_Position': 'OF'}, 'Ian Desmond_batter': {'Salary': 3900.0, 'projected_FD_points': 3.1005428676844407, 'confidence': -0.043676008243347164, 'FD_Position': 'SS'}, 'David Ortiz_batter': {'Salary': 3700.0, 'projected_FD_points': 3.2475612977789456, 'confidence': -0.04709500756811047, 'FD_Position': '1B'}, 'Juan Uribe_batter': {'Salary': 2300.0, 'projected_FD_points': 2.5356367238502795, 'confidence': 0.0054177678360013415, 'FD_Position': '3B'}, 'Clayton Kershaw_pitcher': {'Salary': 11800.0, 'projected_FD_points': 16.512281111977131, 'confidence': -0.20594010562493925, 'FD_Position': 'P'}, 'Devon Travis_batter': {'Salary': 2800.0, 'projected_FD_points': 3.5787818805440956, 'confidence': 0, 'FD_Position': '2B'}, 'Marlon Byrd_batter': {'Salary': 2400.0, 'projected_FD_points': 2.4173711116664593, 'confidence': -0.0035069517618016022, 'FD_Position': 'OF'}, 'Michael Cuddyer_batter': {'Salary': 3000.0, 'projected_FD_points': 3.9226013385717424, 'confidence': 0.094612900913470854, 'FD_Position': 'OF'}, 'Jason Castro_batter': {'Salary': 2500.0, 'projected_FD_points': 2.272109380641075, 'confidence': -0.50586798748917228, 'FD_Position': 'C'}}</t>
  </si>
  <si>
    <t>{'Howie Kendrick_batter': {'Salary': 3300.0, 'projected_FD_points': 2.5100112090754187, 'confidence': -0.049873935715712081, 'FD_Position': '2B'}, 'Austin Jackson_batter': {'Salary': 2600.0, 'projected_FD_points': 2.2938314983044688, 'confidence': -0.16110027135101701, 'FD_Position': 'OF'}, 'Paul Goldschmidt_batter': {'Salary': 5000.0, 'projected_FD_points': 3.5334277859212069, 'confidence': -0.010441544688965188, 'FD_Position': '1B'}, 'Juan Uribe_batter': {'Salary': 2300.0, 'projected_FD_points': 2.5356367238502795, 'confidence': 0.0054177678360013415, 'FD_Position': '3B'}, 'Mike Zunino_batter': {'Salary': 2300.0, 'projected_FD_points': 1.8311137101102359, 'confidence': -0.027079492621312706, 'FD_Position': 'C'}, 'Clayton Kershaw_pitcher': {'Salary': 11800.0, 'projected_FD_points': 16.512281111977131, 'confidence': -0.20594010562493925, 'FD_Position': 'P'}, 'Andre Ethier_batter': {'Salary': 2600.0, 'projected_FD_points': 2.0668703096429861, 'confidence': -0.18543093457345616, 'FD_Position': 'OF'}, 'Brandon Crawford_batter': {'Salary': 2300.0, 'projected_FD_points': 2.0136003072542072, 'confidence': 0.038678045867031385, 'FD_Position': 'SS'}, 'David Peralta_batter': {'Salary': 2800.0, 'projected_FD_points': 2.099607065134526, 'confidence': -1.4822581159757862, 'FD_Position': 'OF'}}</t>
  </si>
  <si>
    <t>{'Corey Kluber_pitcher': {'Salary': 10700.0, 'projected_FD_points': 13.935019235026337, 'confidence': 0.1458578787463588, 'FD_Position': 'P'}, 'Trevor Plouffe_batter': {'Salary': 2500.0, 'projected_FD_points': 1.9798265072410528, 'confidence': -0.035404859174810399, 'FD_Position': '3B'}, 'Matt Holliday_batter': {'Salary': 3500.0, 'projected_FD_points': 3.052072640272947, 'confidence': -0.046405712239143693, 'FD_Position': 'OF'}, 'Daniel Santana_batter': {'Salary': 3300.0, 'projected_FD_points': 2.5052916126652516, 'confidence': -0.11963923117905528, 'FD_Position': 'SS'}, 'Marlon Byrd_batter': {'Salary': 2400.0, 'projected_FD_points': 2.4173711116664593, 'confidence': -0.0035069517618016022, 'FD_Position': 'OF'}, 'Jason Castro_batter': {'Salary': 2500.0, 'projected_FD_points': 2.272109380641075, 'confidence': -0.50586798748917228, 'FD_Position': 'C'}, 'Joey Votto_batter': {'Salary': 4300.0, 'projected_FD_points': 3.0916666666666668, 'confidence': -0.21235023041474621, 'FD_Position': '1B'}, 'Chris Carter_batter': {'Salary': 2600.0, 'projected_FD_points': 2.4435185185185184, 'confidence': -0.03874224705296947, 'FD_Position': 'OF'}, 'Brian Dozier_batter': {'Salary': 3100.0, 'projected_FD_points': 2.4348214285714285, 'confidence': -0.026422484227369258, 'FD_Position': '2B'}}</t>
  </si>
  <si>
    <t>{'Kris Bryant_batter': {'Salary': 4000.0, 'projected_FD_points': 3.7863993821752198, 'confidence': -0.032431928211710481, 'FD_Position': '3B'}, 'Alexander Guerrero_batter': {'Salary': 2900.0, 'projected_FD_points': 3.0235736594634446, 'confidence': 0.00078886335129935148, 'FD_Position': 'OF'}, 'David Ortiz_batter': {'Salary': 2900.0, 'projected_FD_points': 3.2455083408443448, 'confidence': -0.021590168882700489, 'FD_Position': '1B'}, 'Tom Koehler_pitcher': {'Salary': 6500.0, 'projected_FD_points': 10.710452430136, 'confidence': -0.22208625737277798, 'FD_Position': 'P'}, 'Yasmani Grandal_batter': {'Salary': 2900.0, 'projected_FD_points': 2.1457698234235041, 'confidence': -0.261322843141228, 'FD_Position': 'C'}, 'Troy Tulowitzki_batter': {'Salary': 4500.0, 'projected_FD_points': 3.3609871813923968, 'confidence': 0.13846277613527636, 'FD_Position': 'SS'}, 'Giancarlo Stanton_batter': {'Salary': 4600.0, 'projected_FD_points': 4.240527934386221, 'confidence': -0.058022798103634754, 'FD_Position': 'OF'}, 'Dustin Pedroia_batter': {'Salary': 2700.0, 'projected_FD_points': 2.6085758881773002, 'confidence': 0.027066222010470486, 'FD_Position': '2B'}, 'Andrew McCutchen_batter': {'Salary': 3900.0, 'projected_FD_points': 3.6908480383262599, 'confidence': -0.018202213729525241, 'FD_Position': 'OF'}}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</si>
  <si>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'Christian Yelich_batter': {'Salary': 2800.0, 'projected_FD_points': 2.9141665743216443, 'confidence': -0.062069820721706748, 'FD_Position': 'OF'}, 'Dustin Pedroia_batter': {'Salary': 2700.0, 'projected_FD_points': 2.9074322447043186, 'confidence': -0.021803955418206789, 'FD_Position': '2B'}, 'Troy Tulowitzki_batter': {'Salary': 4400.0, 'projected_FD_points': 3.9290126180238301, 'confidence': 0.1577976840892491, 'FD_Position': 'SS'}, 'Dallas Keuchel_pitcher': {'Salary': 9400.0, 'projected_FD_points': 11.828343886740019, 'confidence': -0.088690688664614159, 'FD_Position': 'P'}, 'Andrew McCutchen_batter': {'Salary': 3900.0, 'projected_FD_points': 3.5540671527878094, 'confidence': 0.0086985050396818364, 'FD_Position': 'OF'}, 'Michael Cuddyer_batter': {'Salary': 2400.0, 'projected_FD_points': 3.2509087426586669, 'confidence': -0.21239981592370105, 'FD_Position': 'OF'}, 'Jason Castro_batter': {'Salary': 2200.0, 'projected_FD_points': 2.4100001890824974, 'confidence': -0.044730350487359516, 'FD_Position': 'C'}}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</si>
  <si>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'Roenis Elias_pitcher': {'Salary': 7000.0, 'projected_FD_points': 10.868817954435359, 'confidence': -0.070376978201319051, 'FD_Position': 'P'}, 'Yasmani Grandal_batter': {'Salary': 2900.0, 'projected_FD_points': 2.1696600201843066, 'confidence': -0.34718058630692505, 'FD_Position': 'C'}, 'Troy Tulowitzki_batter': {'Salary': 4400.0, 'projected_FD_points': 3.9290126180238301, 'confidence': 0.1577976840892491, 'FD_Position': 'SS'}, 'Giancarlo Stanton_batter': {'Salary': 4500.0, 'projected_FD_points': 3.8064308723381646, 'confidence': 0.043764735174982916, 'FD_Position': 'OF'}, 'Dustin Pedroia_batter': {'Salary': 2700.0, 'projected_FD_points': 2.9074322447043186, 'confidence': -0.021803955418206789, 'FD_Position': '2B'}, 'Michael Cuddyer_batter': {'Salary': 2400.0, 'projected_FD_points': 3.2509087426586669, 'confidence': -0.21239981592370105, 'FD_Position': 'OF'}, 'Andrew McCutchen_batter': {'Salary': 3900.0, 'projected_FD_points': 3.5540671527878094, 'confidence': 0.0086985050396818364, 'FD_Position': 'OF'}}</t>
  </si>
  <si>
    <t>{'Yoenis Cespedes_batter': {'Salary': 2700.0, 'projected_FD_points': 2.8772133075812292, 'confidence': -0.21638652671685454, 'FD_Position': 'OF'}, 'Kris Bryant_batter': {'Salary': 4000.0, 'projected_FD_points': 3.0736196853005833, 'confidence': -0.5965451185770827, 'FD_Position': '3B'}, 'David Ortiz_batter': {'Salary': 3100.0, 'projected_FD_points': 3.3434954944503819, 'confidence': -0.00091256102718761944, 'FD_Position': '1B'}, 'Carlos Gonzalez_batter': {'Salary': 3300.0, 'projected_FD_points': 3.3448442778422645, 'confidence': -0.062525071912509445, 'FD_Position': 'OF'}, 'Derek Norris_batter': {'Salary': 3000.0, 'projected_FD_points': 1.9341740306743649, 'confidence': -0.014868996368745391, 'FD_Position': 'C'}, 'Troy Tulowitzki_batter': {'Salary': 4500.0, 'projected_FD_points': 4.151646443292794, 'confidence': -0.029787252817398802, 'FD_Position': 'SS'}, 'Michael Cuddyer_batter': {'Salary': 2400.0, 'projected_FD_points': 3.387594086789306, 'confidence': 0.050104343949050723, 'FD_Position': 'OF'}, 'Dustin Pedroia_batter': {'Salary': 2800.0, 'projected_FD_points': 2.79843114709593, 'confidence': 0.036470266867320467, 'FD_Position': '2B'}, 'Jacob deGrom_pitcher': {'Salary': 9100.0, 'projected_FD_points': 14.092453533727864, 'confidence': 0.095935739625501504, 'FD_Position': 'P'}}</t>
  </si>
  <si>
    <t>{'Yoenis Cespedes_batter': {'Salary': 2700.0, 'projected_FD_points': 2.8772133075812292, 'confidence': -0.21638652671685454, 'FD_Position': 'OF'}, 'Chris Davis_batter': {'Salary': 3200.0, 'projected_FD_points': 3.0810442564897453, 'confidence': -0.024022689203203829, 'FD_Position': '1B'}, 'Robinson Cano_batter': {'Salary': 3000.0, 'projected_FD_points': 2.6275417348670507, 'confidence': -0.2173325581036587, 'FD_Position': '2B'}, 'Carlos Gonzalez_batter': {'Salary': 3300.0, 'projected_FD_points': 3.3448442778422645, 'confidence': -0.062525071912509445, 'FD_Position': 'OF'}, 'Buster Posey_batter': {'Salary': 3700.0, 'projected_FD_points': 2.3515376485453765, 'confidence': -0.067526921777693261, 'FD_Position': 'C'}, 'Troy Tulowitzki_batter': {'Salary': 4500.0, 'projected_FD_points': 4.151646443292794, 'confidence': -0.029787252817398802, 'FD_Position': 'SS'}, 'Kyle Seager_batter': {'Salary': 3000.0, 'projected_FD_points': 2.2979419062788895, 'confidence': 0.015106974664059303, 'FD_Position': '3B'}, 'Michael Cuddyer_batter': {'Salary': 2400.0, 'projected_FD_points': 3.387594086789306, 'confidence': 0.050104343949050723, 'FD_Position': 'OF'}, 'Jacob deGrom_pitcher': {'Salary': 9100.0, 'projected_FD_points': 14.092453533727864, 'confidence': 0.095935739625501504, 'FD_Position': 'P'}}</t>
  </si>
  <si>
    <t>{'Ryan Howard_batter': {'Salary': 3300.0, 'projected_FD_points': 2.1384951906910077, 'confidence': -0.015667863248487679, 'FD_Position': '1B'}, 'Madison Bumgarner_pitcher': {'Salary': 10100.0, 'projected_FD_points': 13.730896342019445, 'confidence': -0.78981143718026225, 'FD_Position': 'P'}, 'A.J. Ellis_batter': {'Salary': 2600.0, 'projected_FD_points': 1.4717010983370369, 'confidence': -0.1943344000661722, 'FD_Position': 'C'}, 'Alexander Guerrero_batter': {'Salary': 2900.0, 'projected_FD_points': 2.2898358390650273, 'confidence': -0.566907058923944, 'FD_Position': 'OF'}, 'Hunter Pence_batter': {'Salary': 3400.0, 'projected_FD_points': 2.9061965570822008, 'confidence': -0.14525437158888344, 'FD_Position': 'OF'}, 'Casey McGehee_batter': {'Salary': 2200.0, 'projected_FD_points': 1.7584488263099831, 'confidence': -0.017993156220583062, 'FD_Position': '3B'}, 'Justin Turner_batter': {'Salary': 2700.0, 'projected_FD_points': 1.7483822797939539, 'confidence': -0.15296435143424603, 'FD_Position': '2B'}, 'Carlos Gonzalez_batter': {'Salary': 3300.0, 'projected_FD_points': 3.3448442778422645, 'confidence': -0.062525071912509445, 'FD_Position': 'OF'}, 'Troy Tulowitzki_batter': {'Salary': 4500.0, 'projected_FD_points': 4.151646443292794, 'confidence': -0.029787252817398802, 'FD_Position': 'SS'}}</t>
  </si>
  <si>
    <t>{'Kris Bryant_batter': {'Salary': 4000.0, 'projected_FD_points': 3.0736196853005833, 'confidence': -0.5965451185770827, 'FD_Position': '3B'}, 'Clay Buchholz_pitcher': {'Salary': 7900.0, 'projected_FD_points': 11.172400008502773, 'confidence': -0.46831685420803248, 'FD_Position': 'P'}, 'Stephen Vogt_batter': {'Salary': 3600.0, 'projected_FD_points': 2.2989596421580547, 'confidence': -0.014476552795372966, 'FD_Position': 'C'}, 'Xander Bogaerts_batter': {'Salary': 2200.0, 'projected_FD_points': 1.9774605589649523, 'confidence': -0.12459547343680644, 'FD_Position': 'SS'}, 'Jorge Soler_batter': {'Salary': 2800.0, 'projected_FD_points': 2.4451461194954294, 'confidence': -0.067704175721244653, 'FD_Position': 'OF'}, 'David Ortiz_batter': {'Salary': 3100.0, 'projected_FD_points': 3.3434954944503819, 'confidence': -0.00091256102718761944, 'FD_Position': '1B'}, 'Mike Trout_batter': {'Salary': 5000.0, 'projected_FD_points': 3.665008078088265, 'confidence': -0.056828441457695167, 'FD_Position': 'OF'}, 'Hanley Ramirez_batter': {'Salary': 3600.0, 'projected_FD_points': 2.8965143501112838, 'confidence': -0.0041332029872611642, 'FD_Position': 'OF'}, 'Dustin Pedroia_batter': {'Salary': 2800.0, 'projected_FD_points': 2.79843114709593, 'confidence': 0.036470266867320467, 'FD_Position': '2B'}}</t>
  </si>
  <si>
    <t>{'Giancarlo Stanton_batter': {'Salary': 4500.0, 'projected_FD_points': 4.4313606992893746, 'confidence': -0.066297329138969685, 'FD_Position': 'OF'}, 'Odubel Herrera_batter': {'Salary': 3000.0, 'projected_FD_points': 3.6997405809496926, 'confidence': 0.24992141143011926, 'FD_Position': 'OF'}, 'David Ortiz_batter': {'Salary': 3100.0, 'projected_FD_points': 3.0929826379831353, 'confidence': 0.0010354197954942634, 'FD_Position': '1B'}, 'Robinson Cano_batter': {'Salary': 2900.0, 'projected_FD_points': 2.8551414845257934, 'confidence': -0.015280777748462704, 'FD_Position': '2B'}, 'Troy Tulowitzki_batter': {'Salary': 4500.0, 'projected_FD_points': 3.2955253179179218, 'confidence': 0.048582199014397864, 'FD_Position': 'SS'}, 'Kyle Seager_batter': {'Salary': 2900.0, 'projected_FD_points': 2.5925949016629262, 'confidence': 0.00082063914397290105, 'FD_Position': '3B'}, 'Michael Cuddyer_batter': {'Salary': 2300.0, 'projected_FD_points': 2.3883439844445098, 'confidence': 0.10648013631231401, 'FD_Position': 'OF'}, 'Michael Pineda_pitcher': {'Salary': 9500.0, 'projected_FD_points': 16.696744160963927, 'confidence': -10.282516788908374, 'FD_Position': 'P'}, 'Jason Castro_batter': {'Salary': 2300.0, 'projected_FD_points': 2.1458521539441406, 'confidence': -0.022046665393041787, 'FD_Position': 'C'}}</t>
  </si>
  <si>
    <t>{'Brian Dozier_batter': {'Salary': 3800.0, 'projected_FD_points': 2.6447738887139298, 'confidence': -0.054032910176314619, 'FD_Position': '2B'}, 'Hunter Pence_batter': {'Salary': 3300.0, 'projected_FD_points': 2.7162826832113915, 'confidence': -0.0014125659453050332, 'FD_Position': 'OF'}, 'Matt Holliday_batter': {'Salary': 3500.0, 'projected_FD_points': 2.7549920859099477, 'confidence': -0.12597709242465149, 'FD_Position': 'OF'}, 'Geovany Soto_batter': {'Salary': 2200.0, 'projected_FD_points': 2.1122965920975973, 'confidence': -0.052756551299155241, 'FD_Position': 'C'}, 'Carlos Gonzalez_batter': {'Salary': 3300.0, 'projected_FD_points': 2.6496540301773943, 'confidence': -0.089988037517051422, 'FD_Position': 'OF'}, 'Alexei Ramirez_batter': {'Salary': 2300.0, 'projected_FD_points': 2.7153043824517176, 'confidence': -0.14185100824923436, 'FD_Position': 'SS'}, 'Jose Abreu_batter': {'Salary': 3500.0, 'projected_FD_points': 3.0456955833957902, 'confidence': -0.016955277696761861, 'FD_Position': '1B'}, 'Lance Lynn_pitcher': {'Salary': 8800.0, 'projected_FD_points': 11.152229545447961, 'confidence': -0.16282700313957732, 'FD_Position': 'P'}, 'Matt Carpenter_batter': {'Salary': 4000.0, 'projected_FD_points': 2.7282331827515041, 'confidence': 0.014670076681313593, 'FD_Position': '3B'}}</t>
  </si>
  <si>
    <t>{'Kris Bryant_batter': {'Salary': 4100.0, 'projected_FD_points': 3.353448275862069, 'confidence': -0.49225135398848852, 'FD_Position': '3B'}, 'Dexter Fowler_batter': {'Salary': 3600.0, 'projected_FD_points': 3.0388738746870452, 'confidence': -0.015019887271097154, 'FD_Position': 'OF'}, 'David Ortiz_batter': {'Salary': 3100.0, 'projected_FD_points': 2.9531831108978368, 'confidence': -0.064490454622530002, 'FD_Position': '1B'}, 'Miguel Montero_batter': {'Salary': 2900.0, 'projected_FD_points': 2.2292184157910921, 'confidence': -0.28051315638544616, 'FD_Position': 'C'}, 'Chris Heston_pitcher': {'Salary': 6600.0, 'projected_FD_points': 10.779665584490822, 'confidence': 0, 'FD_Position': 'P'}, 'Howie Kendrick_batter': {'Salary': 3100.0, 'projected_FD_points': 2.4467523528015964, 'confidence': -0.099716398300875086, 'FD_Position': '2B'}, 'Troy Tulowitzki_batter': {'Salary': 4500.0, 'projected_FD_points': 3.148227609669179, 'confidence': 0.12941978286333811, 'FD_Position': 'SS'}, 'Giancarlo Stanton_batter': {'Salary': 4500.0, 'projected_FD_points': 3.6246001124581939, 'confidence': 0.0073588915680582456, 'FD_Position': 'OF'}, 'Christian Yelich_batter': {'Salary': 2500.0, 'projected_FD_points': 2.7774480584571948, 'confidence': -0.15598074528664685, 'FD_Position': 'OF'}}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</si>
  <si>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'Dexter Fowler_batter': {'Salary': 3600.0, 'projected_FD_points': 3.0388738746870452, 'confidence': -0.015019887271097154, 'FD_Position': 'OF'}, 'Hunter Pence_batter': {'Salary': 3300.0, 'projected_FD_points': 2.6830743052285779, 'confidence': -0.024547631935213809, 'FD_Position': 'OF'}, 'Howie Kendrick_batter': {'Salary': 3100.0, 'projected_FD_points': 2.4467523528015964, 'confidence': -0.099716398300875086, 'FD_Position': '2B'},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'Chris Heston_pitcher': {'Salary': 6600.0, 'projected_FD_points': 10.779665584490822, 'confidence': 0, 'FD_Position': 'P'}, 'Troy Tulowitzki_batter': {'Salary': 4500.0, 'projected_FD_points': 3.148227609669179, 'confidence': 0.12941978286333811, 'FD_Position': 'SS'}}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</si>
  <si>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'Jedd Gyorko_batter': {'Salary': 2300.0, 'projected_FD_points': 1.8566751623719424, 'confidence': -0.032569359926925445, 'FD_Position': '2B'}, 'Jake Arrieta_pitcher': {'Salary': 9900.0, 'projected_FD_points': 12.368896306096996, 'confidence': -0.18609722591330224, 'FD_Position': 'P'},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'Dexter Fowler_batter': {'Salary': 3600.0, 'projected_FD_points': 3.0388738746870452, 'confidence': -0.015019887271097154, 'FD_Position': 'OF'}, 'Andre Ethier_batter': {'Salary': 2600.0, 'projected_FD_points': 1.8289823466712729, 'confidence': -0.0071472665094423071, 'FD_Position': 'OF'}, 'Jimmy Rollins_batter': {'Salary': 2600.0, 'projected_FD_points': 2.2045263541264024, 'confidence': -0.044761746426172921, 'FD_Position': 'SS'}}</t>
  </si>
  <si>
    <t>{'Kris Bryant_batter': {'Salary': 4000.0, 'projected_FD_points': 3.6612095047381632, 'confidence': -1.2970261150951066, 'FD_Position': '3B'}, 'David Ortiz_batter': {'Salary': 3000.0, 'projected_FD_points': 3.1733260943195232, 'confidence': -0.016271351928767608, 'FD_Position': '1B'}, 'Robinson Cano_batter': {'Salary': 2800.0, 'projected_FD_points': 2.4828591508968376, 'confidence': 0.025341039972002766, 'FD_Position': '2B'}, 'Yan Gomes_batter': {'Salary': 2800.0, 'projected_FD_points': 2.4270201361496029, 'confidence': 0.014859043920860682, 'FD_Position': 'C'}, 'Trevor Bauer_pitcher': {'Salary': 8400.0, 'projected_FD_points': 11.712535110799688, 'confidence': -0.95903555541575902, 'FD_Position': 'P'}, 'Troy Tulowitzki_batter': {'Salary': 4400.0, 'projected_FD_points': 3.1445504071461001, 'confidence': -0.0002835014713764572, 'FD_Position': 'SS'}, 'Chris Colabello_batter': {'Salary': 2500.0, 'projected_FD_points': 2.8515295856226643, 'confidence': -0.092354286779045891, 'FD_Position': 'OF'}, 'Rusney Castillo_batter': {'Salary': 2900.0, 'projected_FD_points': 4.309094876358742, 'confidence': -0.36553624344914026, 'FD_Position': 'OF'}, 'Andrew McCutchen_batter': {'Salary': 4100.0, 'projected_FD_points': 3.7007309450523596, 'confidence': 0.0036839136766571023, 'FD_Position': 'OF'}}</t>
  </si>
  <si>
    <t>{'Yan Gomes_batter': {'Salary': 2800.0, 'projected_FD_points': 2.4270201361496029, 'confidence': 0.014859043920860682, 'FD_Position': 'C'}, 'Robinson Cano_batter': {'Salary': 2800.0, 'projected_FD_points': 2.4828591508968376, 'confidence': 0.025341039972002766, 'FD_Position': '2B'}, 'Josh Donaldson_batter': {'Salary': 3800.0, 'projected_FD_points': 2.9529846918211109, 'confidence': -0.015862982611339671, 'FD_Position': '3B'}, 'Trevor Bauer_pitcher': {'Salary': 8400.0, 'projected_FD_points': 11.712535110799688, 'confidence': -0.95903555541575902, 'FD_Position': 'P'}, 'Rusney Castillo_batter': {'Salary': 2900.0, 'projected_FD_points': 4.309094876358742, 'confidence': -0.36553624344914026, 'FD_Position': 'OF'}, 'David Ortiz_batter': {'Salary': 3000.0, 'projected_FD_points': 3.1733260943195232, 'confidence': -0.016271351928767608, 'FD_Position': '1B'}, 'Giancarlo Stanton_batter': {'Salary': 4400.0, 'projected_FD_points': 3.3183596153309129, 'confidence': -0.024732441576092112, 'FD_Position': 'OF'}, 'Alexei Ramirez_batter': {'Salary': 2400.0, 'projected_FD_points': 2.6421467233945699, 'confidence': -0.11861915494207831, 'FD_Position': 'SS'}, 'Andrew McCutchen_batter': {'Salary': 4100.0, 'projected_FD_points': 3.7007309450523596, 'confidence': 0.0036839136766571023, 'FD_Position': 'OF'}}</t>
  </si>
  <si>
    <t>{'Kris Bryant_batter': {'Salary': 4000.0, 'projected_FD_points': 3.6612095047381632, 'confidence': -1.2970261150951066, 'FD_Position': '3B'}, 'Anthony Rizzo_batter': {'Salary': 4100.0, 'projected_FD_points': 3.3352240198113474, 'confidence': 0.029439965946994606, 'FD_Position': '1B'}, 'Brian McCann_batter': {'Salary': 2800.0, 'projected_FD_points': 2.2096835001635045, 'confidence': -0.0074782420792158799, 'FD_Position': 'C'}, 'Mitch Moreland_batter': {'Salary': 2700.0, 'projected_FD_points': 2.2726105960788487, 'confidence': -0.038668315615846938, 'FD_Position': 'OF'}, 'Howie Kendrick_batter': {'Salary': 3000.0, 'projected_FD_points': 2.2417036735115552, 'confidence': -0.070515116528883981, 'FD_Position': '2B'}, 'James Shields_pitcher': {'Salary': 9200.0, 'projected_FD_points': 11.433067324555873, 'confidence': -0.0011338487403527164, 'FD_Position': 'P'}, 'Jorge Soler_batter': {'Salary': 2700.0, 'projected_FD_points': 2.3810342584648878, 'confidence': -0.32877212447200321, 'FD_Position': 'OF'}, 'Dexter Fowler_batter': {'Salary': 3800.0, 'projected_FD_points': 2.9473944466176918, 'confidence': 0.058794127504042226, 'FD_Position': 'OF'}, 'Jimmy Rollins_batter': {'Salary': 2500.0, 'projected_FD_points': 2.1639702030252161, 'confidence': -0.0054750208304450432, 'FD_Position': 'SS'}}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</si>
  <si>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'Roenis Elias_pitcher': {'Salary': 7200.0, 'projected_FD_points': 11.099557165067361, 'confidence': 0.18675459543445971, 'FD_Position': 'P'}, 'Paul Goldschmidt_batter': {'Salary': 5200.0, 'projected_FD_points': 3.5749135095620419, 'confidence': -0.0013777265249810267, 'FD_Position': '1B'}, 'Jose Reyes_batter': {'Salary': 3000.0, 'projected_FD_points': 2.8940639890040751, 'confidence': -0.075290911187057885, 'FD_Position': 'SS'}, 'Chris Colabello_batter': {'Salary': 2700.0, 'projected_FD_points': 3.2144876930786914, 'confidence': -0.096272140164832098, 'FD_Position': 'OF'}, 'Michael Cuddyer_batter': {'Salary': 2300.0, 'projected_FD_points': 4.202606727321168, 'confidence': 0.006189231225871672, 'FD_Position': 'OF'}, 'Yadier Molina_batter': {'Salary': 2200.0, 'projected_FD_points': 2.3378253599613905, 'confidence': -0.019021834086054179, 'FD_Position': 'C'}, 'Andrew McCutchen_batter': {'Salary': 4300.0, 'projected_FD_points': 3.5435673067466067, 'confidence': 0.0083589220957045463, 'FD_Position': 'OF'}}</t>
  </si>
  <si>
    <t>{'Russell Martin_batter': {'Salary': 3300.0, 'projected_FD_points': 2.2987828560749723, 'confidence': -0.013718209903573086, 'FD_Position': 'C'}, 'Josh Donaldson_batter': {'Salary': 3800.0, 'projected_FD_points': 2.990155813732899, 'confidence': -0.0018151601646825277, 'FD_Position': '3B'}, 'Roenis Elias_pitcher': {'Salary': 7200.0, 'projected_FD_points': 11.099557165067361, 'confidence': 0.18675459543445971, 'FD_Position': 'P'}, 'Nick Franklin_batter': {'Salary': 2200.0, 'projected_FD_points': 2.0520622947099154, 'confidence': 0.033050447634442426, 'FD_Position': '2B'}, 'Jose Reyes_batter': {'Salary': 3000.0, 'projected_FD_points': 2.8940639890040751, 'confidence': -0.075290911187057885, 'FD_Position': 'SS'}, 'Mike Trout_batter': {'Salary': 5300.0, 'projected_FD_points': 3.544871832953262, 'confidence': -0.029500125651309661, 'FD_Position': 'OF'}, 'Chris Colabello_batter': {'Salary': 2700.0, 'projected_FD_points': 3.2144876930786914, 'confidence': -0.096272140164832098, 'FD_Position': 'OF'}, 'Jose Abreu_batter': {'Salary': 3200.0, 'projected_FD_points': 3.3817152085158293, 'confidence': -0.022222928759497496, 'FD_Position': '1B'}, 'Andrew McCutchen_batter': {'Salary': 4300.0, 'projected_FD_points': 3.5435673067466067, 'confidence': 0.0083589220957045463, 'FD_Position': 'OF'}}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</si>
  <si>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'Matt Holliday_batter': {'Salary': 3300.0, 'projected_FD_points': 3.3024385048481912, 'confidence': -0.089304530938832283, 'FD_Position': 'OF'}, 'Paul Goldschmidt_batter': {'Salary': 5200.0, 'projected_FD_points': 3.5749135095620419, 'confidence': -0.0013777265249810267, 'FD_Position': '1B'}, 'Jhonny Peralta_batter': {'Salary': 3100.0, 'projected_FD_points': 2.3929404653908311, 'confidence': -0.0030017199367196046, 'FD_Position': 'SS'}, 'Bartolo Colon_pitcher': {'Salary': 7600.0, 'projected_FD_points': 11.135070444333612, 'confidence': -0.62666282463853862, 'FD_Position': 'P'}, 'Michael Cuddyer_batter': {'Salary': 2300.0, 'projected_FD_points': 4.202606727321168, 'confidence': 0.006189231225871672, 'FD_Position': 'OF'}, 'Hanley Ramirez_batter': {'Salary': 3400.0, 'projected_FD_points': 2.973761352700381, 'confidence': -0.022733822935335102, 'FD_Position': 'OF'}, 'Yadier Molina_batter': {'Salary': 2200.0, 'projected_FD_points': 2.3378253599613905, 'confidence': -0.019021834086054179, 'FD_Position': 'C'}}</t>
  </si>
  <si>
    <t>{'Kris Bryant_batter': {'Salary': 4200.0, 'projected_FD_points': 3.8540671792548116, 'confidence': -0.17558403572979997, 'FD_Position': '3B'}, 'Kevin Plawecki_batter': {'Salary': 2200.0, 'projected_FD_points': 3.2423083030008408, 'confidence': 0.42419279445891134, 'FD_Position': 'C'}, 'Robinson Cano_batter': {'Salary': 2600.0, 'projected_FD_points': 2.70788172391996, 'confidence': -0.36553614766721365, 'FD_Position': '2B'}, 'Jose Reyes_batter': {'Salary': 3000.0, 'projected_FD_points': 3.0016819498070824, 'confidence': -0.037638416563667176, 'FD_Position': 'SS'}, 'Chris Colabello_batter': {'Salary': 2800.0, 'projected_FD_points': 3.1970379775798614, 'confidence': -0.068073100449876689, 'FD_Position': 'OF'}, 'Jose Abreu_batter': {'Salary': 3300.0, 'projected_FD_points': 3.3350302591412651, 'confidence': -0.019346272055957403, 'FD_Position': '1B'}, 'Jacob deGrom_pitcher': {'Salary': 9700.0, 'projected_FD_points': 18.225984875465485, 'confidence': -0.50817046855560721, 'FD_Position': 'P'}, 'Michael Cuddyer_batter': {'Salary': 2200.0, 'projected_FD_points': 4.5837111081491706, 'confidence': -0.0028621337196570451, 'FD_Position': 'OF'}, 'Andrew McCutchen_batter': {'Salary': 4600.0, 'projected_FD_points': 3.655115626310625, 'confidence': -0.090034241421513173, 'FD_Position': 'OF'}}</t>
  </si>
  <si>
    <t>{'Kris Bryant_batter': {'Salary': 4600.0, 'projected_FD_points': 3.8760776838670239, 'confidence': -0.20934295682955373, 'FD_Position': '3B'},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'Kevin Plawecki_batter': {'Salary': 2200.0, 'projected_FD_points': 3.2720272394802752, 'confidence': -3.3149178548245084, 'FD_Position': 'C'}, 'Zack Greinke_pitcher': {'Salary': 9900.0, 'projected_FD_points': 14.433340735147679, 'confidence': -0.053887603616191937, 'FD_Position': 'P'}, 'Daniel Santana_batter': {'Salary': 2600.0, 'projected_FD_points': 2.8119204757769762, 'confidence': -0.13856135655704249, 'FD_Position': 'SS'},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</si>
  <si>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{'Daniel Santana_batter': {'Salary': 2600.0, 'projected_FD_points': 2.8119204757769762, 'confidence': -0.13856135655704249, 'FD_Position': 'SS'}, 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'Edwin Encarnacion_batter': {'Salary': 4300.0, 'projected_FD_points': 3.2907879951240293, 'confidence': -0.051084669820238737, 'FD_Position': '1B'},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</si>
  <si>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{'Kris Bryant_batter': {'Salary': 4600.0, 'projected_FD_points': 3.8760776838670239, 'confidence': -0.20934295682955373, 'FD_Position': '3B'}, 'Howie Kendrick_batter': {'Salary': 2900.0, 'projected_FD_points': 2.6146423903195855, 'confidence': 0.015909689785514325, 'FD_Position': '2B'}, 'Matt Holliday_batter': {'Salary': 3200.0, 'projected_FD_points': 3.2130136501053039, 'confidence': -0.015181561096170304, 'FD_Position': 'OF'}, 'Zack Greinke_pitcher': {'Salary': 9900.0, 'projected_FD_points': 14.433340735147679, 'confidence': -0.053887603616191937, 'FD_Position': 'P'}, 'Nick Markakis_batter': {'Salary': 2500.0, 'projected_FD_points': 1.9825227963525835, 'confidence': -0.082060138823144113, 'FD_Position': 'OF'}, 'Adrian Gonzalez_batter': {'Salary': 3800.0, 'projected_FD_points': 3.0208549456994795, 'confidence': -0.019053134604971378, 'FD_Position': '1B'}, 'Kole Calhoun_batter': {'Salary': 2900.0, 'projected_FD_points': 2.9324718560255394, 'confidence': -0.028671232733100904, 'FD_Position': 'OF'}, 'Jimmy Rollins_batter': {'Salary': 2700.0, 'projected_FD_points': 2.5842935060271364, 'confidence': -0.15758705302591869, 'FD_Position': 'SS'}, 'Yadier Molina_batter': {'Salary': 2200.0, 'projected_FD_points': 2.3310892716711069, 'confidence': -0.025018382288182428, 'FD_Position': 'C'}}</t>
  </si>
  <si>
    <t>{'Kevin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'Carlos Gomez_batter': {'Salary': 4000.0, 'projected_FD_points': 3.0679924382659531, 'confidence': 0.072994862357282919, 'FD_Position': 'OF'}, 'Daniel Santana_batter': {'Salary': 2600.0, 'projected_FD_points': 2.8119204757769762, 'confidence': -0.13856135655704249, 'FD_Position': 'SS'},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'OF'}}</t>
  </si>
  <si>
    <t>{'Adrian Beltre_batter': {'Salary': 3000.0, 'projected_FD_points': 2.6316375466291309, 'confidence': -0.056787553564205284, 'FD_Position': '3B'}, 'Hunter Pence_batter': {'Salary': 3100.0, 'projected_FD_points': 2.691419286423812, 'confidence': -0.0090185982900803374, 'FD_Position': 'OF'}, 'Chris Sale_pitcher': {'Salary': 10000.0, 'projected_FD_points': 14.144862989528518, 'confidence': -0.095493455556994622, 'FD_Position': 'P'}, 'Adam Jones_batter': {'Salary': 2900.0, 'projected_FD_points': 2.6141284833788951, 'confidence': -0.045607647258161688, 'FD_Position': 'OF'}, 'Hanley Ramirez_batter': {'Salary': 3100.0, 'projected_FD_points': 2.883232118972523, 'confidence': -0.0081790584814798173, 'FD_Position': 'OF'}, 'Caleb Joseph_batter': {'Salary': 2700.0, 'projected_FD_points': 2.301714561632477, 'confidence': -0.11539445603545873, 'FD_Position': 'C'}, 'Miguel Cabrera_batter': {'Salary': 5000.0, 'projected_FD_points': 3.8304510806327059, 'confidence': -0.055396401572726406, 'FD_Position': '1B'}, 'Alexei Ramirez_batter': {'Salary': 2400.0, 'projected_FD_points': 2.5450424746148568, 'confidence': -0.014761553631348345, 'FD_Position': 'SS'}, 'Dustin Pedroia_batter': {'Salary': 2800.0, 'projected_FD_points': 2.2742786147186669, 'confidence': 0.02706039269927496, 'FD_Position': '2B'}}</t>
  </si>
  <si>
    <t>{'Corey Kluber_pitcher': {'Salary': 10500.0, 'projected_FD_points': 12.980706987651853, 'confidence': -0.14898353397800013, 'FD_Position': 'P'}, 'Hunter Pence_batter': {'Salary': 3100.0, 'projected_FD_points': 2.691419286423812, 'confidence': -0.0090185982900803374, 'FD_Position': 'OF'},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'Angel Pagan_batter': {'Salary': 2500.0, 'projected_FD_points': 2.2881327380153107, 'confidence': -0.010779734141199704, 'FD_Position': 'OF'}, 'Brett Lawrie_batter': {'Salary': 2200.0, 'projected_FD_points': 1.9363813860184411, 'confidence': -0.020989775822386925, 'FD_Position': '3B'}, 'Ian Kinsler_batter': {'Salary': 3300.0, 'projected_FD_points': 2.4663461538461537, 'confidence': -0.018764639643751524, 'FD_Position': '2B'}, 'Miguel Cabrera_batter': {'Salary': 5000.0, 'projected_FD_points': 3.8304510806327059, 'confidence': -0.055396401572726406, 'FD_Position': '1B'}}</t>
  </si>
  <si>
    <t>{'Adrian Beltre_batter': {'Salary': 3000.0, 'projected_FD_points': 2.6316375466291309, 'confidence': -0.056787553564205284, 'FD_Position': '3B'}, 'Corey Kluber_pitcher': {'Salary': 10500.0, 'projected_FD_points': 12.980706987651853, 'confidence': -0.14898353397800013, 'FD_Position': 'P'},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'Hanley Ramirez_batter': {'Salary': 3100.0, 'projected_FD_points': 2.883232118972523, 'confidence': -0.0081790584814798173, 'FD_Position': 'OF'}, 'Miguel Cabrera_batter': {'Salary': 5000.0, 'projected_FD_points': 3.8304510806327059, 'confidence': -0.055396401572726406, 'FD_Position': '1B'}, 'Michael Bourn_batter': {'Salary': 2200.0, 'projected_FD_points': 2.1401902943645763, 'confidence': 0.0038875424059240382, 'FD_Position': 'OF'}, 'Dustin Pedroia_batter': {'Salary': 2800.0, 'projected_FD_points': 2.2742786147186669, 'confidence': 0.02706039269927496, 'FD_Position': '2B'}}</t>
  </si>
  <si>
    <t>{'Anthony Rizzo_batter': {'Salary': 4200.0, 'projected_FD_points': 3.6896815695802769, 'confidence': -0.070533699699175667, 'FD_Position': '1B'}, 'Trevor Plouffe_batter': {'Salary': 2900.0, 'projected_FD_points': 2.7246985961439476, 'confidence': 0.024922642248470628, 'FD_Position': '3B'}, 'Carlos Gomez_batter': {'Salary': 3800.0, 'projected_FD_points': 3.4239389392346671, 'confidence': -0.1794100305226467, 'FD_Position': 'OF'}, 'Alexander Guerrero_batter': {'Salary': 3000.0, 'projected_FD_points': 3.5672701329305632, 'confidence': 0.33015886312303444,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'OF'}, 'Chase Utley_batter': {'Salary': 2800.0, 'projected_FD_points': 2.7557805535202791, 'confidence': 0.03960477499325088, 'FD_Position': '2B'}}</t>
  </si>
  <si>
    <t>{'Chris Davis_batter': {'Salary': 3300.0, 'projected_FD_points': 3.0724964534374752, 'confidence': -0.0007090175148836142, 'FD_Position': '1B'}, 'Alexander Guerrero_batter': {'Salary': 3000.0, 'projected_FD_points': 3.5672701329305632, 'confidence': 0.33015886312303444, 'FD_Position': 'OF'}, 'Trevor Plouffe_batter': {'Salary': 2900.0, 'projected_FD_points': 2.7246985961439476, 'confidence': 0.024922642248470628, 'FD_Position': '3B'}, 'Jose Altuve_batter': {'Salary': 3800.0, 'projected_FD_points': 3.0882098483839648, 'confidence': -0.026957723343285167, 'FD_Position': '2B'}, 'Carlos Gomez_batter': {'Salary': 3800.0, 'projected_FD_points': 3.4239389392346671, 'confidence': -0.1794100305226467,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'OF'}}</t>
  </si>
  <si>
    <t>{'Russell Martin_batter': {'Salary': 3100.0, 'projected_FD_points': 2.3802676888228147, 'confidence': -0.020802456168223404, 'FD_Position': 'C'}, 'Shane Greene_pitcher': {'Salary': 7200.0, 'projected_FD_points': 11.81194488764644, 'confidence': -0.31007629961999039, 'FD_Position': 'P'}, 'Trevor Plouffe_batter': {'Salary': 2900.0, 'projected_FD_points': 2.8561286475527043, 'confidence': 0.03314621163165532, 'FD_Position': '3B'}, 'Jose Altuve_batter': {'Salary': 3800.0, 'projected_FD_points': 3.3982500390726726, 'confidence': -0.032651304129500458, 'FD_Position': '2B'}, 'Eddie Rosario_batter': {'Salary': 2600.0, 'projected_FD_points': 4.5502208731043332, 'confidence': 0.50233913156351573, 'FD_Position': 'OF'}, 'Joc Pederson_batter': {'Salary': 3500.0, 'projected_FD_points': 3.7171801718824553, 'confidence': -0.45253081753773494, 'FD_Position': 'OF'}, 'Troy Tulowitzki_batter': {'Salary': 3900.0, 'projected_FD_points': 3.2124612593201491, 'confidence': 0.012807764608502858, 'FD_Position': 'SS'}, 'Michael Cuddyer_batter': {'Salary': 2700.0, 'projected_FD_points': 3.6911022181919435, 'confidence': -0.037648298671660863, 'FD_Position': 'OF'}, 'Miguel Cabrera_batter': {'Salary': 4900.0, 'projected_FD_points': 3.6005846993952089, 'confidence': -0.0046309695183044397, 'FD_Position': '1B'}}</t>
  </si>
  <si>
    <t>{'Shane Greene_pitcher': {'Salary': 7200.0, 'projected_FD_points': 11.81194488764644, 'confidence': -0.31007629961999039, 'FD_Position': 'P'}, 'Brandon Moss_batter': {'Salary': 3500.0, 'projected_FD_points': 3.2290094777301843, 'confidence': -0.046226049654294554, 'FD_Position': 'OF'}, 'Robinson Cano_batter': {'Salary': 2600.0, 'projected_FD_points': 2.7608458722136846, 'confidence': -0.026985666084020865, 'FD_Position': '2B'}, 'Matt Holliday_batter': {'Salary': 3200.0, 'projected_FD_points': 3.0563411858152061, 'confidence': -0.0091265277675049994, 'FD_Position': 'OF'}, 'Miguel Cabrera_batter': {'Salary': 4900.0, 'projected_FD_points': 3.6005846993952089, 'confidence': -0.0046309695183044397, 'FD_Position': '1B'}, 'Joc Pederson_batter': {'Salary': 3500.0, 'projected_FD_points': 3.7171801718824553, 'confidence': -0.45253081753773494, 'FD_Position': 'OF'}, 'Jhonny Peralta_batter': {'Salary': 3300.0, 'projected_FD_points': 2.3761951104467682, 'confidence': -0.079404422464861124, 'FD_Position': 'SS'}, 'Yadier Molina_batter': {'Salary': 2200.0, 'projected_FD_points': 2.3086314817540416, 'confidence': -0.090273433166085715, 'FD_Position': 'C'}, 'Matt Carpenter_batter': {'Salary': 3900.0, 'projected_FD_points': 2.8718608492635926, 'confidence': 0.0083672976147519673, 'FD_Position': '3B'}}</t>
  </si>
  <si>
    <t>{'Chris Davis_batter': {'Salary': 3400.0, 'projected_FD_points': 3.1534669691029902, 'confidence': 0.0037509462748790412, 'FD_Position': '1B'}, 'Eddie Rosario_batter': {'Salary': 2600.0, 'projected_FD_points': 4.5502208731043332, 'confidence': 0.50233913156351573, 'FD_Position': 'OF'}, 'Jose Altuve_batter': {'Salary': 3800.0, 'projected_FD_points': 3.3982500390726726, 'confidence': -0.032651304129500458, 'FD_Position': '2B'}, 'Trevor Plouffe_batter': {'Salary': 2900.0, 'projected_FD_points': 2.8561286475527043, 'confidence': 0.03314621163165532, 'FD_Position': '3B'}, 'Carlos Gomez_batter': {'Salary': 3800.0, 'projected_FD_points': 3.2103409786545831, 'confidence': 0.046344688185003369, 'FD_Position': 'OF'}, 'Troy Tulowitzki_batter': {'Salary': 3900.0, 'projected_FD_points': 3.2124612593201491, 'confidence': 0.012807764608502858, 'FD_Position': 'SS'}, 'Dallas Keuchel_pitcher': {'Salary': 9400.0, 'projected_FD_points': 11.738538738571656, 'confidence': 0.11872734832759924, 'FD_Position': 'P'}, 'Michael Cuddyer_batter': {'Salary': 2700.0, 'projected_FD_points': 3.6911022181919435, 'confidence': -0.037648298671660863, 'FD_Position': 'OF'}, 'Jason Castro_batter': {'Salary': 2400.0, 'projected_FD_points': 2.0879446640316206, 'confidence': -0.00046943305154911741, 'FD_Position': 'C'}}</t>
  </si>
  <si>
    <t>{'Jose Altuve_batter': {'Salary': 3800.0, 'projected_FD_points': 3.3982500390726726, 'confidence': -0.032651304129500458, 'FD_Position': '2B'}, 'Matt Holliday_batter': {'Salary': 3200.0, 'projected_FD_points': 3.0563411858152061, 'confidence': -0.0091265277675049994, 'FD_Position': 'OF'}, 'Yadier Molina_batter': {'Salary': 2200.0, 'projected_FD_points': 2.3086314817540416, 'confidence': -0.090273433166085715, 'FD_Position': 'C'}, 'Joc Pederson_batter': {'Salary': 3500.0, 'projected_FD_points': 3.7171801718824553, 'confidence': -0.45253081753773494, 'FD_Position': 'OF'}, 'David Ortiz_batter': {'Salary': 2600.0, 'projected_FD_points': 3.045739093161866, 'confidence': -0.0059422170845637723, 'FD_Position': '1B'}, 'Dallas Keuchel_pitcher': {'Salary': 9400.0, 'projected_FD_points': 11.738538738571656, 'confidence': 0.11872734832759924, 'FD_Position': 'P'}, 'Jhonny Peralta_batter': {'Salary': 3300.0, 'projected_FD_points': 2.3761951104467682, 'confidence': -0.079404422464861124, 'FD_Position': 'SS'}, 'Michael Cuddyer_batter': {'Salary': 2700.0, 'projected_FD_points': 3.6911022181919435, 'confidence': -0.037648298671660863, 'FD_Position': 'OF'}, 'Matt Carpenter_batter': {'Salary': 3900.0, 'projected_FD_points': 2.8718608492635926, 'confidence': 0.0083672976147519673, 'FD_Position': '3B'}}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</si>
  <si>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'Alexander Guerrero_batter': {'Salary': 2900.0, 'projected_FD_points': 3.3295973218243393, 'confidence': -0.25549276861988757, 'FD_Position': 'OF'}, 'Robinson Cano_batter': {'Salary': 2600.0, 'projected_FD_points': 2.6678123066251134, 'confidence': -0.011625353676162797, 'FD_Position': '2B'},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'Mike Trout_batter': {'Salary': 5000.0, 'projected_FD_points': 3.7478427450131688, 'confidence': -0.021014078823850202, 'FD_Position': 'OF'}, 'Miguel Cabrera_batter': {'Salary': 4900.0, 'projected_FD_points': 3.4835005520502826, 'confidence': -0.015882576809350235, 'FD_Position': '1B'}}</t>
  </si>
  <si>
    <t>{'Albert Pujols_batter': {'Salary': 3200.0, 'projected_FD_points': 2.8666629429387465, 'confidence': -0.079618145676414454, 'FD_Position': '1B'}, 'Yangervis Solarte_batter': {'Salary': 2300.0, 'projected_FD_points': 1.9943693246846217, 'confidence': -0.35876744000747496, 'FD_Position': '3B'}, 'Hunter Pence_batter': {'Salary': 3000.0, 'projected_FD_points': 2.6507812500000001, 'confidence': -0.031919795376931459, 'FD_Position': 'OF'}, 'Robinson Cano_batter': {'Salary': 2600.0, 'projected_FD_points': 2.6678123066251134, 'confidence': -0.011625353676162797, 'FD_Position': '2B'}, 'Yan Gomes_batter': {'Salary': 2600.0, 'projected_FD_points': 2.0135446070893863, 'confidence': -0.070743653673688955, 'FD_Position': 'C'}, 'Angel Pagan_batter': {'Salary': 2500.0, 'projected_FD_points': 2.8973214659762294, 'confidence': -0.11275409909518586, 'FD_Position': 'OF'}, 'David Price_pitcher': {'Salary': 10800.0, 'projected_FD_points': 12.91243702295947, 'confidence': -0.25524943300421521, 'FD_Position': 'P'}, 'Mike Trout_batter': {'Salary': 5000.0, 'projected_FD_points': 3.7478427450131688, 'confidence': -0.021014078823850202, 'FD_Position': 'OF'}, 'Brandon Crawford_batter': {'Salary': 2900.0, 'projected_FD_points': 2.3886804976627412, 'confidence': 0.049593866076835913, 'FD_Position': 'SS'}}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</si>
  <si>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'Alexander Guerrero_batter': {'Salary': 2900.0, 'projected_FD_points': 3.3295973218243393, 'confidence': -0.25549276861988757, 'FD_Position': 'OF'}, 'Paul Goldschmidt_batter': {'Salary': 5200.0, 'projected_FD_points': 3.7416707108925942, 'confidence': -0.042982873878218975, 'FD_Position': '1B'},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'Chase Utley_batter': {'Salary': 2700.0, 'projected_FD_points': 2.4795119167783106, 'confidence': -0.043664203297513193, 'FD_Position': '2B'}}</t>
  </si>
  <si>
    <t>{'Kris Bryant_batter': {'Salary': 4600.0, 'projected_FD_points': 3.7645473986550475, 'confidence': -1.0184257369763512, 'FD_Position': '3B'}, 'Daniel Santana_batter': {'Salary': 2400.0, 'projected_FD_points': 2.484288090748747, 'confidence': -0.017727995648144201, 'FD_Position': 'SS'},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'Jose Altuve_batter': {'Salary': 3800.0, 'projected_FD_points': 2.8150524449911352, 'confidence': -0.020040206284903439, 'FD_Position': '2B'}, 'Alexander Guerrero_batter': {'Salary': 2900.0, 'projected_FD_points': 3.3295973218243393, 'confidence': -0.25549276861988757, 'FD_Position': 'OF'}, 'Joc Pederson_batter': {'Salary': 3400.0, 'projected_FD_points': 3.2294525090073316, 'confidence': -3.1555752923444391, 'FD_Position': 'OF'}, 'Edwin Encarnacion_batter': {'Salary': 4000.0, 'projected_FD_points': 3.2866402931010188, 'confidence': -0.025117066177473557, 'FD_Position': '1B'}, 'Chase Anderson_pitcher': {'Salary': 6800.0, 'projected_FD_points': 11.770675834290516, 'confidence': -0.17233270414186941, 'FD_Position': 'P'}}</t>
  </si>
  <si>
    <t>{'Carlos Perez_batter': {'Salary': 2800.0, 'projected_FD_points': 2.9627620746143926, 'confidence': -2.1572785204999159, 'FD_Position': 'C'}, 'Steve Souza_batter': {'Salary': 3300.0, 'projected_FD_points': 3.7219287081484707, 'confidence': -0.2283893788883915, 'FD_Position': 'OF'}, 'Robinson Cano_batter': {'Salary': 2600.0, 'projected_FD_points': 2.7818352332213974, 'confidence': 0.014231742417989968, 'FD_Position': '2B'}, 'Freddie Freeman_batter': {'Salary': 3200.0, 'projected_FD_points': 2.743116231356288, 'confidence': -0.056090245357213853, 'FD_Position': '1B'}, 'Matt Holliday_batter': {'Salary': 3200.0, 'projected_FD_points': 3.2125134104896231, 'confidence': 0.017721667679880815, 'FD_Position': 'OF'}, 'Felix Hernandez_pitcher': {'Salary': 12000.0, 'projected_FD_points': 13.846254752596199, 'confidence': -1.571872366012947, 'FD_Position': 'P'}, 'Aramis Ramirez_batter': {'Salary': 2800.0, 'projected_FD_points': 2.4778121110217874, 'confidence': -0.012190250175568407, 'FD_Position': '3B'}, 'Michael Cuddyer_batter': {'Salary': 2700.0, 'projected_FD_points': 2.9877945578922893, 'confidence': -0.13618824650816763, 'FD_Position': 'OF'}, 'Asdrubal Cabrera_batter': {'Salary': 2200.0, 'projected_FD_points': 2.1813769027042302, 'confidence': -0.22335538706706348, 'FD_Position': 'SS'}}</t>
  </si>
  <si>
    <t>{'Kris Bryant_batter': {'Salary': 4500.0, 'projected_FD_points': 3.3958333333333335, 'confidence': -0.22088733722769871, 'FD_Position': '3B'}, 'Ian Desmond_batter': {'Salary': 3200.0, 'projected_FD_points': 3.0351241089255394, 'confidence': 0.01603193334671571, 'FD_Position': 'SS'}, 'David Ortiz_batter': {'Salary': 2600.0, 'projected_FD_points': 3.3830196530008552, 'confidence': -0.0080274286291952546, 'FD_Position': '1B'}, 'Matt Holliday_batter': {'Salary': 3100.0, 'projected_FD_points': 3.4032207433515502, 'confidence': -0.072120921737945931, 'FD_Position': 'OF'}, 'Mike Trout_batter': {'Salary': 5000.0, 'projected_FD_points': 3.642906952108059, 'confidence': -0.0047304778631003241, 'FD_Position': 'OF'}, 'Michael Cuddyer_batter': {'Salary': 2600.0, 'projected_FD_points': 3.4407180577617762, 'confidence': 0.030167117040123648, 'FD_Position': 'OF'}, 'Jordan Zimmermann_pitcher': {'Salary': 8900.0, 'projected_FD_points': 13.884148444409252, 'confidence': -0.13710577449998596, 'FD_Position': 'P'}, 'Chase Utley_batter': {'Salary': 2600.0, 'projected_FD_points': 2.8116522620632383, 'confidence': -0.034300562836053095, 'FD_Position': '2B'}, 'Yadier Molina_batter': {'Salary': 2200.0, 'projected_FD_points': 2.4869849389355592, 'confidence': -0.042862689563702761, 'FD_Position': 'C'}}</t>
  </si>
  <si>
    <t>{'Ben Paulsen_batter': {'Salary': 3200.0, 'projected_FD_points': 3.0375109343501232, 'confidence': -1.5330684266670991, 'FD_Position': '1B'}, 'Shin-Soo Choo_batter': {'Salary': 3200.0, 'projected_FD_points': 2.6725206443360268, 'confidence': 0.065758025122721109, 'FD_Position': 'OF'}, 'Howie Kendrick_batter': {'Salary': 3400.0, 'projected_FD_points': 2.5945736888732127, 'confidence': -0.061755495328495336, 'FD_Position': '2B'}, 'Matt Holliday_batter': {'Salary': 3100.0, 'projected_FD_points': 3.4032207433515502, 'confidence': -0.072120921737945931, 'FD_Position': 'OF'}, 'Zack Greinke_pitcher': {'Salary': 9900.0, 'projected_FD_points': 13.775209834056399, 'confidence': -0.62630386461091403, 'FD_Position': 'P'}, 'Adam Jones_batter': {'Salary': 2800.0, 'projected_FD_points': 2.6504199543474938, 'confidence': -0.0051799904307618938, 'FD_Position': 'OF'}, 'Jimmy Rollins_batter': {'Salary': 3100.0, 'projected_FD_points': 2.4408865405224511, 'confidence': -0.073939890563321287, 'FD_Position': 'SS'}, 'Yadier Molina_batter': {'Salary': 2200.0, 'projected_FD_points': 2.4869849389355592, 'confidence': -0.042862689563702761, 'FD_Position': 'C'}, 'Matt Carpenter_batter': {'Salary': 3800.0, 'projected_FD_points': 3.0657982172280525, 'confidence': -0.016349143720712611, 'FD_Position': '3B'}}</t>
  </si>
  <si>
    <t>{'David Ortiz_batter': {'Salary': 2600.0, 'projected_FD_points': 3.2030063381885552, 'confidence': -0.045318863656970798, 'FD_Position': '1B'}, 'Matt Holliday_batter': {'Salary': 3100.0, 'projected_FD_points': 3.1932819220013466, 'confidence': -0.023063067821226024, 'FD_Position': 'OF'},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'Mike Trout_batter': {'Salary': 5100.0, 'projected_FD_points': 3.6038319474141138, 'confidence': -0.044950218737628722,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'Yadier Molina_batter': {'Salary': 2200.0, 'projected_FD_points': 2.3190484245385488, 'confidence': -0.056980696243888795, 'FD_Position': 'C'}, 'Alexei Ramirez_batter': {'Salary': 2300.0, 'projected_FD_points': 2.3491485399243857, 'confidence': 0.032799059553586085, 'FD_Position': 'SS'}}</t>
  </si>
  <si>
    <t>{'Masahiro Tanaka_pitcher': {'Salary': 8900.0, 'projected_FD_points': 12.713330837628655, 'confidence': -0.12191348727861251, 'FD_Position': 'P'}, 'Matt Holliday_batter': {'Salary': 3100.0, 'projected_FD_points': 3.1932819220013466, 'confidence': -0.023063067821226024, 'FD_Position': 'OF'}, 'Daniel Santana_batter': {'Salary': 2200.0, 'projected_FD_points': 2.1350069584018243, 'confidence': 0.0036524933282936489, 'FD_Position': 'SS'}, 'David Ortiz_batter': {'Salary': 2600.0, 'projected_FD_points': 3.2030063381885552, 'confidence': -0.045318863656970798, 'FD_Position': '1B'}, 'Nelson Cruz_batter': {'Salary': 4200.0, 'projected_FD_points': 3.0907879620054626, 'confidence': -0.020254380765567959, 'FD_Position': 'OF'}, 'Dustin Pedroia_batter': {'Salary': 3100.0, 'projected_FD_points': 2.7816053500659024, 'confidence': 0.019458540136340741, 'FD_Position': '2B'}, 'Yadier Molina_batter': {'Salary': 2200.0, 'projected_FD_points': 2.3190484245385488, 'confidence': -0.056980696243888795, 'FD_Position': 'C'}, 'Matt Carpenter_batter': {'Salary': 3700.0, 'projected_FD_points': 2.9276825468953138, 'confidence': -0.033780281494109943, 'FD_Position': '3B'}, 'Andrew McCutchen_batter': {'Salary': 4700.0, 'projected_FD_points': 3.0820377565377561, 'confidence': -0.057510851928107565, 'FD_Position': 'OF'}}</t>
  </si>
  <si>
    <t>{'Yasmany Tomas_batter': {'Salary': 2900.0, 'projected_FD_points': 2.5960601372866101, 'confidence': -2.6092681400775257, 'FD_Position': '3B'}, 'Jarrod Saltalamacchia_batter': {'Salary': 2200.0, 'projected_FD_points': 2.0799370379950828, 'confidence': 0.03351030000721511, 'FD_Position': 'C'}, 'Masahiro Tanaka_pitcher': {'Salary': 8900.0, 'projected_FD_points': 12.713330837628655, 'confidence': -0.12191348727861251, 'FD_Position': 'P'}, 'Robinson Cano_batter': {'Salary': 2600.0, 'projected_FD_points': 2.5531634055554044, 'confidence': 0.018574590791984535, 'FD_Position': '2B'}, 'Freddie Freeman_batter': {'Salary': 3500.0, 'projected_FD_points': 2.8258695705047705, 'confidence': -0.17053772224882047, 'FD_Position': '1B'}, 'Brad Miller_batter': {'Salary': 2500.0, 'projected_FD_points': 1.7161283553624043, 'confidence': -0.19095002476764655, 'FD_Position': 'SS'}, 'David Peralta_batter': {'Salary': 3300.0, 'projected_FD_points': 2.676756380085338, 'confidence': -0.051746827582441757, 'FD_Position': 'OF'}, 'Nelson Cruz_batter': {'Salary': 4200.0, 'projected_FD_points': 3.0907879620054626, 'confidence': -0.020254380765567959, 'FD_Position': 'OF'}, 'Andrew McCutchen_batter': {'Salary': 4700.0, 'projected_FD_points': 3.0820377565377561, 'confidence': -0.057510851928107565, 'FD_Position': 'OF'}}</t>
  </si>
  <si>
    <t>{'Mike Trout_batter': {'Salary': 5100.0, 'projected_FD_points': 3.6038319474141138, 'confidence': -0.044950218737628722, 'FD_Position': 'OF'}, 'David Ortiz_batter': {'Salary': 2600.0, 'projected_FD_points': 3.2030063381885552, 'confidence': -0.045318863656970798, 'FD_Position': '1B'}, 'Yan Gomes_batter': {'Salary': 2500.0, 'projected_FD_points': 2.3081354483234877, 'confidence': -0.019698371719658381, 'FD_Position': 'C'},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'Adam Jones_batter': {'Salary': 2800.0, 'projected_FD_points': 2.6480564169878682, 'confidence': -0.0090858884877047519,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'Alexei Ramirez_batter': {'Salary': 2300.0, 'projected_FD_points': 2.3491485399243857, 'confidence': 0.032799059553586085, 'FD_Position': 'SS'}}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</si>
  <si>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'Matt Harvey_pitcher': {'Salary': 10700.0, 'projected_FD_points': 13.435292230408926, 'confidence': -0.13470402201091147, 'FD_Position': 'P'}, 'David Ortiz_batter': {'Salary': 2500.0, 'projected_FD_points': 3.2786940299520619, 'confidence': -0.11613850187224917, 'FD_Position': '1B'},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'Caleb Joseph_batter': {'Salary': 2200.0, 'projected_FD_points': 2.3557930836546301, 'confidence': -0.29474195875117859, 'FD_Position': 'C'}}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</si>
  <si>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'Wilmer Flores_batter': {'Salary': 2400.0, 'projected_FD_points': 2.0070385213561019, 'confidence': 0.057168556879849119, 'FD_Position': 'SS'}, 'Robinson Cano_batter': {'Salary': 2600.0, 'projected_FD_points': 2.6298362415822059, 'confidence': -0.079781533605694843, 'FD_Position': '2B'}, 'Matt Harvey_pitcher': {'Salary': 10700.0, 'projected_FD_points': 13.435292230408926, 'confidence': -0.13470402201091147, 'FD_Position': 'P'}, 'Salvador Perez_batter': {'Salary': 2200.0, 'projected_FD_points': 1.9734292389518313, 'confidence': -0.023035463846752258, 'FD_Position': 'C'},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'Jose Abreu_batter': {'Salary': 3500.0, 'projected_FD_points': 3.3635733882722967, 'confidence': -0.1439253892861001, 'FD_Position': '1B'}}</t>
  </si>
  <si>
    <t>{'George Springer_batter': {'Salary': 3600.0, 'projected_FD_points': 2.9300075253417432, 'confidence': -0.12420247802854134,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'Pablo Sandoval_batter': {'Salary': 2200.0, 'projected_FD_points': 2.231920025713336, 'confidence': 0.018829667244260828, 'FD_Position': '3B'}, 'Adam Jones_batter': {'Salary': 2700.0, 'projected_FD_points': 2.6496688855319133, 'confidence': -0.0027716709833005559, 'FD_Position': 'OF'}, 'Dallas Keuchel_pitcher': {'Salary': 9800.0, 'projected_FD_points': 12.332427021727069, 'confidence': 0.08932848733474763, 'FD_Position': 'P'}, 'Hanley Ramirez_batter': {'Salary': 3600.0, 'projected_FD_points': 2.6741070837576224, 'confidence': -0.25042861987754161, 'FD_Position': 'OF'}, 'Caleb Joseph_batter': {'Salary': 2200.0, 'projected_FD_points': 2.3557930836546301, 'confidence': -0.29474195875117859, 'FD_Position': 'C'}, 'Miguel Cabrera_batter': {'Salary': 4700.0, 'projected_FD_points': 3.3960653589754175, 'confidence': -0.019717907571808357, 'FD_Position': '1B'}}</t>
  </si>
  <si>
    <t>{'Kyle Gibson_pitcher': {'Salary': 6500.0, 'projected_FD_points': 11.361414631610849, 'confidence': -0.50410401027187235, 'FD_Position': 'P'}, 'Kris Bryant_batter': {'Salary': 4200.0, 'projected_FD_points': 3.844253229296426, 'confidence': -0.97957272341395796, 'FD_Position': '3B'}, 'Eddie Rosario_batter': {'Salary': 2600.0, 'projected_FD_points': 4.3189100379993324, 'confidence': -0.76651390773538908, 'FD_Position': 'OF'}, 'Robinson Cano_batter': {'Salary': 2500.0, 'projected_FD_points': 2.4605722639998135, 'confidence': -0.0075731679113617556, 'FD_Position': '2B'}, 'Yan Gomes_batter': {'Salary': 2300.0, 'projected_FD_points': 2.2669049264309455, 'confidence': -0.045126348455937215, 'FD_Position': 'C'}, 'Edwin Encarnacion_batter': {'Salary': 3800.0, 'projected_FD_points': 3.2569175330951996, 'confidence': -0.0024988243107846309, 'FD_Position': '1B'}, 'Preston Tucker_batter': {'Salary': 2900.0, 'projected_FD_points': 3.144586607810762, 'confidence': -3.717403396102819, 'FD_Position': 'OF'}, 'Mike Trout_batter': {'Salary': 5100.0, 'projected_FD_points': 3.6595391380795208, 'confidence': -0.001627568865155915, 'FD_Position': 'OF'}, 'Troy Tulowitzki_batter': {'Salary': 4800.0, 'projected_FD_points': 3.4394216532177979, 'confidence': -0.060516905522497666, 'FD_Position': 'SS'}}</t>
  </si>
  <si>
    <t>{'Yasmany Tomas_batter': {'Salary': 3000.0, 'projected_FD_points': 3.0446294990637144, 'confidence': -0.17499507067789555, 'FD_Position': '3B'}, 'Aaron Hill_batter': {'Salary': 2200.0, 'projected_FD_points': 2.3838915378994745, 'confidence': -0.1596029468957143, 'FD_Position': '2B'}, 'Matt Holliday_batter': {'Salary': 3000.0, 'projected_FD_points': 2.3385129366176143, 'confidence': 0.029107588124080097, 'FD_Position': 'OF'}, 'Paul Goldschmidt_batter': {'Salary': 5500.0, 'projected_FD_points': 3.6929122123435043, 'confidence': -0.0041750397989244181, 'FD_Position': '1B'}, 'Jake Odorizzi_pitcher': {'Salary': 8600.0, 'projected_FD_points': 10.145989205788357, 'confidence': -1.9538331968954172, 'FD_Position': 'P'}, 'Yasmani Grandal_batter': {'Salary': 3100.0, 'projected_FD_points': 2.1173901653721074, 'confidence': -0.23341934064769077, 'FD_Position': 'C'}, 'Nelson Cruz_batter': {'Salary': 4000.0, 'projected_FD_points': 3.0340689719144747, 'confidence': -0.019919110180220301, 'FD_Position': 'OF'}, 'Jimmy Rollins_batter': {'Salary': 2800.0, 'projected_FD_points': 2.1403720035862341, 'confidence': -0.026645352029631253, 'FD_Position': 'SS'}, 'Michael Cuddyer_batter': {'Salary': 2700.0, 'projected_FD_points': 2.6927334191942291, 'confidence': -0.04724417573628803, 'FD_Position': 'OF'}}</t>
  </si>
  <si>
    <t>{'Kyle Gibson_pitcher': {'Salary': 6500.0, 'projected_FD_points': 11.361414631610849, 'confidence': -0.50410401027187235, 'FD_Position': 'P'}, 'Jonathan Lucroy_batter': {'Salary': 2800.0, 'projected_FD_points': 2.311400144143517, 'confidence': 0.00015315922177328023, 'FD_Position': 'C'}, 'Trevor Plouffe_batter': {'Salary': 2800.0, 'projected_FD_points': 3.1681578508738411, 'confidence': -0.023450983794876423, 'FD_Position': '3B'}, 'Eddie Rosario_batter': {'Salary': 2600.0, 'projected_FD_points': 4.3189100379993324, 'confidence': -0.76651390773538908, 'FD_Position': 'OF'}, 'Ian Kinsler_batter': {'Salary': 3100.0, 'projected_FD_points': 2.5086477987421385, 'confidence': -0.0039265702309918549, 'FD_Position': '2B'}, 'Troy Tulowitzki_batter': {'Salary': 4800.0, 'projected_FD_points': 3.4394216532177979, 'confidence': -0.060516905522497666, 'FD_Position': 'SS'}, 'Giancarlo Stanton_batter': {'Salary': 5300.0, 'projected_FD_points': 3.5104467508151389, 'confidence': -0.09508744074142661, 'FD_Position': 'OF'}, 'Aaron Hicks_batter': {'Salary': 2400.0, 'projected_FD_points': 2.4781329776742389, 'confidence': -0.091496717302173902, 'FD_Position': 'OF'}, 'Miguel Cabrera_batter': {'Salary': 4700.0, 'projected_FD_points': 3.3509360103217967, 'confidence': -0.02160354999066616, 'FD_Position': '1B'}}</t>
  </si>
  <si>
    <t>{'Alex Rodriguez_batter': {'Salary': 3100.0, 'projected_FD_points': 2.5810877499075495, 'confidence': -0.099505200645003011, 'FD_Position': '3B'}, 'J.D. Martinez_batter': {'Salary': 3100.0, 'projected_FD_points': 2.6281591291069013, 'confidence': 0.014328991687297843, 'FD_Position': 'OF'}, 'David Ortiz_batter': {'Salary': 2500.0, 'projected_FD_points': 3.0252289436204949, 'confidence': 0.0041374303909837984, 'FD_Position': '1B'}, 'Alejandro De Aza_batter': {'Salary': 2200.0, 'projected_FD_points': 2.3393350776211661, 'confidence': -0.16930712687033234, 'FD_Position': 'OF'}, 'J.J. Hardy_batter': {'Salary': 2200.0, 'projected_FD_points': 1.7840261539998894, 'confidence': -0.0092375706656031564, 'FD_Position': 'SS'}, 'Mike Trout_batter': {'Salary': 5100.0, 'projected_FD_points': 3.6423511256614987, 'confidence': 0.00077140670007491696, 'FD_Position': 'OF'}, 'David Price_pitcher': {'Salary': 11000.0, 'projected_FD_points': 12.787632865312274, 'confidence': -0.12760870138158986, 'FD_Position': 'P'}, 'Ben Zobrist_batter': {'Salary': 2900.0, 'projected_FD_points': 2.3202664223308398, 'confidence': -0.67890427526103236, 'FD_Position': '2B'}, 'Matt Wieters_batter': {'Salary': 2900.0, 'projected_FD_points': 2.5940092054339532, 'confidence': -0.12331556451895498, 'FD_Position': 'C'}}</t>
  </si>
  <si>
    <t>{'Yasmany Tomas_batter': {'Salary': 3000.0, 'projected_FD_points': 2.8815085329150474, 'confidence': -0.040184294200865667, 'FD_Position': '3B'}, 'Steve Souza_batter': {'Salary': 3700.0, 'projected_FD_points': 3.7425362543813003, 'confidence': -0.20980616785717032, 'FD_Position': 'OF'}, 'Robinson Cano_batter': {'Salary': 2500.0, 'projected_FD_points': 2.9129382067765208, 'confidence': -0.019505315413279378, 'FD_Position': '2B'}, 'Mike Zunino_batter': {'Salary': 2200.0, 'projected_FD_points': 1.8562075657612498, 'confidence': -0.075221234657772751, 'FD_Position': 'C'}, 'Clayton Kershaw_pitcher': {'Salary': 11700.0, 'projected_FD_points': 15.806290191542226, 'confidence': -0.19435145644281437, 'FD_Position': 'P'}, 'Joey Butler_batter': {'Salary': 3200.0, 'projected_FD_points': 3.7335486425853786, 'confidence': -0.13132749052823578, 'FD_Position': 'OF'}, 'Jose Abreu_batter': {'Salary': 3600.0, 'projected_FD_points': 3.4136627628303207, 'confidence': -0.10816967423887758, 'FD_Position': '1B'}, 'Asdrubal Cabrera_batter': {'Salary': 2200.0, 'projected_FD_points': 1.9271225621484263, 'confidence': 0.0024487417056147098, 'FD_Position': 'SS'}, 'Michael Cuddyer_batter': {'Salary': 2600.0, 'projected_FD_points': 2.7714580273365303, 'confidence': 0.12272430634502318, 'FD_Position': 'OF'}}</t>
  </si>
  <si>
    <t>{'Dioner Navarro_batter': {'Salary': 2200.0, 'projected_FD_points': 2.5360135677284212, 'confidence': -0.024899487515664065, 'FD_Position': 'C'}, 'Madison Bumgarner_pitcher': {'Salary': 10200.0, 'projected_FD_points': 12.825397909042278, 'confidence': -0.15088442069453412, 'FD_Position': 'P'}, 'Brian Dozier_batter': {'Salary': 4200.0, 'projected_FD_points': 2.7529690626156116, 'confidence': -0.0097230870169717765, 'FD_Position': '2B'}, 'Eddie Rosario_batter': {'Salary': 2600.0, 'projected_FD_points': 2.8335733948087158, 'confidence': -1.5305172806321643, 'FD_Position': 'OF'}, 'Preston Tucker_batter': {'Salary': 2900.0, 'projected_FD_points': 3.4676547063108485, 'confidence': -1.4284555718078265, 'FD_Position': 'OF'}, 'Edwin Encarnacion_batter': {'Salary': 3800.0, 'projected_FD_points': 3.3810064526180632, 'confidence': -0.048647809079816806, 'FD_Position': '1B'}, 'Jose Reyes_batter': {'Salary': 3500.0, 'projected_FD_points': 3.1043109071945789, 'confidence': -0.091946936895856757, 'FD_Position': 'SS'}, 'Chris Colabello_batter': {'Salary': 2800.0, 'projected_FD_points': 3.0161028013079965, 'confidence': -0.03329368710306424, 'FD_Position': 'OF'}, 'Trevor Plouffe_batter': {'Salary': 2800.0, 'projected_FD_points': 2.6105809671902294, 'confidence': 0.060851016262635671, 'FD_Position': '3B'}}</t>
  </si>
  <si>
    <t>{'Kris Bryant_batter': {'Salary': 4100.0, 'projected_FD_points': 3.4467930674288763, 'confidence': -0.07477092871963209, 'FD_Position': '3B'}, 'Nick Franklin_batter': {'Salary': 2400.0, 'projected_FD_points': 1.8382933265116643, 'confidence': -0.0060950350453348179, 'FD_Position': '2B'}, 'Wilin Rosario_batter': {'Salary': 3000.0, 'projected_FD_points': 2.7580861213715675, 'confidence': -0.36029708653107617, 'FD_Position': '1B'}, 'Brad Miller_batter': {'Salary': 2300.0, 'projected_FD_points': 1.874425898384442, 'confidence': -0.032930774075868197, 'FD_Position': 'SS'}, 'Wilson Ramos_batter': {'Salary': 2700.0, 'projected_FD_points': 2.1641918126012438, 'confidence': -0.23900353128049812, 'FD_Position': 'C'}, 'Nelson Cruz_batter': {'Salary': 3800.0, 'projected_FD_points': 3.054844539659888, 'confidence': -0.023396109006477595, 'FD_Position': 'OF'}, 'Carlos Gonzalez_batter': {'Salary': 3500.0, 'projected_FD_points': 2.8477251255052454, 'confidence': -0.076007453444921769, 'FD_Position': 'OF'}, 'Michael Cuddyer_batter': {'Salary': 2700.0, 'projected_FD_points': 3.4210136707170915, 'confidence': 0.01623057824753571, 'FD_Position': 'OF'}, 'Jacob deGrom_pitcher': {'Salary': 10400.0, 'projected_FD_points': 14.649785078585115, 'confidence': -0.40757682993522537, 'FD_Position': 'P'}}</t>
  </si>
  <si>
    <t>{'Russell Martin_batter': {'Salary': 3000.0, 'projected_FD_points': 2.3429939954963408, 'confidence': -0.022248159234620202, 'FD_Position': 'C'}, 'Neil Walker_batter': {'Salary': 2800.0, 'projected_FD_points': 2.6136660437542241, 'confidence': -0.032524402756398008, 'FD_Position': '2B'}, 'Jose Bautista_batter': {'Salary': 4900.0, 'projected_FD_points': 3.7884337519828137, 'confidence': 0.021019289191815838, 'FD_Position': 'OF'}, 'Trevor Plouffe_batter': {'Salary': 2600.0, 'projected_FD_points': 2.705153523923407, 'confidence': -0.030585147990709105, 'FD_Position': '3B'}, 'Kennys Vargas_batter': {'Salary': 2500.0, 'projected_FD_points': 3.1220662964736992, 'confidence': 0.040517613122868612, 'FD_Position': '1B'}, 'Alex Gordon_batter': {'Salary': 2700.0, 'projected_FD_points': 2.5127087817111065, 'confidence': -0.01119527712772217, 'FD_Position': 'OF'}, 'Chris Sale_pitcher': {'Salary': 10900.0, 'projected_FD_points': 14.551733307379312, 'confidence': -0.032366998709061123, 'FD_Position': 'P'}, 'Chris Colabello_batter': {'Salary': 2900.0, 'projected_FD_points': 2.8465824971198819, 'confidence': 0.038764844729184955, 'FD_Position': 'OF'}, 'Alexei Ramirez_batter': {'Salary': 2400.0, 'projected_FD_points': 2.603886274243564, 'confidence': -0.082963768947745598, 'FD_Position': 'SS'}}</t>
  </si>
  <si>
    <t>{'George Springer_batter': {'Salary': 3600.0, 'projected_FD_points': 3.2750590456164517, 'confidence': -1.8556411345854986, 'FD_Position': 'OF'}, 'Neil Walker_batter': {'Salary': 2800.0, 'projected_FD_points': 2.7684624944256848, 'confidence': -0.042145129463219133, 'FD_Position': '2B'}, 'Max Scherzer_pitcher': {'Salary': 11600.0, 'projected_FD_points': 14.744444444444444, 'confidence': -0.15681530951082889, 'FD_Position': 'P'}, 'Trevor Plouffe_batter': {'Salary': 2600.0, 'projected_FD_points': 2.5804457417335369, 'confidence': 0.01722934337959503, 'FD_Position': '3B'}, 'David Ortiz_batter': {'Salary': 2500.0, 'projected_FD_points': 2.9541702188910461, 'confidence': -0.038200346886503311, 'FD_Position': '1B'}, 'Yan Gomes_batter': {'Salary': 2200.0, 'projected_FD_points': 2.4567455588873712, 'confidence': -0.071993717564332593, 'FD_Position': 'C'}, 'Marcus Semien_batter': {'Salary': 2400.0, 'projected_FD_points': 2.2444570425387278, 'confidence': -0.038207029632921552, 'FD_Position': 'SS'}, 'Michael Cuddyer_batter': {'Salary': 2600.0, 'projected_FD_points': 3.4071137928503061, 'confidence': -0.014408705644120001, 'FD_Position': 'OF'}, 'Andrew McCutchen_batter': {'Salary': 4700.0, 'projected_FD_points': 4.1842057463334621, 'confidence': -0.051873357915763529, 'FD_Position': 'OF'}}</t>
  </si>
  <si>
    <t>{'Hanley Ramirez_batter': {'Salary': 3800.0, 'projected_FD_points': 3.0044628479220297, 'confidence': -0.082291366523245424, 'FD_Position': 'OF'},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'Ben Zobrist_batter': {'Salary': 2600.0, 'projected_FD_points': 2.4918049207935824, 'confidence': 0.000541617791127047, 'FD_Position': '2B'}, 'Andrew McCutchen_batter': {'Salary': 4700.0, 'projected_FD_points': 3.5280642606219912, 'confidence': 0.028245841501581603, 'FD_Position': 'OF'}}</t>
  </si>
  <si>
    <t>{'Ben Zobrist_batter': {'Salary': 2600.0, 'projected_FD_points': 2.4918049207935824, 'confidence': 0.000541617791127047, 'FD_Position': '2B'},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'Hanley Ramirez_batter': {'Salary': 3800.0, 'projected_FD_points': 3.0044628479220297, 'confidence': -0.082291366523245424, 'FD_Position': 'OF'}, 'Andrew McCutchen_batter': {'Salary': 4700.0, 'projected_FD_points': 3.5280642606219912, 'confidence': 0.028245841501581603, 'FD_Position': 'OF'}}</t>
  </si>
  <si>
    <t>{'Alex Rodriguez_batter': {'Salary': 3400.0, 'projected_FD_points': 2.8679775280898876, 'confidence': -1.661418077590278, 'FD_Position': '3B'}, 'Jose Bautista_batter': {'Salary': 5400.0, 'projected_FD_points': 3.7593627708104331, 'confidence': -0.053631921802997251, 'FD_Position': 'OF'}, 'Jose Lobaton_batter': {'Salary': 2400.0, 'projected_FD_points': 1.4342378427773863, 'confidence': -0.0071481388652629985, 'FD_Position': 'C'}, 'Jose Reyes_batter': {'Salary': 4000.0, 'projected_FD_points': 2.9608771353720238, 'confidence': 0.038713174542418405, 'FD_Position': 'SS'}, 'Carlos Beltran_batter': {'Salary': 2500.0, 'projected_FD_points': 2.3581800943661735, 'confidence': -0.061004397427691259, 'FD_Position': 'OF'}, 'Edwin Encarnacion_batter': {'Salary': 3800.0, 'projected_FD_points': 3.2889201329400413, 'confidence': -0.010829567707339116, 'FD_Position': '1B'}, 'Christian Yelich_batter': {'Salary': 2400.0, 'projected_FD_points': 2.2427311875530536, 'confidence': -0.033003410754379292, 'FD_Position': 'OF'}, 'Gio Gonzalez_pitcher': {'Salary': 8600.0, 'projected_FD_points': 10.661273990742597, 'confidence': -0.53786407092174726, 'FD_Position': 'P'}, 'Chase Utley_batter': {'Salary': 2500.0, 'projected_FD_points': 2.1863573469551127, 'confidence': -0.010474614107388813, 'FD_Position': '2B'}}</t>
  </si>
  <si>
    <t>{'Tsuyoshi Wada_pitcher': {'Salary': 6300.0, 'projected_FD_points': 14.098244402286456, 'confidence': -2.0111523830994691, 'FD_Position': 'P'}, 'David Ortiz_batter': {'Salary': 2400.0, 'projected_FD_points': 3.0358674808912935, 'confidence': -0.032898839628713761, 'FD_Position': '1B'}, 'Evan Longoria_batter': {'Salary': 3000.0, 'projected_FD_points': 2.4407530026194539, 'confidence': -0.023951912023391531,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'Mike Trout_batter': {'Salary': 5000.0, 'projected_FD_points': 3.5691240652153042, 'confidence': -0.023310723520265864, 'FD_Position': 'OF'}, 'Troy Tulowitzki_batter': {'Salary': 4500.0, 'projected_FD_points': 2.9176192695495455, 'confidence': -0.059538237953439266, 'FD_Position': 'SS'}, 'Giancarlo Stanton_batter': {'Salary': 5300.0, 'projected_FD_points': 4.0443573349686393, 'confidence': -0.00061162658537150527, 'FD_Position': 'OF'}, 'Addison Russell_batter': {'Salary': 2400.0, 'projected_FD_points': 2.2825398169266178, 'confidence': -3.6628545138611193, 'FD_Position': '2B'}}</t>
  </si>
  <si>
    <t>{'Starlin Castro_batter': {'Salary': 2700.0, 'projected_FD_points': 2.1370733161097308, 'confidence': -0.067327016276095719, 'FD_Position': 'SS'}, 'Anthony Rizzo_batter': {'Salary': 4400.0, 'projected_FD_points': 3.3423306636060488, 'confidence': 0.028037100060241182, 'FD_Position': '1B'}, 'Tsuyoshi Wada_pitcher': {'Salary': 6300.0, 'projected_FD_points': 14.098244402286456, 'confidence': -2.0111523830994691, 'FD_Position': 'P'}, 'Ryan Braun_batter': {'Salary': 4000.0, 'projected_FD_points': 2.7388846098047401, 'confidence': -0.0058357360135374847, 'FD_Position': 'OF'}, 'Anthony Rendon_batter': {'Salary': 3500.0, 'projected_FD_points': 2.4076034470835408, 'confidence': -0.027901897235671047,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'Addison Russell_batter': {'Salary': 2400.0, 'projected_FD_points': 2.2825398169266178, 'confidence': -3.6628545138611193, 'FD_Position': '2B'}, 'Bryce Harper_batter': {'Salary': 5600.0, 'projected_FD_points': 2.7653906842104261, 'confidence': 0.010331291268222964, 'FD_Position': 'OF'}}</t>
  </si>
  <si>
    <t>{'Joey Gallo_batter': {'Salary': 3200.0, 'projected_FD_points': 4.1700213268938899, 'confidence': 0, 'FD_Position': '3B'}, 'Jonathan Lucroy_batter': {'Salary': 2600.0, 'projected_FD_points': 2.3661924229154909, 'confidence': -0.0055181424176964367, 'FD_Position': 'C'}, 'David Ortiz_batter': {'Salary': 2400.0, 'projected_FD_points': 3.1043792737080915, 'confidence': -0.054184908601200954, 'FD_Position': '1B'}, 'Robinson Cano_batter': {'Salary': 2400.0, 'projected_FD_points': 2.9448918590736883, 'confidence': -0.15493591203279489, 'FD_Position': '2B'}, 'Clayton Kershaw_pitcher': {'Salary': 12000.0, 'projected_FD_points': 16.049491880692759, 'confidence': -0.3036027310935685, 'FD_Position': 'P'}, 'Christian Yelich_batter': {'Salary': 2500.0, 'projected_FD_points': 2.8034250900918454, 'confidence': -0.019358848844481802, 'FD_Position': 'OF'}, 'Troy Tulowitzki_batter': {'Salary': 4500.0, 'projected_FD_points': 2.9245594614389279, 'confidence': 0.042732438843343656, 'FD_Position': 'SS'}, 'Michael Cuddyer_batter': {'Salary': 2500.0, 'projected_FD_points': 3.3920191569679101, 'confidence': -0.12089262675674228, 'FD_Position': 'OF'}, 'Mark Trumbo_batter': {'Salary': 2900.0, 'projected_FD_points': 2.9841672486646269, 'confidence': -0.032224107255695689, 'FD_Position': 'OF'}}</t>
  </si>
  <si>
    <t>outlier_removal_regression.py</t>
  </si>
  <si>
    <t>C:\Users\Ian Whitestone\Documents\Python Projects\UD Intro to Machine Learning\ud120-projects-master\outliers\outlier_removal_regression.py</t>
  </si>
  <si>
    <t>[]</t>
  </si>
  <si>
    <t>['Matt Holliday']</t>
  </si>
  <si>
    <t>['Jose Altuve', 'Danny Santana']</t>
  </si>
  <si>
    <t>['Hanley Ramirez']</t>
  </si>
  <si>
    <t>['Kris Bryant']</t>
  </si>
  <si>
    <t>['Dioner Navarro', 'Jake Marisnick']</t>
  </si>
  <si>
    <t>['Mike Bolsinger', 'Carlos Gomez']</t>
  </si>
  <si>
    <t>['Aaron Hill']</t>
  </si>
  <si>
    <t>['Robinson Cano', 'Erick Aybar']</t>
  </si>
  <si>
    <t>['Alex Guerrero']</t>
  </si>
  <si>
    <t>['Jarrod Saltalamacchia']</t>
  </si>
  <si>
    <t>['Corey Dickerson']</t>
  </si>
  <si>
    <t>['Byron Buxton']</t>
  </si>
  <si>
    <t>['Mark Teixeira', 'Jimmy Rollins', 'Alex Guerrero']</t>
  </si>
  <si>
    <t>['Jarrod Saltalamacchia', 'Mark Teixeira', 'Jake Lamb', 'Carlos Gonzalez']</t>
  </si>
  <si>
    <t>['Edwin Encarnacion', 'Danny Santana']</t>
  </si>
  <si>
    <t>Missing Players</t>
  </si>
  <si>
    <t>User Wins</t>
  </si>
  <si>
    <t># of Entries</t>
  </si>
  <si>
    <t>Max</t>
  </si>
  <si>
    <t>Mean</t>
  </si>
  <si>
    <t>main.py</t>
  </si>
  <si>
    <t>C:\Users\Ian Whitestone\Documents\Python Projects\Fanduel-master\fanduel\modules\main.py</t>
  </si>
  <si>
    <t>['Ryan Lavarnway']</t>
  </si>
  <si>
    <t>['Mike Fiers']</t>
  </si>
  <si>
    <t>['Giancarlo Stanton']</t>
  </si>
  <si>
    <t>['Blake Swihart', 'Marcell Ozuna']</t>
  </si>
  <si>
    <t>['Alex Gordon']</t>
  </si>
  <si>
    <t>FIFTY_FIFTY</t>
  </si>
  <si>
    <t>Contest Size</t>
  </si>
  <si>
    <t>2</t>
  </si>
  <si>
    <t>1</t>
  </si>
  <si>
    <t>3</t>
  </si>
  <si>
    <t>%Full</t>
  </si>
  <si>
    <t>{'Alex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'Delino Deshields Jr._batter': {'Salary': 3100.0, 'projected_FD_points': 4.0313779239766081,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3.7815268410032914, 'confidence': 0.02479057874189794, 'FD_Position': 'SS'}, 'Jason Castro_batter': {'Salary': 2300.0, 'projected_FD_points': 2.232905982905983, 'confidence': -0.0084864938610662577, 'FD_Position': 'C'}}</t>
  </si>
  <si>
    <t>Pitcher: pred_strikeouts, FD median Batter: FD median --&gt; only modelled players for games they started</t>
  </si>
  <si>
    <t>{'Shin-Soo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4.0313779239766081,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'C'}, 'Matt Carpenter_batter': {'Salary': 4300.0, 'projected_FD_points': 2.8565345093530925, 'confidence': -0.029455689424163767, 'FD_Position': '3B'}}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</si>
  <si>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'Joey Butler_batter': {'Salary': 2300.0, 'projected_FD_points': 3.1292947103274558, 'confidence': -1.5002308352329004, 'FD_Position': 'OF'}, 'Troy Tulowitzki_batter': {'Salary': 4300.0, 'projected_FD_points': 3.7815268410032914, 'confidence': 0.02479057874189794, 'FD_Position': 'SS'}, 'Joey Votto_batter': {'Salary': 3700.0, 'projected_FD_points': 3.0262008733624453, 'confidence': -0.0060046421999992994, 'FD_Position': '1B'}, 'Jason Castro_batter': {'Salary': 2300.0, 'projected_FD_points': 2.232905982905983, 'confidence': -0.0084864938610662577, 'FD_Position': 'C'}}</t>
  </si>
  <si>
    <t>{'Adrian Beltre_batter': {'Salary': 3100.0, 'projected_FD_points': 2.554383116883117, 'confidence': -0.084958697533153993, 'FD_Position': '3B'}, 'Shin-Soo Choo_batter': {'Salary': 3100.0, 'projected_FD_points': 3.1733827987002203, 'confidence': -0.013315814679128124, 'FD_Position': 'OF'}, 'Elvis Andrus_batter': {'Salary': 2600.0, 'projected_FD_points': 1.9806451612903226, 'confidence': -0.0066829852006728974, 'FD_Position': 'SS'}, 'Anthony Rizzo_batter': {'Salary': 4500.0, 'projected_FD_points': 2.7491843710671118, 'confidence': -0.095773095812722753, 'FD_Position': '1B'}, 'Delino Deshields Jr._batter': {'Salary': 3100.0, 'projected_FD_points': 4.0313779239766081, 'confidence': 0, 'FD_Position': 'OF'},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'Anthony Recker_batter': {'Salary': 2200.0, 'projected_FD_points': 1.7317449664429529, 'confidence': -0.1845993117808904, 'FD_Position': 'C'}, 'Omar Infante_batter': {'Salary': 2300.0, 'projected_FD_points': 1.8663003663003663, 'confidence': -0.0013766103861658774, 'FD_Position': '2B'}}</t>
  </si>
  <si>
    <t>{'Alex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'Carlos Gonzalez_batter': {'Salary': 2800.0, 'projected_FD_points': 2.9887543761692155, 'confidence': -0.034138456879787338, 'FD_Position': 'OF'}, 'Clayton Kershaw_pitcher': {'Salary': 11000.0, 'projected_FD_points': 15.122674331092348, 'confidence': -0.15185494485310014, 'FD_Position': 'P'}, 'David Ortiz_batter': {'Salary': 2600.0, 'projected_FD_points': 2.834610407683555, 'confidence': -0.017664792472668944, 'FD_Position': '1B'}, 'Yasmani Grandal_batter': {'Salary': 3000.0, 'projected_FD_points': 2.3819453358367255, 'confidence': -0.4337914154501139, 'FD_Position': 'C'}, 'Troy Tulowitzki_batter': {'Salary': 4200.0, 'projected_FD_points': 3.8368572960748253, 'confidence': -0.027861974615214224, 'FD_Position': 'SS'}, 'Michael Cuddyer_batter': {'Salary': 2500.0, 'projected_FD_points': 2.8830645161290325, 'confidence': -0.025640892660075965, 'FD_Position': 'OF'}, 'Coco Crisp_batter': {'Salary': 2200.0, 'projected_FD_points': 2.6600000000000001, 'confidence': -0.028459986550100735, 'FD_Position': 'OF'}}</t>
  </si>
  <si>
    <t>{'Kris Bryant_batter': {'Salary': 3800.0, 'projected_FD_points': 3.8187709380234507, 'confidence': -0.75698882441727977,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'A.J. Pierzynski_batter': {'Salary': 2400.0, 'projected_FD_points': 2.2442059271823269, 'confidence': -0.0034051459438517728, 'FD_Position': 'C'}, 'Devon Travis_batter': {'Salary': 3300.0, 'projected_FD_points': 3.0870499457349094, 'confidence': -0.25771211964640783, 'FD_Position': '2B'}, 'Mike Trout_batter': {'Salary': 5200.0, 'projected_FD_points': 3.6431657196079366, 'confidence': -0.0029539992912095414, 'FD_Position': 'OF'},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</si>
  <si>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{'Yoenis Cespedes_batter': {'Salary': 2800.0, 'projected_FD_points': 2.6536458333333335, 'confidence': -0.033886670611646963, 'FD_Position': 'OF'}, 'Kris Bryant_batter': {'Salary': 3800.0, 'projected_FD_points': 3.8187709380234507, 'confidence': -0.75698882441727977, 'FD_Position': '3B'}, 'Gerrit Cole_pitcher': {'Salary': 9300.0, 'projected_FD_points': 13.125679534691582, 'confidence': -0.047834782924362385,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</si>
  <si>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'Mike Trout_batter': {'Salary': 5200.0, 'projected_FD_points': 3.6431657196079366, 'confidence': -0.0029539992912095414, 'FD_Position': 'OF'}, 'Devon Travis_batter': {'Salary': 3300.0, 'projected_FD_points': 3.0870499457349094, 'confidence': -0.25771211964640783, 'FD_Position': '2B'}, 'Wilson Ramos_batter': {'Salary': 3000.0, 'projected_FD_points': 2.2396874415269741, 'confidence': -1.3981184096342822, 'FD_Position': 'C'},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</si>
  <si>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6.7829881656804734,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</si>
  <si>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{'Gregory Polanco_batter': {'Salary': 3100.0, 'projected_FD_points': 2.6958312122818535, 'confidence': -0.24426709888754727,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'Evan Gattis_batter': {'Salary': 3100.0, 'projected_FD_points': 2.4553055443491538, 'confidence': -0.88094673751196662, 'FD_Position': 'C'}, 'Eddie Rosario_batter': {'Salary': 2600.0, 'projected_FD_points': 6.7829881656804734, 'confidence': 0, 'FD_Position': 'OF'}, 'Shin-Soo Choo_batter': {'Salary': 3200.0, 'projected_FD_points': 3.2750160947443203, 'confidence': -0.028891460925543733, 'FD_Position': 'OF'}, 'Edwin Encarnacion_batter': {'Salary': 4200.0, 'projected_FD_points': 3.0763636363636362, 'confidence': -0.072409114480313841, 'FD_Position': '1B'}, 'Jake Arrieta_pitcher': {'Salary': 9900.0, 'projected_FD_points': 12.393879094741434, 'confidence': -0.53046232679267069, 'FD_Position': 'P'}, 'Asdrubal Cabrera_batter': {'Salary': 2400.0, 'projected_FD_points': 2.2990015309869785, 'confidence': -0.073545506611225386, 'FD_Position': 'SS'}}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</si>
  <si>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6.7829881656804734,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</si>
  <si>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3.249345591482935, 'confidence': -0.009916465729721935, 'FD_Position': 'OF'}, 'Joc Pederson_batter': {'Salary': 4000.0, 'projected_FD_points': 3.0539571503287508, 'confidence': -0.14080439297340086, 'FD_Position': 'OF'}, 'Stephen Strasburg_pitcher': {'Salary': 8500.0, 'projected_FD_points': 10.981308170221272, 'confidence': -0.15847732237968737,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</si>
  <si>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{'Kolten Wong_batter': {'Salary': 3100.0, 'projected_FD_points': 2.3773738459215692, 'confidence': -0.056544918697378543, 'FD_Position': '2B'}, 'Josh Donaldson_batter': {'Salary': 3700.0, 'projected_FD_points': 2.868594900159529, 'confidence': -0.045092687412682464, 'FD_Position': '3B'}, 'Carlos Gonzalez_batter': {'Salary': 3300.0, 'projected_FD_points': 3.2073945309528553, 'confidence': -0.10989762090531996, 'FD_Position': 'OF'}, 'Troy Tulowitzki_batter': {'Salary': 4500.0, 'projected_FD_points': 3.5698838735757263, 'confidence': -0.02547039245373095,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</si>
  <si>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{'Carlos Gonzalez_batter': {'Salary': 3300.0, 'projected_FD_points': 3.2073945309528553, 'confidence': -0.10989762090531996, 'FD_Position': 'OF'}, 'Daniel Murphy_batter': {'Salary': 2900.0, 'projected_FD_points': 2.5508057008691352, 'confidence': -0.15022814673799378, 'FD_Position': '3B'}, 'Troy Tulowitzki_batter': {'Salary': 4500.0, 'projected_FD_points': 3.5698838735757263, 'confidence': -0.02547039245373095, 'FD_Position': 'SS'}, 'Ian Kinsler_batter': {'Salary': 3800.0, 'projected_FD_points': 2.6295868616254729, 'confidence': -0.10696070798750235, 'FD_Position': '2B'},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</si>
  <si>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12.57841390256138, 'confidence': -0.015146482469740707, 'FD_Position': 'P'}, 'Carlos Gonzalez_batter': {'Salary': 3000.0, 'projected_FD_points': 3.0805828308985577, 'confidence': -0.049624765471477428,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3.8951536372737041, 'confidence': -0.088982281351295711,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</si>
  <si>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3.7778622056343396, 'confidence': 0.013319988900080681, 'FD_Position': 'SS'},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</si>
  <si>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{'Mike Foltynewicz_pitcher': {'Salary': 6900.0, 'projected_FD_points': 12.1, 'confidence': 0, 'FD_Position': 'P'}, 'Alex Rodriguez_batter': {'Salary': 3300.0, 'projected_FD_points': 3.3480788392078726, 'confidence': 0.09131462630455367, 'FD_Position': '3B'}, 'Neil Walker_batter': {'Salary': 3000.0, 'projected_FD_points': 2.5154636907619414, 'confidence': 0.014328916556656468, 'FD_Position': '2B'}, 'Jose Bautista_batter': {'Salary': 4800.0, 'projected_FD_points': 3.3637017606739463, 'confidence': -0.034207155989941507, 'FD_Position': 'OF'}, 'A.J. Pierzynski_batter': {'Salary': 2500.0, 'projected_FD_points': 2.2604947104819342, 'confidence': -0.066129034075059323, 'FD_Position': 'C'}, 'Brandon Moss_batter': {'Salary': 3200.0, 'projected_FD_points': 2.8360688104108367, 'confidence': -0.013941193765830029, 'FD_Position': 'OF'}, 'Daniel Santana_batter': {'Salary': 2700.0, 'projected_FD_points': 2.5622574015632926, 'confidence': -0.1434635367507171, 'FD_Position': 'SS'}, 'Miguel Cabrera_batter': {'Salary': 4600.0, 'projected_FD_points': 3.4674603174603176, 'confidence': -0.0017293302584162618, 'FD_Position': '1B'}, 'Andrew McCutchen_batter': {'Salary': 3800.0, 'projected_FD_points': 3.0010192542191256, 'confidence': -0.037560076711336876, 'FD_Position': 'OF'}}</t>
  </si>
  <si>
    <t>{'Coco Crisp_batter': {'Salary': 2200.0, 'projected_FD_points': 2.5233757915633177, 'confidence': -0.049855534803731283, 'FD_Position': 'OF'}, 'David Ortiz_batter': {'Salary': 2800.0, 'projected_FD_points': 3.1837689542738636, 'confidence': -0.20623512776205755, 'FD_Position': '1B'}, 'Stephen Strasburg_pitcher': {'Salary': 9100.0, 'projected_FD_points': 12.378967676014485, 'confidence': -0.023482639618576995, 'FD_Position': 'P'}, 'Joc Pederson_batter': {'Salary': 4300.0, 'projected_FD_points': 3.7275700116686115, 'confidence': -0.2354847022684845, 'FD_Position': 'OF'}, 'Jacob Realmuto_batter': {'Salary': 2200.0, 'projected_FD_points': 1.95, 'confidence': -4.3350000000000009, 'FD_Position': 'C'}, 'Kyle Seager_batter': {'Salary': 3000.0, 'projected_FD_points': 2.6653376842655945, 'confidence': -0.032240016043219244, 'FD_Position': '3B'}, 'Troy Tulowitzki_batter': {'Salary': 4400.0, 'projected_FD_points': 3.7778622056343396, 'confidence': 0.013319988900080681, 'FD_Position': 'SS'}, 'Hanley Ramirez_batter': {'Salary': 3900.0, 'projected_FD_points': 3.5089575116865404, 'confidence': -0.043076080184081711, 'FD_Position': 'OF'}, 'Dustin Pedroia_batter': {'Salary': 2900.0, 'projected_FD_points': 2.4152960526315788, 'confidence': -0.00013436570430003236, 'FD_Position': '2B'}}</t>
  </si>
  <si>
    <t>{'Kris Bryant_batter': {'Salary': 3500.0, 'projected_FD_points': 3.0496511232130707, 'confidence': -0.044229927087901411,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'Carlos Gomez_batter': {'Salary': 3700.0, 'projected_FD_points': 2.8970588235294117, 'confidence': -0.019462518178441135, 'FD_Position': 'OF'}, 'Brandon Crawford_batter': {'Salary': 2200.0, 'projected_FD_points': 2.0153085791509779, 'confidence': -0.10063414189639519,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</si>
  <si>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5.2914025747382247, 'confidence': -0.2657808299466875,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</si>
  <si>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</si>
  <si>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12.574065340948009, 'confidence': -0.23381700778074621,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</si>
  <si>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'David Ortiz_batter': {'Salary': 3000.0, 'projected_FD_points': 3.2878785723767803, 'confidence': -0.26955060245446005, 'FD_Position': '1B'}, 'Clayton Kershaw_pitcher': {'Salary': 11200.0, 'projected_FD_points': 16.349010851106208, 'confidence': 0.17045493537227274, 'FD_Position': 'P'}, 'Kirk Nieuwenhuis_batter': {'Salary': 2200.0, 'projected_FD_points': 3.0702827241487034, 'confidence': -6.3583392007260038, 'FD_Position': 'OF'}, 'Devon Travis_batter': {'Salary': 3300.0, 'projected_FD_points': 4.503512927439532, 'confidence': -0.21615152621802514, 'FD_Position': '2B'}, 'Hanley Ramirez_batter': {'Salary': 4100.0, 'projected_FD_points': 3.5037954837715612, 'confidence': -0.0084621486324714112, 'FD_Position': 'OF'}, 'Asdrubal Cabrera_batter': {'Salary': 2300.0, 'projected_FD_points': 2.290855176869818, 'confidence': -0.036583136472584821, 'FD_Position': 'SS'}, 'Andrew Susac_batter': {'Salary': 2200.0, 'projected_FD_points': 2.8913043478260869, 'confidence': -1.9964830527102473,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</si>
  <si>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4.503512927439532, 'confidence': -0.21615152621802514,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'Kirk Nieuwenhuis_batter': {'Salary': 2200.0, 'projected_FD_points': 3.0702827241487034, 'confidence': -6.3583392007260038, 'FD_Position': 'OF'}, 'David Ortiz_batter': {'Salary': 3000.0, 'projected_FD_points': 3.2878785723767803, 'confidence': -0.26955060245446005, 'FD_Position': '1B'}, 'Michael Pineda_pitcher': {'Salary': 8800.0, 'projected_FD_points': 13.435202991764587, 'confidence': -0.63573925955054511,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</si>
  <si>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16.349010851106208, 'confidence': 0.17045493537227274, 'FD_Position': 'P'}, 'Christian Yelich_batter': {'Salary': 2800.0, 'projected_FD_points': 2.5116580310880829, 'confidence': -0.066388111530770955, 'FD_Position': 'OF'}, 'Troy Tulowitzki_batter': {'Salary': 5100.0, 'projected_FD_points': 3.62076793483384, 'confidence': -0.033351771796501728, 'FD_Position': 'SS'}, 'Kyle Seager_batter': {'Salary': 3000.0, 'projected_FD_points': 2.5485913497970416, 'confidence': -0.01147770576385998, 'FD_Position': '3B'}, 'Andrew Susac_batter': {'Salary': 2200.0, 'projected_FD_points': 2.8913043478260869, 'confidence': -1.9964830527102473, 'FD_Position': 'C'}, 'Rafael Ynoa_batter': {'Salary': 2200.0, 'projected_FD_points': 2.7511055745873558, 'confidence': 0.21357851214560719, 'FD_Position': '2B'}}</t>
  </si>
  <si>
    <t>{'Neil Walker_batter': {'Salary': 2800.0, 'projected_FD_points': 2.5101905925343266, 'confidence': -0.014561061749741588, 'FD_Position': '2B'}, 'Devin Mesoraco_batter': {'Salary': 2400.0, 'projected_FD_points': 2.2706046420837973, 'confidence': -0.013894500931620701, 'FD_Position': 'C'}, 'Mark Canha_batter': {'Salary': 2800.0, 'projected_FD_points': 3.5374916833000665, 'confidence': -1.3549257173112679, 'FD_Position': 'OF'}, 'Jhonny Peralta_batter': {'Salary': 2800.0, 'projected_FD_points': 2.3801693333433582, 'confidence': -0.004015622116481099, 'FD_Position': 'SS'}, 'Matt Shoemaker_pitcher': {'Salary': 8500.0, 'projected_FD_points': 13.366596672192779, 'confidence': -0.55350656735462866, 'FD_Position': 'P'}, 'Todd Frazier_batter': {'Salary': 4000.0, 'projected_FD_points': 2.6872536690589324, 'confidence': -0.03614098840324842, 'FD_Position': '3B'}, 'Mike Trout_batter': {'Salary': 5400.0, 'projected_FD_points': 3.6177884615384617, 'confidence': -0.0090487786998048048, 'FD_Position': 'OF'}, 'Michael Cuddyer_batter': {'Salary': 2600.0, 'projected_FD_points': 2.896206128638942, 'confidence': -0.011010673500779555, 'FD_Position': 'OF'}, 'Jose Abreu_batter': {'Salary': 3500.0, 'projected_FD_points': 3.1739244034736869, 'confidence': -0.031341920947197899, 'FD_Position': '1B'}}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</si>
  <si>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'Julio Teheran_pitcher': {'Salary': 8300.0, 'projected_FD_points': 9.9167220237067752, 'confidence': -0.76595956661430598,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</si>
  <si>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'Devon Travis_batter': {'Salary': 3400.0, 'projected_FD_points': 4.1274165242691545, 'confidence': -0.45653494601609856, 'FD_Position': '2B'}, 'James Shields_pitcher': {'Salary': 8700.0, 'projected_FD_points': 12.615675080979242, 'confidence': -0.13516325520672301, 'FD_Position': 'P'}, 'Mookie Betts_batter': {'Salary': 3400.0, 'projected_FD_points': 3.0294846895154053, 'confidence': -0.13010710759538635, 'FD_Position': 'OF'}, 'Troy Tulowitzki_batter': {'Salary': 5100.0, 'projected_FD_points': 3.8411799779820588, 'confidence': -0.0032811446064437977, 'FD_Position': 'SS'}, 'Mike Napoli_batter': {'Salary': 2300.0, 'projected_FD_points': 2.7173505819216608, 'confidence': -0.0086446186957582771, 'FD_Position': '1B'}, 'Andrew McCutchen_batter': {'Salary': 3600.0, 'projected_FD_points': 3.1059191880529906, 'confidence': -0.013482440755295366, 'FD_Position': 'OF'}, 'Jason Castro_batter': {'Salary': 2200.0, 'projected_FD_points': 2.1728260869565217, 'confidence': -0.003088781473042479, 'FD_Position': 'C'}}</t>
  </si>
  <si>
    <t>{'Shin-Soo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'Erick Aybar_batter': {'Salary': 2300.0, 'projected_FD_points': 1.9594827586206895, 'confidence': -0.039085735958861001, 'FD_Position': 'SS'}, 'Paul Goldschmidt_batter': {'Salary': 5100.0, 'projected_FD_points': 3.7072487730531845, 'confidence': -0.017922649383604661, 'FD_Position': '1B'}, 'Carlos Beltran_batter': {'Salary': 2300.0, 'projected_FD_points': 2.4654150197628457, 'confidence': -0.16762920096270606, 'FD_Position': 'OF'}, 'Chris Archer_pitcher': {'Salary': 8900.0, 'projected_FD_points': 15.042229995164405, 'confidence': -6.1927559873212497, 'FD_Position': 'P'}, 'Mike Trout_batter': {'Salary': 5200.0, 'projected_FD_points': 3.7491935483870966, 'confidence': -0.083290057087459735, 'FD_Position': 'OF'}, 'Jason Castro_batter': {'Salary': 2200.0, 'projected_FD_points': 2.1899563318777293, 'confidence': -0.0013610418523521961, 'FD_Position': 'C'}}</t>
  </si>
  <si>
    <t>{'Daniel Santana_batter': {'Salary': 2900.0, 'projected_FD_points': 2.8469810248338581, 'confidence': -0.30782873305526381, 'FD_Position': 'SS'}, 'Alex Rodriguez_batter': {'Salary': 3200.0, 'projected_FD_points': 3.0951185267419841, 'confidence': -0.12729589144028153, 'FD_Position': '3B'},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'Gerrit Cole_pitcher': {'Salary': 9200.0, 'projected_FD_points': 13.61774017460899, 'confidence': -0.80362031931602229, 'FD_Position': 'P'}, 'Michael Cuddyer_batter': {'Salary': 2700.0, 'projected_FD_points': 2.7944297843831607, 'confidence': -0.021598739691160329, 'FD_Position': 'OF'}, 'Jason Castro_batter': {'Salary': 2200.0, 'projected_FD_points': 2.1702356606891544, 'confidence': -0.0064028401178091165, 'FD_Position': 'C'}, 'Jose Abreu_batter': {'Salary': 3600.0, 'projected_FD_points': 3.2984599622700861, 'confidence': -0.060143042236918021, 'FD_Position': '1B'}, 'Andrew McCutchen_batter': {'Salary': 3800.0, 'projected_FD_points': 3.1179400518753582, 'confidence': -0.034253501662017571, 'FD_Position': 'OF'}}</t>
  </si>
  <si>
    <t>{'Adrian Beltre_batter': {'Salary': 2800.0, 'projected_FD_points': 2.678883780420354, 'confidence': -0.080363628803321818,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14.670328442729698, 'confidence': -0.11556305853902438, 'FD_Position': 'P'}, 'Daniel Santana_batter': {'Salary': 2800.0, 'projected_FD_points': 2.824289368570803, 'confidence': -0.078375376940419184, 'FD_Position': 'SS'}, 'Michael Cuddyer_batter': {'Salary': 2700.0, 'projected_FD_points': 2.8244135580126075, 'confidence': -0.0063340456351979046, 'FD_Position': 'OF'}, 'Jose Abreu_batter': {'Salary': 3600.0, 'projected_FD_points': 3.2251523401592741, 'confidence': -0.004736502922250585, 'FD_Position': '1B'}}</t>
  </si>
  <si>
    <t>{'Shin-Soo Choo_batter': {'Salary': 2800.0, 'projected_FD_points': 2.9800751905268781, 'confidence': 0.0048771412626039679, 'FD_Position': 'OF'},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'Daniel Santana_batter': {'Salary': 2800.0, 'projected_FD_points': 2.8220373535530308, 'confidence': -0.13833201285684726, 'FD_Position': 'SS'}, 'Clayton Kershaw_pitcher': {'Salary': 11300.0, 'projected_FD_points': 18.910645101928949, 'confidence': 0.23951869506608747, 'FD_Position': 'P'}, 'Stephen Vogt_batter': {'Salary': 3000.0, 'projected_FD_points': 2.4539395646526763, 'confidence': -0.43754081363594799, 'FD_Position': 'C'}, 'Brock Holt_batter': {'Salary': 2200.0, 'projected_FD_points': 2.2438016528925622, 'confidence': -0.023007868339723903, 'FD_Position': '3B'},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</si>
  <si>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'Matt Holliday_batter': {'Salary': 3500.0, 'projected_FD_points': 2.9521103896103895, 'confidence': -0.074135373265961757, 'FD_Position': 'OF'}, 'Daniel Santana_batter': {'Salary': 2800.0, 'projected_FD_points': 2.8220373535530308, 'confidence': -0.13833201285684726, 'FD_Position': 'SS'}, 'Anthony Rizzo_batter': {'Salary': 4200.0, 'projected_FD_points': 2.812752051522458, 'confidence': -0.00037162900519960296, 'FD_Position': '1B'}, 'Dallas Keuchel_pitcher': {'Salary': 8500.0, 'projected_FD_points': 10.304061677649509, 'confidence': -0.071311478930091265,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</si>
  <si>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{'Albert Pujols_batter': {'Salary': 3100.0, 'projected_FD_points': 2.5129753365680392, 'confidence': -0.012830892114821024, 'FD_Position': '1B'}, 'Matt Kemp_batter': {'Salary': 3600.0, 'projected_FD_points': 2.7241784037558685, 'confidence': -0.0006319956934821569,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'Kole Calhoun_batter': {'Salary': 3500.0, 'projected_FD_points': 2.5753012048192772, 'confidence': -0.26520533067603225, 'FD_Position': 'OF'},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'3B'}, 'Tyson Ross_pitcher': {'Salary': 8300.0, 'projected_FD_points': 11.46585334568913, 'confidence': -0.13751381131688478, 'FD_Position': 'P'}}</t>
  </si>
  <si>
    <t>{'Alex Rodriguez_batter': {'Salary': 3500.0, 'projected_FD_points': 3.1460790313677487, 'confidence': -1.2627057901529803, 'FD_Position': '3B'}, 'James Shields_pitcher': {'Salary': 8600.0, 'projected_FD_points': 13.935046738564107, 'confidence': 0.12789721113948149, 'FD_Position': 'P'}, 'Carlos Gonzalez_batter': {'Salary': 3000.0, 'projected_FD_points': 3.0973053892215567, 'confidence': -0.066256719025981514,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2.3539605978260871, 'confidence': -0.15318300347048819, 'FD_Position': 'C'}, 'Dustin Pedroia_batter': {'Salary': 2900.0, 'projected_FD_points': 2.4377104377104377, 'confidence': -0.00028704021947323355, 'FD_Position': '2B'}}</t>
  </si>
  <si>
    <t>{'Russell Martin_batter': {'Salary': 3200.0, 'projected_FD_points': 2.4425697632753871, 'confidence': -0.026840485009827164, 'FD_Position': 'C'}, 'Addison Russell_batter': {'Salary': 2900.0, 'projected_FD_points': 8.2388888888888889, 'confidence': 0, 'FD_Position': '2B'}, 'Yasmany Tomas_batter': {'Salary': 2700.0, 'projected_FD_points': 2.8333333333333335, 'confidence': 0, 'FD_Position': '3B'},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'Hanley Ramirez_batter': {'Salary': 4400.0, 'projected_FD_points': 3.6708892453631803, 'confidence': -0.20221916526848216, 'FD_Position': 'OF'}}</t>
  </si>
  <si>
    <t>{'Russell Martin_batter': {'Salary': 3200.0, 'projected_FD_points': 2.4425697632753871, 'confidence': -0.026840485009827164, 'FD_Position': 'C'}, 'Alex Rodriguez_batter': {'Salary': 3400.0, 'projected_FD_points': 2.8684492541268534, 'confidence': -0.10755136094031892, 'FD_Position': '3B'}, 'Hanley Ramirez_batter': {'Salary': 4400.0, 'projected_FD_points': 3.6708892453631803, 'confidence': -0.20221916526848216, 'FD_Position': 'OF'}, 'David Ortiz_batter': {'Salary': 3300.0, 'projected_FD_points': 3.3202554744525545, 'confidence': -0.0387826892283063, 'FD_Position': '1B'}, 'Oswaldo Arcia_batter': {'Salary': 2800.0, 'projected_FD_points': 2.677556315636699, 'confidence': 0.057412713768163592, 'FD_Position': 'OF'},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'Jake Arrieta_pitcher': {'Salary': 9800.0, 'projected_FD_points': 13.084349737209964, 'confidence': -0.11162981929126881, 'FD_Position': 'P'}, 'Addison Russell_batter': {'Salary': 2900.0, 'projected_FD_points': 8.2388888888888889, 'confidence': 0, 'FD_Position': '2B'}}</t>
  </si>
  <si>
    <t>{'Yasmany Tomas_batter': {'Salary': 2700.0, 'projected_FD_points': 2.8333333333333335, 'confidence': 0, 'FD_Position': '3B'}, 'Chris Davis_batter': {'Salary': 3900.0, 'projected_FD_points': 3.1446456863024559, 'confidence': -0.0097724586076259889, 'FD_Position': '1B'},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'Victor Martinez_batter': {'Salary': 3400.0, 'projected_FD_points': 2.4808754189626772, 'confidence': 0.022669700707254936, 'FD_Position': 'C'}, 'Michael Cuddyer_batter': {'Salary': 2700.0, 'projected_FD_points': 2.9197526921699537, 'confidence': -0.0060488816567312309, 'FD_Position': 'OF'}}</t>
  </si>
  <si>
    <t>{'Michael Brantley_batter': {'Salary': 3600.0, 'projected_FD_points': 2.9178018815915987, 'confidence': 0.017588844538981241, 'FD_Position': 'OF'}, 'Russell Martin_batter': {'Salary': 3200.0, 'projected_FD_points': 2.4425697632753871, 'confidence': -0.026840485009827164, 'FD_Position': 'C'}, 'Corey Kluber_pitcher': {'Salary': 9500.0, 'projected_FD_points': 12.458965465208205, 'confidence': -0.45851804114290085, 'FD_Position': 'P'}, 'Erick Aybar_batter': {'Salary': 2500.0, 'projected_FD_points': 1.9562937062937062, 'confidence': -0.0095087188676716838, 'FD_Position': 'SS'}, 'Devon Travis_batter': {'Salary': 3400.0, 'projected_FD_points': 4.2283650653088332, 'confidence': -0.38273691105966079,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'Carlos Santana_batter': {'Salary': 3300.0, 'projected_FD_points': 2.657849829351536, 'confidence': -0.018496277471783618, 'FD_Position': '1B'}}</t>
  </si>
  <si>
    <t>{'Kyle Lobstein_pitcher': {'Salary': 6300.0, 'projected_FD_points': 14.487752198419539, 'confidence': 0, 'FD_Position': 'P'}, 'Josh Harrison_batter': {'Salary': 2700.0, 'projected_FD_points': 2.6167883211678831, 'confidence': -0.097579431286348717, 'FD_Position': '3B'}, 'Robinson Cano_batter': {'Salary': 3500.0, 'projected_FD_points': 2.9048735082584587, 'confidence': -0.072292823998152622, 'FD_Position': '2B'}, 'Paul Goldschmidt_batter': {'Salary': 5200.0, 'projected_FD_points': 3.7318452152645856, 'confidence': -0.0012142952916176508, 'FD_Position': '1B'}, 'Carlos Gonzalez_batter': {'Salary': 3000.0, 'projected_FD_points': 3.1704762520137471, 'confidence': -0.11268093062646756, 'FD_Position': 'OF'}, 'Michael Saunders_batter': {'Salary': 2300.0, 'projected_FD_points': 3.1583414679422752, 'confidence': 0.018799807290277082, 'FD_Position': 'OF'}, 'Brian McCann_batter': {'Salary': 3300.0, 'projected_FD_points': 2.483568075117371, 'confidence': -0.62379414923751364, 'FD_Position': 'C'}, 'Troy Tulowitzki_batter': {'Salary': 4300.0, 'projected_FD_points': 3.6653889591338182, 'confidence': -0.0079503089647816605, 'FD_Position': 'SS'}, 'Hanley Ramirez_batter': {'Salary': 4400.0, 'projected_FD_points': 3.5475873538252376, 'confidence': -0.14212180890772852, 'FD_Position': 'OF'}}</t>
  </si>
  <si>
    <t>{'Shin-Soo Choo_batter': {'Salary': 2500.0, 'projected_FD_points': 2.700140071715539, 'confidence': -0.015716673814754278, 'FD_Position': 'OF'}, 'Kyle Lobstein_pitcher': {'Salary': 6300.0, 'projected_FD_points': 14.487752198419539, 'confidence': 0, 'FD_Position': 'P'}, 'Brian Dozier_batter': {'Salary': 2900.0, 'projected_FD_points': 2.7616997316758658, 'confidence': -0.045008894269241484,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'Victor Martinez_batter': {'Salary': 3400.0, 'projected_FD_points': 2.4449994636603036, 'confidence': 0.00023922919262209241, 'FD_Position': 'C'}, 'Miguel Cabrera_batter': {'Salary': 5300.0, 'projected_FD_points': 3.5985342019543975, 'confidence': -0.055749166820373564, 'FD_Position': '1B'}, 'Matt Carpenter_batter': {'Salary': 4100.0, 'projected_FD_points': 2.8385475049592781, 'confidence': 0.003679830743505752, 'FD_Position': '3B'}, 'Andrew McCutchen_batter': {'Salary': 4100.0, 'projected_FD_points': 3.1689318704126221, 'confidence': -0.012033988019195752, 'FD_Position': 'OF'}}</t>
  </si>
  <si>
    <t>{'Kris Bryant_batter': {'Salary': 3800.0, 'projected_FD_points': 3.21875, 'confidence': 0, 'FD_Position': '3B'}, 'Freddie Freeman_batter': {'Salary': 3200.0, 'projected_FD_points': 2.8521080704728003, 'confidence': -0.0031431381201973974, 'FD_Position': '1B'}, 'Carlos Gonzalez_batter': {'Salary': 3200.0, 'projected_FD_points': 3.1534762289172367, 'confidence': -0.07762547265477826, 'FD_Position': 'OF'}, 'Matt Shoemaker_pitcher': {'Salary': 7800.0, 'projected_FD_points': 12.978645945026679, 'confidence': -1.0459680384293186, 'FD_Position': 'P'}, 'Daniel Murphy_batter': {'Salary': 3100.0, 'projected_FD_points': 2.7658093770293211, 'confidence': -0.13778455900540609, 'FD_Position': '2B'}, 'Wilson Ramos_batter': {'Salary': 2600.0, 'projected_FD_points': 2.418755003163731, 'confidence': -0.071096620261235977, 'FD_Position': 'C'}, 'Troy Tulowitzki_batter': {'Salary': 4600.0, 'projected_FD_points': 3.7997662155230989, 'confidence': 0.00092707251629009502, 'FD_Position': 'SS'}, 'Michael Cuddyer_batter': {'Salary': 2700.0, 'projected_FD_points': 2.7284911585870004, 'confidence': 0.020635987509276199, 'FD_Position': 'OF'}, 'Andrew McCutchen_batter': {'Salary': 4000.0, 'projected_FD_points': 3.1023628266422336, 'confidence': -0.00050373008319004597, 'FD_Position': 'OF'}}</t>
  </si>
  <si>
    <t>{'Jose Bautista_batter': {'Salary': 4800.0, 'projected_FD_points': 3.3172344746608808, 'confidence': -0.18709521825283404,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'Michael Saunders_batter': {'Salary': 2400.0, 'projected_FD_points': 3.4862665078017425, 'confidence': -0.0012930275555556037, 'FD_Position': 'OF'}, 'Jose Ramirez_batter': {'Salary': 2200.0, 'projected_FD_points': 1.6478990529291455, 'confidence': -0.98121821909798479, 'FD_Position': 'SS'}, 'Salvador Perez_batter': {'Salary': 2800.0, 'projected_FD_points': 2.1449769046588547, 'confidence': -0.075310783102807921, 'FD_Position': 'C'}, 'David Ortiz_batter': {'Salary': 3300.0, 'projected_FD_points': 2.853709865159558, 'confidence': -0.049737659637312248, 'FD_Position': '1B'}, 'Danny Salazar_pitcher': {'Salary': 7700.0, 'projected_FD_points': 13.856273976367813, 'confidence': -5.0801186633009738, 'FD_Position': 'P'}, 'Hanley Ramirez_batter': {'Salary': 4300.0, 'projected_FD_points': 3.6634464727580678, 'confidence': -0.12551073555631631, 'FD_Position': 'OF'}}</t>
  </si>
  <si>
    <t>{'Kris Bryant_batter': {'Salary': 3500.0, 'projected_FD_points': 4.3200000000000003, 'confidence': 0, 'FD_Position': '3B'}, 'Alexander Guerrero_batter': {'Salary': 3000.0, 'projected_FD_points': 6.833333333333333, 'confidence': 0, 'FD_Position': '2B'}, 'Johnny Cueto_pitcher': {'Salary': 10400.0, 'projected_FD_points': 15.640846271391442, 'confidence': -7.9211148084074718, 'FD_Position': 'P'}, 'Evan Gattis_batter': {'Salary': 2500.0, 'projected_FD_points': 2.2994505494505493, 'confidence': -0.27239128208231866, 'FD_Position': 'C'},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'Oswaldo Arcia_batter': {'Salary': 2600.0, 'projected_FD_points': 2.7716613557946013, 'confidence': -0.15682287753061597, 'FD_Position': 'OF'}, 'Kirk Nieuwenhuis_batter': {'Salary': 2200.0, 'projected_FD_points': 3.0159727267646566, 'confidence': 0.14002867835956412, 'FD_Position': 'OF'}, 'Troy Tulowitzki_batter': {'Salary': 4300.0, 'projected_FD_points': 4.0320585734221019, 'confidence': -0.68896772138296014, 'FD_Position': 'SS'}}</t>
  </si>
  <si>
    <t>{'Ian Desmond_batter': {'Salary': 3300.0, 'projected_FD_points': 2.5056185907262791, 'confidence': -0.12701122056464964, 'FD_Position': 'SS'}, 'Johnny Cueto_pitcher': {'Salary': 10400.0, 'projected_FD_points': 15.640846271391442, 'confidence': -7.9211148084074718,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</si>
  <si>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'Devon Travis_batter': {'Salary': 3300.0, 'projected_FD_points': 5.195582677969564, 'confidence': -0.87894616373838241,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'Troy Tulowitzki_batter': {'Salary': 4300.0, 'projected_FD_points': 3.8526733654022287, 'confidence': -0.0050153771506280531, 'FD_Position': 'SS'}, 'Hanley Ramirez_batter': {'Salary': 3700.0, 'projected_FD_points': 3.5063699388735117, 'confidence': -0.015053423668804911, 'FD_Position': 'OF'}, 'Andrew Susac_batter': {'Salary': 2400.0, 'projected_FD_points': 3.0125000000000002, 'confidence': -0.0020691584601610913, 'FD_Position': 'C'}}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</si>
  <si>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3.2384932287329624, 'confidence': -0.38719334014021767, 'FD_Position': 'OF'}, 'Robinson Cano_batter': {'Salary': 3800.0, 'projected_FD_points': 2.8853360256928022, 'confidence': -0.073295496147898653,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'Troy Tulowitzki_batter': {'Salary': 4300.0, 'projected_FD_points': 3.8526733654022287, 'confidence': -0.0050153771506280531, 'FD_Position': 'SS'}, 'Michael Cuddyer_batter': {'Salary': 2800.0, 'projected_FD_points': 2.8953841488302543, 'confidence': 0.00037912433420050906, 'FD_Position': 'OF'}, 'Andrew Susac_batter': {'Salary': 2400.0, 'projected_FD_points': 3.0125000000000002, 'confidence': -0.0020691584601610913, 'FD_Position': 'C'}}</t>
  </si>
  <si>
    <t>{'Alex Rodriguez_batter': {'Salary': 3200.0, 'projected_FD_points': 3.620981634273484, 'confidence': -0.13583272990416062, 'FD_Position': '3B'}, 'Corey Kluber_pitcher': {'Salary': 9800.0, 'projected_FD_points': 10.75884019335145, 'confidence': 0.12854864251379772, 'FD_Position': 'P'}, 'Steve Souza_batter': {'Salary': 3600.0, 'projected_FD_points': 3.2384932287329624, 'confidence': -0.38719334014021767,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2.3235507246376805, 'confidence': -3.1464378544423406, 'FD_Position': 'C'}, 'Hanley Ramirez_batter': {'Salary': 3700.0, 'projected_FD_points': 3.5063699388735117, 'confidence': -0.015053423668804911,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</si>
  <si>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6.875, 'confidence': 0, 'FD_Position': '2B'}, 'Steve Souza_batter': {'Salary': 3700.0, 'projected_FD_points': 3.5080473785054873, 'confidence': -0.67947231703020083, 'FD_Position': 'OF'}, 'Paulo Orlando_batter': {'Salary': 3000.0, 'projected_FD_points': 11.029999999999999, 'confidence': 0, 'FD_Position': 'OF'},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'Chris Archer_pitcher': {'Salary': 8500.0, 'projected_FD_points': 13.401369073404458, 'confidence': -2.1000593545169544, 'FD_Position': 'P'},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</si>
  <si>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11.721793048469788, 'confidence': -0.099515053776102258, 'FD_Position': 'P'}, 'Alexander Guerrero_batter': {'Salary': 2800.0, 'projected_FD_points': 6.875,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</si>
  <si>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'Brandon McCarthy_pitcher': {'Salary': 7800.0, 'projected_FD_points': 12.6959527812052, 'confidence': 0.25743875270692507, 'FD_Position': 'P'}, 'Robinson Cano_batter': {'Salary': 3800.0, 'projected_FD_points': 2.9877370470164553, 'confidence': -0.056321368431124563, 'FD_Position': '2B'}, 'Paul Goldschmidt_batter': {'Salary': 4800.0, 'projected_FD_points': 3.6486561595434788, 'confidence': -0.018921806551593479, 'FD_Position': '1B'}, 'Carlos Gonzalez_batter': {'Salary': 3100.0, 'projected_FD_points': 3.0061728395061729, 'confidence': -0.0049002632153880565, 'FD_Position': 'OF'}, 'Troy Tulowitzki_batter': {'Salary': 4700.0, 'projected_FD_points': 3.7291480881440791, 'confidence': -0.0012908545467869015, 'FD_Position': 'SS'}, 'Hanley Ramirez_batter': {'Salary': 3600.0, 'projected_FD_points': 3.5354506897842164, 'confidence': -0.038789011254219741, 'FD_Position': 'OF'}, 'Andrew Susac_batter': {'Salary': 2200.0, 'projected_FD_points': 2.9793597809903463, 'confidence': -0.52686278653725416, 'FD_Position': 'C'}}</t>
  </si>
  <si>
    <t>{'Alex Rodriguez_batter': {'Salary': 3300.0, 'projected_FD_points': 3.7042654410578946, 'confidence': -1.4406879730059687, 'FD_Position': '3B'}, 'Steve Souza_batter': {'Salary': 3700.0, 'projected_FD_points': 4.5335727500272061, 'confidence': -4.9256765854730746, 'FD_Position': 'OF'}, 'Matt Harvey_pitcher': {'Salary': 10100.0, 'projected_FD_points': 13.122392855673921, 'confidence': -2.710699275620974,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</si>
  <si>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'Scott Kazmir_pitcher': {'Salary': 9100.0, 'projected_FD_points': 14.938576292325248, 'confidence': -0.017577520847283923, 'FD_Position': 'P'}, 'Devon Travis_batter': {'Salary': 3100.0, 'projected_FD_points': 10.468691588785045, 'confidence': -0.68437323762170243, 'FD_Position': '2B'}, 'Paulo Orlando_batter': {'Salary': 3000.0, 'projected_FD_points': 4.2333333333333334, 'confidence': 0, 'FD_Position': 'OF'}, 'Paul Goldschmidt_batter': {'Salary': 5100.0, 'projected_FD_points': 3.6454707883261861, 'confidence': 0.00707536233710504, 'FD_Position': '1B'}, 'Jacob Realmuto_batter': {'Salary': 2200.0, 'projected_FD_points': 2.4545454545454546,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Cuddyer_batter': {'Salary': 3200.0, 'projected_FD_points': 3.1783625730994154, 'confidence': -0.175858194753723, 'FD_Position': 'OF'}}</t>
  </si>
  <si>
    <t>{'Shin-Soo Choo_batter': {'Salary': 2700.0, 'projected_FD_points': 2.7450677038230253, 'confidence': -0.074612804932762566, 'FD_Position': 'OF'}, 'Scott Kazmir_pitcher': {'Salary': 9100.0, 'projected_FD_points': 14.938576292325248, 'confidence': -0.017577520847283923, 'FD_Position': 'P'}, 'Carlos Corporan_batter': {'Salary': 2500.0, 'projected_FD_points': 2.0662909791565491, 'confidence': -0.12710092757229119, 'FD_Position': 'C'}, 'Kole Calhoun_batter': {'Salary': 3600.0, 'projected_FD_points': 2.912974683544304, 'confidence': -0.062941575213223855, 'FD_Position': 'OF'}, 'Paul Goldschmidt_batter': {'Salary': 5100.0, 'projected_FD_points': 3.6454707883261861, 'confidence': 0.00707536233710504, 'FD_Position': '1B'}, 'Oswaldo Arcia_batter': {'Salary': 3000.0, 'projected_FD_points': 2.6458792470214729, 'confidence': 0.030281555318638187,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'3B'}, 'Brian Dozier_batter': {'Salary': 3100.0, 'projected_FD_points': 2.6598727893616996, 'confidence': -0.021840653596922888, 'FD_Position': '2B'}}</t>
  </si>
  <si>
    <t>{'Jose Quintana_pitcher': {'Salary': 8000.0, 'projected_FD_points': 8.4582965188068773, 'confidence': -0.12046272361702592, 'FD_Position': 'P'}, 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'Jose Abreu_batter': {'Salary': 4400.0, 'projected_FD_points': 3.3765180144631546, 'confidence': 0.012833904945643293, 'FD_Position': '1B'}, 'Carlos Gonzalez_batter': {'Salary': 3500.0, 'projected_FD_points': 3.0263975155279503, 'confidence': -0.0027493668088249823, 'FD_Position': 'OF'},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</si>
  <si>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13.99136392108667, 'confidence': -0.61832240692945639,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3.856257103428371, 'confidence': -0.0045007650742447947, 'FD_Position': 'SS'}, 'Jose Lobaton_batter': {'Salary': 2300.0, 'projected_FD_points': 1.5758196721311475, 'confidence': -6.5827186926936676e-05, 'FD_Position': 'C'}}</t>
  </si>
  <si>
    <t>{'Steve Souza_batter': {'Salary': 3900.0, 'projected_FD_points': 3.8027319979716023, 'confidence': 0.012843355389883349,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13.449678252267697, 'confidence': -0.25651407537511139,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</si>
  <si>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15.068437378663711, 'confidence': -0.0087898869956297698,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'Jacob Realmuto_batter': {'Salary': 2300.0, 'projected_FD_points': 3.9396551724137927, 'confidence': -3.1041200951248502, 'FD_Position': 'C'},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</si>
  <si>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15.229657790554658, 'confidence': -0.020318862167670204,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</si>
  <si>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15.068437378663711, 'confidence': -0.0087898869956297698,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3.2465934981521283, 'confidence': -0.07127842929067163,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</si>
  <si>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{'Odubel Herrera_batter': {'Salary': 3000.0, 'projected_FD_points': 3.6493333333333329, 'confidence': 0, 'FD_Position': 'OF'}, 'Alex Rodriguez_batter': {'Salary': 3800.0, 'projected_FD_points': 3.6909394792399715, 'confidence': -1.4795666631871929, 'FD_Position': '3B'}, 'David Ortiz_batter': {'Salary': 3700.0, 'projected_FD_points': 3.0989720035274155, 'confidence': -0.0002605895494476318, 'FD_Position': '1B'}, 'Paulo Orlando_batter': {'Salary': 3000.0, 'projected_FD_points': 3.5, 'confidence': 0, 'FD_Position': 'OF'}, 'Collin McHugh_pitcher': {'Salary': 8900.0, 'projected_FD_points': 13.244599865941414, 'confidence': -0.5439354239723051,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'Andrew Susac_batter': {'Salary': 2200.0, 'projected_FD_points': 2.670193876758101, 'confidence': -0.267373170236755, 'FD_Position': 'C'}, 'Rafael Ynoa_batter': {'Salary': 2800.0, 'projected_FD_points': 2.4895161290322583, 'confidence': -0.35921572860847428, 'FD_Position': '2B'}}</t>
  </si>
  <si>
    <t>{'Derek Norris_batter': {'Salary': 3000.0, 'projected_FD_points': 2.0148809523809526, 'confidence': -0.0051770048959460802, 'FD_Position': 'C'},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'Todd Frazier_batter': {'Salary': 3400.0, 'projected_FD_points': 2.4669517197288586, 'confidence': -0.0094108950590412466, 'FD_Position': '3B'}, 'Jason Vargas_pitcher': {'Salary': 7500.0, 'projected_FD_points': 10.654468767473958, 'confidence': -0.21308887632617646,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'Jose Abreu_batter': {'Salary': 4400.0, 'projected_FD_points': 3.2270056240700109, 'confidence': -0.00080418634397161348, 'FD_Position': '1B'}}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</si>
  <si>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'Ryan Raburn_batter': {'Salary': 2400.0, 'projected_FD_points': 2.4399974856773405, 'confidence': -0.49878302488530979, 'FD_Position': 'OF'}, 'Trevor Bauer_pitcher': {'Salary': 8800.0, 'projected_FD_points': 17.022825245667999, 'confidence': 0.36342084010523124, 'FD_Position': 'P'}, 'Marlon Byrd_batter': {'Salary': 2200.0, 'projected_FD_points': 2.5923507462686568, 'confidence': -0.072185348141961647, 'FD_Position': 'OF'},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'Khris Davis_batter': {'Salary': 2600.0, 'projected_FD_points': 2.6666504428120321, 'confidence': -0.1020783200955595, 'FD_Position': 'OF'}, 'Rafael Ynoa_batter': {'Salary': 2800.0, 'projected_FD_points': 2.7593545908567045, 'confidence': -0.016873811228219182, 'FD_Position': '2B'}}</t>
  </si>
  <si>
    <t>{'Torii Hunter_batter': {'Salary': 2800.0, 'projected_FD_points': 2.5291353383458648, 'confidence': -0.00024894344625514542, 'FD_Position': 'OF'}, 'Geovany Soto_batter': {'Salary': 2300.0, 'projected_FD_points': 1.9677454067483247, 'confidence': -1.0036036630748471, 'FD_Position': 'C'}, 'Trevor Bauer_pitcher': {'Salary': 8800.0, 'projected_FD_points': 17.022825245667999, 'confidence': 0.36342084010523124, 'FD_Position': 'P'}, 'Oswaldo Arcia_batter': {'Salary': 3100.0, 'projected_FD_points': 2.6669150694439172, 'confidence': 0.078864570425302816, 'FD_Position': 'OF'}, 'Alex Gordon_batter': {'Salary': 3300.0, 'projected_FD_points': 2.5844481605351173, 'confidence': -0.076976398671185997, 'FD_Position': 'OF'}, 'Conor Gillaspie_batter': {'Salary': 2200.0, 'projected_FD_points': 2.3312412020496236, 'confidence': -0.31047146995484209, 'FD_Position': '3B'},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</si>
  <si>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'David Ortiz_batter': {'Salary': 3600.0, 'projected_FD_points': 3.1609848484848486, 'confidence': -0.046113206381183103, 'FD_Position': '1B'}, 'Justin Turner_batter': {'Salary': 2500.0, 'projected_FD_points': 2.5510339727807412, 'confidence': 0.12955894835090698, 'FD_Position': '2B'},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'Troy Tulowitzki_batter': {'Salary': 4900.0, 'projected_FD_points': 3.6112982802368192, 'confidence': -0.023243084195948782, 'FD_Position': 'SS'}, 'Hanley Ramirez_batter': {'Salary': 4100.0, 'projected_FD_points': 3.433971803038411, 'confidence': -0.059985139917029695, 'FD_Position': 'OF'}}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</si>
  <si>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'Tim Beckham_batter': {'Salary': 2300.0, 'projected_FD_points': 2.125, 'confidence': 0, 'FD_Position': 'SS'},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'OF'}, 'Miguel Cabrera_batter': {'Salary': 5100.0, 'projected_FD_points': 3.5715488215488214, 'confidence': -0.0079646622786113674, 'FD_Position': '1B'}}</t>
  </si>
  <si>
    <t>{'Adrian Beltre_batter': {'Salary': 3400.0, 'projected_FD_points': 2.6032986111111112, 'confidence': -0.035627592614581038, 'FD_Position': '3B'}, 'Shin-Soo Choo_batter': {'Salary': 2800.0, 'projected_FD_points': 2.9529473508889428, 'confidence': -0.010797191744675638, 'FD_Position': 'OF'}, 'Brandon McCarthy_pitcher': {'Salary': 7900.0, 'projected_FD_points': 14.799371253029808, 'confidence': -0.23225426275435712, 'FD_Position': 'P'},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3.3550609914887359, 'confidence': -0.1090407515943308, 'FD_Position': 'OF'}, 'Prince Fielder_batter': {'Salary': 3700.0, 'projected_FD_points': 2.5692543287461644, 'confidence': -0.0039636388207848761, 'FD_Position': '1B'}, 'Troy Tulowitzki_batter': {'Salary': 4900.0, 'projected_FD_points': 3.6112982802368192, 'confidence': -0.023243084195948782, 'FD_Position': 'SS'}, 'Andrew Susac_batter': {'Salary': 2200.0, 'projected_FD_points': 2.617227645312139, 'confidence': -5.6147831318926249,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</si>
  <si>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'Neil Walker_batter': {'Salary': 3500.0, 'projected_FD_points': 2.6360121437203969, 'confidence': -0.01944321881741784, 'FD_Position': '2B'}, 'Steve Souza_batter': {'Salary': 3900.0, 'projected_FD_points': 4.0687416777629828, 'confidence': -0.017461315753846796, 'FD_Position': 'OF'}, 'Zack Greinke_pitcher': {'Salary': 10100.0, 'projected_FD_points': 14.664521959459552, 'confidence': -0.38626024773486267, 'FD_Position': 'P'}, 'Allan Dykstra_batter': {'Salary': 3000.0, 'projected_FD_points': 7.5, 'confidence': 0, 'FD_Position': '1B'}, 'Rene Rivera_batter': {'Salary': 2200.0, 'projected_FD_points': 2.1398659794775252, 'confidence': -0.54825262452817736, 'FD_Position': 'C'}, 'Asdrubal Cabrera_batter': {'Salary': 2800.0, 'projected_FD_points': 2.3419395590205547, 'confidence': -0.027718259466972262, 'FD_Position': 'SS'}, 'Michael Cuddyer_batter': {'Salary': 3300.0, 'projected_FD_points': 3.0826113494599525, 'confidence': -0.31684383908861191, 'FD_Position': 'OF'}}</t>
  </si>
  <si>
    <t>{'Shin-Soo Choo_batter': {'Salary': 2900.0, 'projected_FD_points': 3.1665539730937828, 'confidence': -0.11111349264404891, 'FD_Position': 'OF'}, 'Hanley Ramirez_batter': {'Salary': 4200.0, 'projected_FD_points': 3.4731160106062147, 'confidence': -0.025053088387748224, 'FD_Position': 'OF'}, 'Steve Souza_batter': {'Salary': 3900.0, 'projected_FD_points': 5.6709237343852728, 'confidence': -0.074255078583995715, 'FD_Position': 'OF'}, 'Devon Travis_batter': {'Salary': 2800.0, 'projected_FD_points': 7.9374999999999982, 'confidence': 0, 'FD_Position': '2B'}, 'Paul Goldschmidt_batter': {'Salary': 5000.0, 'projected_FD_points': 3.6384891279514946, 'confidence': 0.022035687936784343, 'FD_Position': '1B'}, 'Jimmy Nelson_pitcher': {'Salary': 6800.0, 'projected_FD_points': 17.173685532618798, 'confidence': 0.53077433000796725, 'FD_Position': 'P'}, 'Jacob Realmuto_batter': {'Salary': 2400.0, 'projected_FD_points': 2.71875, 'confidence': 0, 'FD_Position': 'C'}, 'Daniel Santana_batter': {'Salary': 3300.0, 'projected_FD_points': 3.1522683644086831, 'confidence': -0.064866282765758454, 'FD_Position': 'SS'}, 'Josh Harrison_batter': {'Salary': 3100.0, 'projected_FD_points': 2.730395351363093, 'confidence': -0.45399345943696834, 'FD_Position': '3B'}}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</si>
  <si>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14.106390997668079, 'confidence': -1.1307209336446724,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</si>
  <si>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{'Corey Kluber_pitcher': {'Salary': 10700.0, 'projected_FD_points': 15.065508607113486, 'confidence': 0.14323129351321684, 'FD_Position': 'P'}, 'Evan Gattis_batter': {'Salary': 2900.0, 'projected_FD_points': 2.3911173970829984, 'confidence': -0.30075700483869183, 'FD_Position': 'C'},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'OF'}, 'Brian Dozier_batter': {'Salary': 3100.0, 'projected_FD_points': 2.5519018272619256, 'confidence': 0.0021401409458694509, 'FD_Position': '2B'}}</t>
  </si>
  <si>
    <t>{'Kris Bryant_batter': {'Salary': 4000.0, 'projected_FD_points': 3.6009027729272889, 'confidence': -0.054510057305074522, 'FD_Position': '3B'}, 'Devin Mesoraco_batter': {'Salary': 2200.0, 'projected_FD_points': 2.4051724137931036, 'confidence': -0.08536901475710601, 'FD_Position': 'C'}, 'James Shields_pitcher': {'Salary': 8800.0, 'projected_FD_points': 15.460846683686871, 'confidence': -0.033551225434373277, 'FD_Position': 'P'}, 'Todd Cunningham_batter': {'Salary': 2200.0, 'projected_FD_points': 5.75, 'confidence': 0, 'FD_Position': 'OF'}, 'Joc Pederson_batter': {'Salary': 3700.0, 'projected_FD_points': 3.3792210141566317, 'confidence': -1.2578319281599395,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'Jose Abreu_batter': {'Salary': 3700.0, 'projected_FD_points': 3.3875711533600077, 'confidence': -0.1693251846292636, 'FD_Position': '1B'}, 'Rafael Ynoa_batter': {'Salary': 2600.0, 'projected_FD_points': 3.3563385146804836, 'confidence': -0.18851300418724026, 'FD_Position': '2B'}}</t>
  </si>
  <si>
    <t>{'Shin-Soo Choo_batter': {'Salary': 3400.0, 'projected_FD_points': 3.3032766195646346, 'confidence': -0.084367715148951916, 'FD_Position': 'OF'}, 'Taylor Featherston_batter': {'Salary': 2200.0, 'projected_FD_points': 6.6159999999999997, 'confidence': 0, 'FD_Position': '2B'}, 'Josh Donaldson_batter': {'Salary': 3700.0, 'projected_FD_points': 2.8693161220759, 'confidence': 0.037497493946313076, 'FD_Position': '3B'}, 'Todd Cunningham_batter': {'Salary': 2200.0, 'projected_FD_points': 4.666666666666667, 'confidence': 0, 'FD_Position': 'OF'}, 'Joc Pederson_batter': {'Salary': 3700.0, 'projected_FD_points': 3.4852941176470589, 'confidence': -0.86411870163618687, 'FD_Position': 'OF'}, 'Andrew Susac_batter': {'Salary': 2200.0, 'projected_FD_points': 3.3220926577090562, 'confidence': -6.2956237713618624, 'FD_Position': 'C'}, 'Troy Tulowitzki_batter': {'Salary': 4400.0, 'projected_FD_points': 3.9514137994980545, 'confidence': -0.065831084774517601, 'FD_Position': 'SS'}, 'Jose Abreu_batter': {'Salary': 3600.0, 'projected_FD_points': 3.2693823774446553, 'confidence': 0.023425191011894442, 'FD_Position': '1B'}, 'Tyson Ross_pitcher': {'Salary': 8900.0, 'projected_FD_points': 12.266849380110832, 'confidence': 0.12507929619566127, 'FD_Position': 'P'}}</t>
  </si>
  <si>
    <t>{'Adrian Beltre_batter': {'Salary': 3100.0, 'projected_FD_points': 2.6270496172530309, 'confidence': -0.017216904748005746, 'FD_Position': '3B'}, 'Shin-Soo Choo_batter': {'Salary': 3300.0, 'projected_FD_points': 3.3468619560821837, 'confidence': -0.051938781279083024,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'Derek Norris_batter': {'Salary': 3000.0, 'projected_FD_points': 2.2885638297872339, 'confidence': -0.53377163468717792, 'FD_Position': 'C'},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'OF'}, 'Jacob deGrom_pitcher': {'Salary': 9100.0, 'projected_FD_points': 13.127219546670222, 'confidence': -0.44273308507648879, 'FD_Position': 'P'}}</t>
  </si>
  <si>
    <t>{'Chris Davis_batter': {'Salary': 3200.0, 'projected_FD_points': 2.9764808362369339, 'confidence': -0.0072777236934953304, 'FD_Position': '1B'}, 'Robinson Cano_batter': {'Salary': 3000.0, 'projected_FD_points': 2.9217025656673172, 'confidence': -0.26836534720334204,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'Kyle Seager_batter': {'Salary': 3000.0, 'projected_FD_points': 2.5035642745858637, 'confidence': -0.077583708736396861, 'FD_Position': '3B'}, 'Michael Cuddyer_batter': {'Salary': 2400.0, 'projected_FD_points': 2.832460732984293, 'confidence': -0.045355582969840214, 'FD_Position': 'OF'}, 'Michael McKenry_batter': {'Salary': 2700.0, 'projected_FD_points': 2.002169909252252, 'confidence': -0.127588425381846, 'FD_Position': 'C'}, 'Jacob deGrom_pitcher': {'Salary': 9100.0, 'projected_FD_points': 13.127219546670222, 'confidence': -0.44273308507648879, 'FD_Position': 'P'}}</t>
  </si>
  <si>
    <t>{'Ben Paulsen_batter': {'Salary': 2200.0, 'projected_FD_points': 2.1127407704654897, 'confidence': -1.4090565033790319, 'FD_Position': '1B'}, 'Madison Bumgarner_pitcher': {'Salary': 10100.0, 'projected_FD_points': 13.346466073575966, 'confidence': -0.10681208412616283, 'FD_Position': 'P'}, 'Hunter Pence_batter': {'Salary': 3400.0, 'projected_FD_points': 2.6860841423948218, 'confidence': -0.014495161099696841, 'FD_Position': 'OF'},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'Michael McKenry_batter': {'Salary': 2700.0, 'projected_FD_points': 2.002169909252252, 'confidence': -0.127588425381846, 'FD_Position': 'C'}}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</si>
  <si>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11.497457322411659, 'confidence': 0.45123402059114048,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</si>
  <si>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{'Kris Bryant_batter': {'Salary': 4000.0, 'projected_FD_points': 3.6103392758972745, 'confidence': -1.4695256848538296, 'FD_Position': '3B'}, 'Todd Cunningham_batter': {'Salary': 2200.0, 'projected_FD_points': 14.89485596707819, 'confidence': 0, 'FD_Position': 'OF'}, 'Zack Greinke_pitcher': {'Salary': 9900.0, 'projected_FD_points': 14.182198385494015, 'confidence': 0.10512104814069367, 'FD_Position': 'P'}, 'Justin Turner_batter': {'Salary': 2700.0, 'projected_FD_points': 2.6559731937787756, 'confidence': -0.12282952853883655, 'FD_Position': '2B'},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Cuddyer_batter': {'Salary': 2300.0, 'projected_FD_points': 2.8880208333333335, 'confidence': -0.0020433531663359705, 'FD_Position': 'OF'}, 'Paul Goldschmidt_batter': {'Salary': 4900.0, 'projected_FD_points': 3.7730884120837596, 'confidence': -0.079358357752299602, 'FD_Position': '1B'},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</si>
  <si>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12.08153363511687, 'confidence': -0.2903570913721214,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</si>
  <si>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35.04756174124374,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</si>
  <si>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35.04756174124374,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</si>
  <si>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11.690250683337283, 'confidence': 0.018317690128915265,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</si>
  <si>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'Rafael Ynoa_batter': {'Salary': 2700.0, 'projected_FD_points': 4.6128767532079973, 'confidence': 0.26023872778316215, 'FD_Position': '2B'},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</si>
  <si>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12.421133605346476, 'confidence': 0.016625524502157041,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</si>
  <si>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</si>
  <si>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{'Jason Kipnis_batter': {'Salary': 4700.0, 'projected_FD_points': 1.745755797140208, 'confidence': 0.12624572986857019, 'FD_Position': '2B'}, 'Shin-Soo Choo_batter': {'Salary': 3400.0, 'projected_FD_points': 2.9918179544574564, 'confidence': 0.047674517243370573, 'FD_Position': 'OF'}, 'Alex Rodriguez_batter': {'Salary': 3300.0, 'projected_FD_points': 2.8619572488763461, 'confidence': -0.012958023628143467, 'FD_Position': '3B'}, 'Tsuyoshi Wada_pitcher': {'Salary': 6400.0, 'projected_FD_points': 15.750965681393414, 'confidence': -10.242194813007423, 'FD_Position': 'P'}, 'Carlos Ruiz_batter': {'Salary': 2500.0, 'projected_FD_points': 1.8103506448201807, 'confidence': 0.019207006544092908, 'FD_Position': 'C'}, 'Paul Goldschmidt_batter': {'Salary': 5200.0, 'projected_FD_points': 3.7702580933055541, 'confidence': 0.019524052488018695, 'FD_Position': '1B'}, 'Jhonny Peralta_batter': {'Salary': 3100.0, 'projected_FD_points': 2.3114035087719298, 'confidence': -0.0074954504343816009, 'FD_Position': 'SS'}, 'Marcell Ozuna_batter': {'Salary': 2700.0, 'projected_FD_points': 2.302024601305801, 'confidence': 0.053355994656945627, 'FD_Position': 'OF'}, 'Hanley Ramirez_batter': {'Salary': 3400.0, 'projected_FD_points': 3.265273275706825, 'confidence': -0.001120176523079941, 'FD_Position': 'OF'}}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</si>
  <si>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10.964706906310795, 'confidence': -0.10016523887843198, 'FD_Position': 'P'}}</t>
  </si>
  <si>
    <t>{'Kris Bryant_batter': {'Salary': 4100.0, 'projected_FD_points': 3.5405666504302649, 'confidence': -3.924373398945284, 'FD_Position': '3B'}, 'Shane Greene_pitcher': {'Salary': 7500.0, 'projected_FD_points': 12.145630044277262, 'confidence': -1.8128069545565322, 'FD_Position': 'P'}, 'Elvis Andrus_batter': {'Salary': 2500.0, 'projected_FD_points': 2.0125391849529781, 'confidence': -0.097508862271508789, 'FD_Position': 'SS'}, 'Paul Goldschmidt_batter': {'Salary': 5200.0, 'projected_FD_points': 3.7702580933055541, 'confidence': 0.019524052488018695, 'FD_Position': '1B'}, 'Daniel Murphy_batter': {'Salary': 2800.0, 'projected_FD_points': 2.4442692240881465, 'confidence': -0.0060357134815605118, 'FD_Position': '2B'}, 'Ryan Braun_batter': {'Salary': 4600.0, 'projected_FD_points': 3.3426131071134968, 'confidence': -0.10200946204374328,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</si>
  <si>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15.799076128432635, 'confidence': 0.052648266249473274,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</si>
  <si>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{'Max Scherzer_pitcher': {'Salary': 11800.0, 'projected_FD_points': 16.608325512090065, 'confidence': -0.34733728447515588, 'FD_Position': 'P'}, 'Robinson Cano_batter': {'Salary': 2700.0, 'projected_FD_points': 2.752615449471723, 'confidence': -0.032060369702729075, 'FD_Position': '2B'}, 'Justin Turner_batter': {'Salary': 2600.0, 'projected_FD_points': 2.620509206310988, 'confidence': -0.10664998156649252, 'FD_Position': '3B'}, 'Carlos Gonzalez_batter': {'Salary': 2900.0, 'projected_FD_points': 3.2396001506133416, 'confidence': -0.076652712045118143, 'FD_Position': 'OF'},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'Jose Abreu_batter': {'Salary': 3200.0, 'projected_FD_points': 3.2120870888310726, 'confidence': 0.079653660747917576, 'FD_Position': '1B'}, 'Michael Cuddyer_batter': {'Salary': 2400.0, 'projected_FD_points': 2.8801020408163267, 'confidence': -0.011169646017365809, 'FD_Position': 'OF'}, 'Jason Castro_batter': {'Salary': 2400.0, 'projected_FD_points': 2.3378099173553717, 'confidence': -0.57310356820838826, 'FD_Position': 'C'}}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</si>
  <si>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'Felix Hernandez_pitcher': {'Salary': 11500.0, 'projected_FD_points': 13.291369036011515, 'confidence': -0.0073518405971402245, 'FD_Position': 'P'}, 'Carlos Gonzalez_batter': {'Salary': 2900.0, 'projected_FD_points': 3.2396001506133416, 'confidence': -0.076652712045118143, 'FD_Position': 'OF'}, 'Kyle Seager_batter': {'Salary': 3200.0, 'projected_FD_points': 2.7166378000219518, 'confidence': -0.28005414385261984, 'FD_Position': '3B'},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'OF'}, 'Michael McKenry_batter': {'Salary': 2500.0, 'projected_FD_points': 2.1228572191371207, 'confidence': -0.062370487389752371, 'FD_Position': 'C'}}</t>
  </si>
  <si>
    <t>{'Matt Kemp_batter': {'Salary': 2300.0, 'projected_FD_points': 2.5772788060584202, 'confidence': -0.00097563308823422901, 'FD_Position': 'OF'}, 'Max Scherzer_pitcher': {'Salary': 11800.0, 'projected_FD_points': 16.608325512090065, 'confidence': -0.34733728447515588, 'FD_Position': 'P'},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'Justin Turner_batter': {'Salary': 2600.0, 'projected_FD_points': 2.620509206310988, 'confidence': -0.10664998156649252, 'FD_Position': '3B'}, 'Joc Pederson_batter': {'Salary': 3700.0, 'projected_FD_points': 3.1528637719145753, 'confidence': -0.1138279381498386, 'FD_Position': 'OF'}, 'Jimmy Rollins_batter': {'Salary': 2700.0, 'projected_FD_points': 2.1757236509370217, 'confidence': 0.01216881014165494, 'FD_Position': 'SS'}}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</si>
  <si>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'Carlos Gomez_batter': {'Salary': 4000.0, 'projected_FD_points': 2.9713071750581728, 'confidence': -0.0022677926564789175, 'FD_Position': 'OF'}, 'Felix Hernandez_pitcher': {'Salary': 11500.0, 'projected_FD_points': 13.291369036011515, 'confidence': -0.0073518405971402245, 'FD_Position': 'P'}, 'Daniel Santana_batter': {'Salary': 2600.0, 'projected_FD_points': 2.5543958275907093, 'confidence': -0.094627801711601567, 'FD_Position': 'SS'}, 'Salvador Perez_batter': {'Salary': 2500.0, 'projected_FD_points': 2.1109669834129572, 'confidence': -0.064545398617036343, 'FD_Position': 'C'}, 'Kyle Seager_batter': {'Salary': 3200.0, 'projected_FD_points': 2.7166378000219518, 'confidence': -0.28005414385261984, 'FD_Position': '3B'},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</si>
  <si>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14.509523771217122, 'confidence': -0.63117758694629056,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</si>
  <si>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13.997206961168423, 'confidence': 0.013502163302945069, 'FD_Position': 'P'}}</t>
  </si>
  <si>
    <t>{'Alex Rodriguez_batter': {'Salary': 3300.0, 'projected_FD_points': 3.1553181458726201, 'confidence': 0.0075263473136326642, 'FD_Position': '3B'}, 'Corey Kluber_pitcher': {'Salary': 10500.0, 'projected_FD_points': 13.997206961168423, 'confidence': 0.013502163302945069,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</si>
  <si>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{'Shin-Soo Choo_batter': {'Salary': 3400.0, 'projected_FD_points': 3.4427123928293066, 'confidence': -0.11097825109189352, 'FD_Position': 'OF'},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'James Shields_pitcher': {'Salary': 9300.0, 'projected_FD_points': 13.704174676269268, 'confidence': -0.04718886107003506, 'FD_Position': 'P'}, 'Paul Goldschmidt_batter': {'Salary': 5100.0, 'projected_FD_points': 3.6051974783124874, 'confidence': -0.0091650699709535655, 'FD_Position': '1B'}, 'Kirk Nieuwenhuis_batter': {'Salary': 2200.0, 'projected_FD_points': 2.7524056403731976, 'confidence': -0.1082097310533221,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</si>
  <si>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'Preston Tucker_batter': {'Salary': 3000.0, 'projected_FD_points': 7.0743902439024406, 'confidence': -6.1340751981935009, 'FD_Position': 'OF'}, 'Mike Trout_batter': {'Salary': 5100.0, 'projected_FD_points': 3.4939209726443767, 'confidence': -0.074103676425163245, 'FD_Position': 'OF'}, 'Troy Tulowitzki_batter': {'Salary': 3900.0, 'projected_FD_points': 3.6948368697650533, 'confidence': 0.012033070355922604, 'FD_Position': 'SS'}, 'Carlos Frias_pitcher': {'Salary': 6200.0, 'projected_FD_points': 12.463216930183393, 'confidence': 0, 'FD_Position': 'P'},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</si>
  <si>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'Jhonny Peralta_batter': {'Salary': 3300.0, 'projected_FD_points': 2.4193773225748227, 'confidence': -0.0065533961904289395, 'FD_Position': 'SS'}, 'Carlos Frias_pitcher': {'Salary': 6200.0, 'projected_FD_points': 12.463216930183393, 'confidence': 0, 'FD_Position': 'P'},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</si>
  <si>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{'Dee Gordon_batter': {'Salary': 3700.0, 'projected_FD_points': 2.6044175687587279, 'confidence': -0.092468671400326219, 'FD_Position': '2B'}, 'Jose Quintana_pitcher': {'Salary': 7600.0, 'projected_FD_points': 10.928089594438561, 'confidence': -0.049357015443208363,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'Michael McKenry_batter': {'Salary': 2500.0, 'projected_FD_points': 2.2567567567567566, 'confidence': -7.3536260729589742e-06, 'FD_Position': 'C'}}</t>
  </si>
  <si>
    <t>{'Dee Gordon_batter': {'Salary': 3700.0, 'projected_FD_points': 2.6044175687587279, 'confidence': -0.092468671400326219, 'FD_Position': '2B'}, 'Evan Gattis_batter': {'Salary': 4000.0, 'projected_FD_points': 2.4734299516908211, 'confidence': -0.28036012946008237, 'FD_Position': 'C'}, 'Justin Turner_batter': {'Salary': 2600.0, 'projected_FD_points': 2.6903277211944849, 'confidence': -0.17112307211600908, 'FD_Position': '3B'}, 'Carlos Frias_pitcher': {'Salary': 6200.0, 'projected_FD_points': 12.463216930183393, 'confidence': 0, 'FD_Position': 'P'},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'Michael Cuddyer_batter': {'Salary': 2700.0, 'projected_FD_points': 3.0075757575757578, 'confidence': -0.066896480861600605, 'FD_Position': 'OF'}, 'Jhonny Peralta_batter': {'Salary': 3300.0, 'projected_FD_points': 2.4193773225748227, 'confidence': -0.0065533961904289395, 'FD_Position': 'SS'},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</si>
  <si>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12.731165130433812, 'confidence': -0.19182052271517169,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</si>
  <si>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12.731165130433812, 'confidence': -0.19182052271517169,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</si>
  <si>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'Jarrod Saltalamacchia_batter': {'Salary': 2200.0, 'projected_FD_points': 2.1701402596317529, 'confidence': -0.0014561664362431337, 'FD_Position': 'C'}, 'Howie Kendrick_batter': {'Salary': 2800.0, 'projected_FD_points': 2.3016949152542372, 'confidence': -0.0056705711282543092,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</si>
  <si>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'Jose Bautista_batter': {'Salary': 4600.0, 'projected_FD_points': 3.3298264774250512, 'confidence': 0.0032300824113262738, 'FD_Position': 'OF'}, 'David Ortiz_batter': {'Salary': 2600.0, 'projected_FD_points': 2.9585738651438871, 'confidence': -0.010724398776818855, 'FD_Position': '1B'},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'Hanley Ramirez_batter': {'Salary': 3400.0, 'projected_FD_points': 3.1902173913043477, 'confidence': -0.053169755943737629, 'FD_Position': 'OF'}, 'Dustin Pedroia_batter': {'Salary': 3200.0, 'projected_FD_points': 2.3765624999999999, 'confidence': -0.0037146897249427102, 'FD_Position': '2B'}}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</si>
  <si>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16.336099352931345, 'confidence': -0.084322576182285225,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</si>
  <si>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22.323435497054856,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</si>
  <si>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14.600715969835424, 'confidence': -1.8384940772258083, 'FD_Position': 'P'}, 'Troy Tulowitzki_batter': {'Salary': 4500.0, 'projected_FD_points': 3.6303322751922602, 'confidence': -0.0417284723710456, 'FD_Position': 'SS'}}</t>
  </si>
  <si>
    <t>{'Shin-Soo Choo_batter': {'Salary': 3200.0, 'projected_FD_points': 2.8466937522464417, 'confidence': 0.013520468705565558, 'FD_Position': 'OF'}, 'Alex Rodriguez_batter': {'Salary': 3300.0, 'projected_FD_points': 3.3380469931674743, 'confidence': -0.23561510148050591, 'FD_Position': '3B'},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'Joc Pederson_batter': {'Salary': 4100.0, 'projected_FD_points': 3.456225140094495, 'confidence': -0.11095760183129655,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'Cole Hamels_pitcher': {'Salary': 9900.0, 'projected_FD_points': 13.220372333487205, 'confidence': 0.16005481956894918, 'FD_Position': 'P'}, 'Andrew Susac_batter': {'Salary': 2600.0, 'projected_FD_points': 4.1608864653243849, 'confidence': -9.7205460575488889, 'FD_Position': 'C'}}</t>
  </si>
  <si>
    <t>{'Francisco Liriano_pitcher': {'Salary': 9300.0, 'projected_FD_points': 12.682655414346984, 'confidence': -0.18665509326239471,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</si>
  <si>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{'Chris Johnson_batter': {'Salary': 2200.0, 'projected_FD_points': 1.8745353159851301, 'confidence': -0.0023879882534849628, 'FD_Position': '3B'}, 'Francisco Liriano_pitcher': {'Salary': 9300.0, 'projected_FD_points': 12.682655414346984, 'confidence': -0.18665509326239471, 'FD_Position': 'P'},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'Andrelton Simmons_batter': {'Salary': 2400.0, 'projected_FD_points': 1.7643312101910829, 'confidence': -0.026264808495883862, 'FD_Position': 'SS'}, 'Austin Jackson_batter': {'Salary': 2400.0, 'projected_FD_points': 2.2239583333333335, 'confidence': -0.038240435341193812, 'FD_Position': 'OF'},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</si>
  <si>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'David Ortiz_batter': {'Salary': 2600.0, 'projected_FD_points': 3.0892255892255891, 'confidence': -0.0011238278810894453, 'FD_Position': '1B'}, 'James Shields_pitcher': {'Salary': 9300.0, 'projected_FD_points': 14.331768183428235, 'confidence': -0.43151267837210794, 'FD_Position': 'P'}, 'Carlos Gonzalez_batter': {'Salary': 3700.0, 'projected_FD_points': 3.185305103096383, 'confidence': -0.0084382988795927982,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</si>
  <si>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</si>
  <si>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</si>
  <si>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'Shane Greene_pitcher': {'Salary': 7100.0, 'projected_FD_points': 12.035409847595176, 'confidence': -0.069172477404250365, 'FD_Position': 'P'},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'Torii Hunter_batter': {'Salary': 3300.0, 'projected_FD_points': 2.4823825503355703, 'confidence': -0.058165701404646164, 'FD_Position': 'OF'}, 'Hanley Ramirez_batter': {'Salary': 3600.0, 'projected_FD_points': 3.1973660844048322, 'confidence': -0.024039988992760497, 'FD_Position': 'OF'}, 'Miguel Cabrera_batter': {'Salary': 4700.0, 'projected_FD_points': 3.5361960671047399, 'confidence': -0.024261494086263102, 'FD_Position': '1B'}}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</si>
  <si>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11.277348374717086, 'confidence': -0.37366683259749478,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</si>
  <si>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'Jhonny Peralta_batter': {'Salary': 3600.0, 'projected_FD_points': 2.4017537879521265, 'confidence': -0.05002452348339248, 'FD_Position': 'SS'}, 'Joc Pederson_batter': {'Salary': 4300.0, 'projected_FD_points': 3.4598280714876197, 'confidence': -0.14140690022689983, 'FD_Position': 'OF'}, 'J.A. Happ_pitcher': {'Salary': 7200.0, 'projected_FD_points': 9.5056453104865213, 'confidence': 0.017467808127381468, 'FD_Position': 'P'}, 'Michael Cuddyer_batter': {'Salary': 2700.0, 'projected_FD_points': 2.9216417910447761, 'confidence': -0.00080594839124259465, 'FD_Position': 'OF'},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</si>
  <si>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10.17570463168267, 'confidence': -0.33704292681070736,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</si>
  <si>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18.807383525351465, 'confidence': -2.4359696257183598,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</si>
  <si>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18.807383525351465, 'confidence': -2.4359696257183598,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</si>
  <si>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12.44291860072083, 'confidence': 0.097873123993404754,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</si>
  <si>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15.152655353743901, 'confidence': -1.4235165728316308,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</si>
  <si>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14.681193849703977, 'confidence': -0.023857099304008145, 'FD_Position': 'P'}}</t>
  </si>
  <si>
    <t>{'Alex Rodriguez_batter': {'Salary': 3400.0, 'projected_FD_points': 2.9416377157746174, 'confidence': -0.43179496197968481, 'FD_Position': '3B'}, 'Neil Walker_batter': {'Salary': 2800.0, 'projected_FD_points': 2.6335230885072827, 'confidence': 0.0014429734127794358, 'FD_Position': '2B'}, 'Jonathan Lucroy_batter': {'Salary': 2900.0, 'projected_FD_points': 2.5496323529411766, 'confidence': -0.19688938030602698, 'FD_Position': 'C'}, 'David Ortiz_batter': {'Salary': 2500.0, 'projected_FD_points': 3.073920265780731, 'confidence': -2.7981325776416099e-06, 'FD_Position': '1B'}, 'Robbie Ray_pitcher': {'Salary': 6000.0, 'projected_FD_points': 13.730664732642845, 'confidence': 0, 'FD_Position': 'P'}, 'Carlos Gonzalez_batter': {'Salary': 3800.0, 'projected_FD_points': 3.3010020540847118, 'confidence': -0.040704481265394499, 'FD_Position': 'OF'}, 'Mike Trout_batter': {'Salary': 5000.0, 'projected_FD_points': 3.6041666666666665, 'confidence': -0.0016716643512733054, 'FD_Position': 'OF'}, 'Troy Tulowitzki_batter': {'Salary': 4700.0, 'projected_FD_points': 3.7835731529902095, 'confidence': 0.0068494243208131467, 'FD_Position': 'SS'},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</si>
  <si>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13.664103559648565, 'confidence': -0.096836207628601123,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</si>
  <si>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13.664103559648565, 'confidence': -0.096836207628601123,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</si>
  <si>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9.7483613774176909, 'confidence': -0.23759700936192263,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</si>
  <si>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11.483879393460256, 'confidence': -0.21391447385689211,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</si>
  <si>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'Tanner Roark_pitcher': {'Salary': 5800.0, 'projected_FD_points': 8.217384171073661, 'confidence': -8.8879420331517931, 'FD_Position': 'P'},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</si>
  <si>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16.950537779504671, 'confidence': -0.061332901619462366, 'FD_Position': 'P'}}</t>
  </si>
  <si>
    <t>July 17/July 18 you would have historized yahoo lineups from DFS</t>
  </si>
  <si>
    <t>FD Median/HR Factors (2013/2014/2015 Season) - trying to see if we get same results as before</t>
  </si>
  <si>
    <t>{'Alex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'Michael Cuddyer_batter': {'Salary': 2500.0, 'projected_FD_points': 2.9166666666666665, 'confidence': -1.6006786877742485e-05, 'FD_Position': 'OF'}}</t>
  </si>
  <si>
    <t>{'Michael Brantley_batter': {'Salary': 4400.0, 'projected_FD_points': 2.9006775585176778, 'confidence': -0.029651575944737774, 'FD_Position': 'OF'}, 'Kris Bryant_batter': {'Salary': 4000.0, 'projected_FD_points': 3.6243005145423068, 'confidence': -9.9492948727406709, 'FD_Position': '3B'}, 'Shin-Soo Choo_batter': {'Salary': 3100.0, 'projected_FD_points': 3.0141098566957378, 'confidence': 0.015602937812304707, 'FD_Position': 'OF'}, 'Neil Walker_batter': {'Salary': 3000.0, 'projected_FD_points': 2.5275751785243106, 'confidence': 0.012515135940974753, 'FD_Position': '2B'},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11.797967398217978, 'confidence': 0.18658170468642643,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</si>
  <si>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'Jayson Werth_batter': {'Salary': 2900.0, 'projected_FD_points': 2.757216775978645, 'confidence': 0.0073948548114161072, 'FD_Position': 'OF'}}</t>
  </si>
  <si>
    <t>{'Kris Bryant_batter': {'Salary': 4000.0, 'projected_FD_points': 3.6243005145423068, 'confidence': -9.9492948727406709, 'FD_Position': '3B'}, 'Anthony Rizzo_batter': {'Salary': 4500.0, 'projected_FD_points': 2.8079312321119834, 'confidence': -0.009793361075661311, 'FD_Position': '1B'}, 'Elvis Andrus_batter': {'Salary': 2600.0, 'projected_FD_points': 1.922275641025641, 'confidence': -0.030350385495179433, 'FD_Position': 'SS'}, 'Shin-Soo Choo_batter': {'Salary': 3100.0, 'projected_FD_points': 3.0141098566957378, 'confidence': 0.015602937812304707, 'FD_Position': 'OF'}, 'Alex Gordon_batter': {'Salary': 3500.0, 'projected_FD_points': 2.4704968944099379, 'confidence': -0.039229869960525132, 'FD_Position': 'OF'}, 'Jon Niese_pitcher': {'Salary': 8400.0, 'projected_FD_points': 11.797967398217978, 'confidence': 0.18658170468642643,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</si>
  <si>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3.0231733518532318, 'confidence': -0.0036628512186727136, 'FD_Position': 'OF'}, 'David Ortiz_batter': {'Salary': 2600.0, 'projected_FD_points': 3.135204081632653, 'confidence': -0.0084367022776801193, 'FD_Position': '1B'}, 'Troy Tulowitzki_batter': {'Salary': 4200.0, 'projected_FD_points': 3.3928831938687001, 'confidence': 0.010452691082485477,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</si>
  <si>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3.7163845805296138, 'confidence': -0.79142406878147509,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2.9984088711882038, 'confidence': -0.028536177294217424,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</si>
  <si>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</si>
  <si>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{'Avisail Garcia_batter': {'Salary': 3000.0, 'projected_FD_points': 2.9129726535510381, 'confidence': -0.050684473206353831, 'FD_Position': 'OF'}, 'Robinson Chirinos_batter': {'Salary': 2400.0, 'projected_FD_points': 2.0629376990897059, 'confidence': 0.032252636121333333, 'FD_Position': 'C'}, 'Alex Rodriguez_batter': {'Salary': 3400.0, 'projected_FD_points': 3.4045845713405836, 'confidence': -0.12065792763565986, 'FD_Position': '3B'}, 'Ian Desmond_batter': {'Salary': 2500.0, 'projected_FD_points': 2.2665615141955837, 'confidence': -0.10614089742083754, 'FD_Position': 'SS'},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'Zack Greinke_pitcher': {'Salary': 10100.0, 'projected_FD_points': 15.023568282384188, 'confidence': 0.0055626401510315837, 'FD_Position': 'P'}, 'Mike Trout_batter': {'Salary': 5200.0, 'projected_FD_points': 3.6431657196079366, 'confidence': -0.0029539992912095414, 'FD_Position': 'OF'}, 'Michael Cuddyer_batter': {'Salary': 2400.0, 'projected_FD_points': 2.9672774869109948, 'confidence': -0.063803867288836358,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</si>
  <si>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3.2384942696502206, 'confidence': -0.087705328389259041, 'FD_Position': 'OF'},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</si>
  <si>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'Daniel Santana_batter': {'Salary': 2800.0, 'projected_FD_points': 2.6131695489744922, 'confidence': -0.27230620945730832, 'FD_Position': 'SS'}, 'Shin-Soo Choo_batter': {'Salary': 3200.0, 'projected_FD_points': 3.0721025491598457, 'confidence': 0.020719919663530817, 'FD_Position': 'OF'},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'Jose Bautista_batter': {'Salary': 4600.0, 'projected_FD_points': 3.3783149098523664, 'confidence': -0.091208145837177623, 'FD_Position': 'OF'}, 'Edwin Encarnacion_batter': {'Salary': 4200.0, 'projected_FD_points': 2.9874219184719957, 'confidence': -0.066997473847254518, 'FD_Position': '1B'}, 'Collin McHugh_pitcher': {'Salary': 8600.0, 'projected_FD_points': 12.137952119482845, 'confidence': -0.17404712735624783, 'FD_Position': 'P'}}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</si>
  <si>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</si>
  <si>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{'Scott Kazmir_pitcher': {'Salary': 8800.0, 'projected_FD_points': 11.521271190812341, 'confidence': -0.29921805306060656, 'FD_Position': 'P'},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3.2384942696502206, 'confidence': -0.087705328389259041, 'FD_Position': 'OF'}, 'Wilin Rosario_batter': {'Salary': 2900.0, 'projected_FD_points': 2.2328757389391245, 'confidence': 0.047301382814576742, 'FD_Position': 'C'}, 'Jose Abreu_batter': {'Salary': 3600.0, 'projected_FD_points': 3.3259018981878801, 'confidence': -0.1042163075309801, 'FD_Position': '1B'}, 'Coco Crisp_batter': {'Salary': 2200.0, 'projected_FD_points': 2.536734693877551, 'confidence': -0.027483324310498158, 'FD_Position': 'OF'}, 'Matt Carpenter_batter': {'Salary': 4200.0, 'projected_FD_points': 2.7469481876046085, 'confidence': -0.017772909252063762, 'FD_Position': '3B'}}</t>
  </si>
  <si>
    <t>{'Troy Tulowitzki_batter': {'Salary': 4500.0, 'projected_FD_points': 3.3775389924180312, 'confidence': -0.0082980213509995515, 'FD_Position': 'SS'}, 'Josh Donaldson_batter': {'Salary': 3700.0, 'projected_FD_points': 2.8699679579292163, 'confidence': 0.041151886851381936, 'FD_Position': '3B'}, 'Yadier Molina_batter': {'Salary': 2300.0, 'projected_FD_points': 2.0055350553505535, 'confidence': -0.0099363585922775943, 'FD_Position': 'C'}, 'Ian Kinsler_batter': {'Salary': 3800.0, 'projected_FD_points': 2.5097392649970764, 'confidence': -0.086050026138848823, 'FD_Position': '2B'}, 'Chris Colabello_batter': {'Salary': 2300.0, 'projected_FD_points': 2.5494565014620161, 'confidence': -0.017970268271182865, 'FD_Position': 'OF'}, 'Jose Abreu_batter': {'Salary': 3700.0, 'projected_FD_points': 3.1761359539210954, 'confidence': 0.0067910558028108081, 'FD_Position': '1B'}, 'Coco Crisp_batter': {'Salary': 2200.0, 'projected_FD_points': 2.4237804878048781, 'confidence': -0.01894744545737681,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</si>
  <si>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3.3775389924180312, 'confidence': -0.0082980213509995515,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3.0571033153479541, 'confidence': -0.058474574180874539,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</si>
  <si>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2.9416105747019055, 'confidence': -0.16395152976123684, 'FD_Position': 'OF'}, 'Wilin Rosario_batter': {'Salary': 3000.0, 'projected_FD_points': 2.0342680766281416, 'confidence': 0.0031051815310575437, 'FD_Position': 'C'}, 'Kyle Seager_batter': {'Salary': 3000.0, 'projected_FD_points': 2.5472454813971765, 'confidence': -0.0033100711793134785, 'FD_Position': '3B'}, 'Troy Tulowitzki_batter': {'Salary': 4400.0, 'projected_FD_points': 3.2937092169560342, 'confidence': -0.046781337970826176,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</si>
  <si>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3.0334945521691123, 'confidence': -0.025473892078837101, 'FD_Position': 'OF'}, 'Troy Tulowitzki_batter': {'Salary': 4400.0, 'projected_FD_points': 3.325865577159576, 'confidence': -0.035663412579358678, 'FD_Position': 'SS'}, 'Michael Cuddyer_batter': {'Salary': 2600.0, 'projected_FD_points': 2.7497532593009324, 'confidence': 0.0068225886798494173, 'FD_Position': 'OF'}, 'Chris Sale_pitcher': {'Salary': 9600.0, 'projected_FD_points': 13.873601585926174, 'confidence': -0.050657737542863401, 'FD_Position': 'P'}}</t>
  </si>
  <si>
    <t>{'Yoenis Cespedes_batter': {'Salary': 2900.0, 'projected_FD_points': 2.5352233676975944, 'confidence': -0.00065951873897551749, 'FD_Position': 'OF'}, 'Alex Rodriguez_batter': {'Salary': 3300.0, 'projected_FD_points': 3.6297271208217659, 'confidence': -0.17910730755373949, 'FD_Position': '3B'}, 'Jose Bautista_batter': {'Salary': 4800.0, 'projected_FD_points': 3.325580597435597, 'confidence': -0.089293646209047672, 'FD_Position': 'OF'}, 'Anthony DeSclafani_pitcher': {'Salary': 7200.0, 'projected_FD_points': 11.258126362135116, 'confidence': 0.70684011606348607, 'FD_Position': 'P'}, 'Kris Negron_batter': {'Salary': 2200.0, 'projected_FD_points': 2.3040144815201873, 'confidence': -0.078212974755851761, 'FD_Position': '2B'}, 'Daniel Santana_batter': {'Salary': 2700.0, 'projected_FD_points': 2.5389629213948051, 'confidence': -0.054493856725448264, 'FD_Position': 'SS'}, 'Victor Martinez_batter': {'Salary': 3500.0, 'projected_FD_points': 2.5117004285738291, 'confidence': -0.11046042718605054, 'FD_Position': 'C'},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</si>
  <si>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3.0334945521691123, 'confidence': -0.025473892078837101, 'FD_Position': 'OF'}, 'Mike Trout_batter': {'Salary': 5400.0, 'projected_FD_points': 3.656847133757962, 'confidence': -0.00021303576788378464, 'FD_Position': 'OF'}, 'Troy Tulowitzki_batter': {'Salary': 4400.0, 'projected_FD_points': 3.325865577159576, 'confidence': -0.035663412579358678, 'FD_Position': 'SS'}, 'Wilson Ramos_batter': {'Salary': 2900.0, 'projected_FD_points': 2.2239397296414647, 'confidence': -0.022660645386545442, 'FD_Position': 'C'},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</si>
  <si>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'Adrian Beltre_batter': {'Salary': 2900.0, 'projected_FD_points': 2.6454248366013071, 'confidence': -0.0095384887324614365, 'FD_Position': '3B'}, 'Shin-Soo Choo_batter': {'Salary': 2900.0, 'projected_FD_points': 3.2082097704097201, 'confidence': -0.044921275521695891, 'FD_Position': 'OF'}, 'Jose Altuve_batter': {'Salary': 4600.0, 'projected_FD_points': 2.2105001035291214, 'confidence': -0.09520673017455894, 'FD_Position': '2B'}, 'Carlos Gomez_batter': {'Salary': 3700.0, 'projected_FD_points': 2.8586544250564572, 'confidence': -0.033609006069371894, 'FD_Position': 'OF'}, 'Chris Sale_pitcher': {'Salary': 9600.0, 'projected_FD_points': 13.873601585926174, 'confidence': -0.050657737542863401, 'FD_Position': 'P'}, 'Jose Abreu_batter': {'Salary': 3400.0, 'projected_FD_points': 3.1624376164291323, 'confidence': 0.070822018859980296, 'FD_Position': '1B'}, 'Michael Cuddyer_batter': {'Salary': 2600.0, 'projected_FD_points': 2.7497532593009324, 'confidence': 0.0068225886798494173, 'FD_Position': 'OF'}, 'Alexei Ramirez_batter': {'Salary': 2700.0, 'projected_FD_points': 2.0225806451612902, 'confidence': -0.0023551931180725294, 'FD_Position': 'SS'}}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</si>
  <si>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5.5956958434746831, 'confidence': -0.23548976174222713, 'FD_Position': '2B'}, 'Michael Cuddyer_batter': {'Salary': 2600.0, 'projected_FD_points': 2.7507159821601235, 'confidence': -0.055411086380248831, 'FD_Position': 'OF'}}</t>
  </si>
  <si>
    <t>{'Shane Victorino_batter': {'Salary': 2300.0, 'projected_FD_points': 2.5798481442662071, 'confidence': -0.057183735638939526, 'FD_Position': 'OF'},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'Zack Greinke_pitcher': {'Salary': 10300.0, 'projected_FD_points': 15.511155981827361, 'confidence': -1.4879186905927928, 'FD_Position': 'P'}, 'Martin Prado_batter': {'Salary': 2900.0, 'projected_FD_points': 2.1173986486486487, 'confidence': -0.0015558980546130918, 'FD_Position': '3B'}, 'Wilson Ramos_batter': {'Salary': 2800.0, 'projected_FD_points': 2.2905671777056114, 'confidence': -0.025727653070116929, 'FD_Position': 'C'}, 'Giancarlo Stanton_batter': {'Salary': 4500.0, 'projected_FD_points': 3.2641655205036519, 'confidence': -0.0079991455215919771, 'FD_Position': 'OF'}, 'Jayson Werth_batter': {'Salary': 3100.0, 'projected_FD_points': 2.8362074994195714, 'confidence': -0.053651702748317431, 'FD_Position': 'OF'}, 'Dustin Pedroia_batter': {'Salary': 2900.0, 'projected_FD_points': 2.4812091503267975, 'confidence': -0.2636320370404488, 'FD_Position': '2B'}}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</si>
  <si>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12.476913917669295, 'confidence': -0.091262587619323821, 'FD_Position': 'P'}}</t>
  </si>
  <si>
    <t>{'Shin-Soo Choo_batter': {'Salary': 2900.0, 'projected_FD_points': 2.8927250027576168, 'confidence': 0.00047499152872376715, 'FD_Position': 'OF'}, 'Devon Travis_batter': {'Salary': 3300.0, 'projected_FD_points': 4.4565825545950819, 'confidence': -0.12461682704584209, 'FD_Position': '2B'}, 'Matt Holliday_batter': {'Salary': 3700.0, 'projected_FD_points': 2.8999999999999999, 'confidence': -0.0067008547008544639, 'FD_Position': 'OF'}, 'Daniel Santana_batter': {'Salary': 2900.0, 'projected_FD_points': 2.6131515768849547, 'confidence': -0.92410260767949493, 'FD_Position': 'SS'}, 'Clayton Kershaw_pitcher': {'Salary': 11200.0, 'projected_FD_points': 14.54382247418545, 'confidence': -0.1941892263224958, 'FD_Position': 'P'}, 'Kyle Seager_batter': {'Salary': 3000.0, 'projected_FD_points': 2.7885040137265009, 'confidence': -0.76983580608543911, 'FD_Position': '3B'}, 'Chris Colabello_batter': {'Salary': 2300.0, 'projected_FD_points': 2.6155711687516412, 'confidence': -0.22858874513051841,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</si>
  <si>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'Edwin Encarnacion_batter': {'Salary': 3800.0, 'projected_FD_points': 3.2111111111111112, 'confidence': -0.0049278609547576124, 'FD_Position': '1B'},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'Chris Colabello_batter': {'Salary': 2300.0, 'projected_FD_points': 2.6155711687516412, 'confidence': -0.22858874513051841, 'FD_Position': 'OF'},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</si>
  <si>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{'Yoenis Cespedes_batter': {'Salary': 3000.0, 'projected_FD_points': 2.6017241379310345, 'confidence': -0.052246216418253333, 'FD_Position': 'OF'}, 'Brandon Belt_batter': {'Salary': 3000.0, 'projected_FD_points': 2.4070536306455717, 'confidence': -0.029945470754407788, 'FD_Position': '1B'}, 'Robinson Cano_batter': {'Salary': 3400.0, 'projected_FD_points': 2.7203936540468909, 'confidence': 0.0019413222936935925, 'FD_Position': '2B'}, 'Marcus Semien_batter': {'Salary': 2700.0, 'projected_FD_points': 2.0368110920552516, 'confidence': -0.071727963153757068, 'FD_Position': 'SS'}, 'Alex Gordon_batter': {'Salary': 3200.0, 'projected_FD_points': 2.4554807613585159, 'confidence': -0.042005768023938961, 'FD_Position': 'OF'}, 'Clayton Kershaw_pitcher': {'Salary': 11200.0, 'projected_FD_points': 14.54382247418545, 'confidence': -0.1941892263224958, 'FD_Position': 'P'}, 'Christian Yelich_batter': {'Salary': 2800.0, 'projected_FD_points': 2.4232252124675564, 'confidence': -0.0073056452878326184, 'FD_Position': 'OF'}, 'Salvador Perez_batter': {'Salary': 2700.0, 'projected_FD_points': 1.9822347834798149, 'confidence': 0.0080627245373049439, 'FD_Position': 'C'}, 'Kyle Seager_batter': {'Salary': 3000.0, 'projected_FD_points': 2.7885040137265009, 'confidence': -0.76983580608543911, 'FD_Position': '3B'}}</t>
  </si>
  <si>
    <t>{'Avisail Garcia_batter': {'Salary': 2800.0, 'projected_FD_points': 2.7164084768868508, 'confidence': 0.017104482512281582, 'FD_Position': 'OF'}, 'Kris Bryant_batter': {'Salary': 3600.0, 'projected_FD_points': 2.579581194090804, 'confidence': -4.8334409025673537, 'FD_Position': '3B'}, 'Johnny Cueto_pitcher': {'Salary': 10500.0, 'projected_FD_points': 15.364977913126689, 'confidence': -0.95831881054292611, 'FD_Position': 'P'}, 'Robinson Cano_batter': {'Salary': 3400.0, 'projected_FD_points': 2.7336584453312986, 'confidence': -2.7243173585045355e-05, 'FD_Position': '2B'}, 'Ryan Braun_batter': {'Salary': 3500.0, 'projected_FD_points': 3.3618480712619951, 'confidence': -0.38588923562275679, 'FD_Position': 'OF'}, 'Yadier Molina_batter': {'Salary': 2300.0, 'projected_FD_points': 2.0634469696969697, 'confidence': -0.0057840320143776047, 'FD_Position': 'C'}, 'Jose Abreu_batter': {'Salary': 3500.0, 'projected_FD_points': 3.1746684032797807, 'confidence': 0.016098010774628024, 'FD_Position': '1B'}, 'Jhonny Peralta_batter': {'Salary': 2800.0, 'projected_FD_points': 2.3026785714285714, 'confidence': -0.015213073735241167, 'FD_Position': 'SS'}, 'Michael Cuddyer_batter': {'Salary': 2600.0, 'projected_FD_points': 2.6482180322119295, 'confidence': 0.0092851554662416458, 'FD_Position': 'OF'}}</t>
  </si>
  <si>
    <t>{'Michael Brantley_batter': {'Salary': 4200.0, 'projected_FD_points': 2.7877708294514645, 'confidence': 0.024703964603718487, 'FD_Position': 'OF'}, 'Robinson Chirinos_batter': {'Salary': 2400.0, 'projected_FD_points': 2.2980444890144951, 'confidence': -0.25646572647289045, 'FD_Position': 'C'},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'Doug Fister_pitcher': {'Salary': 8000.0, 'projected_FD_points': 11.064828343726937, 'confidence': -0.57502840603262628, 'FD_Position': 'P'}, 'Daniel Santana_batter': {'Salary': 2900.0, 'projected_FD_points': 2.5145500469739006, 'confidence': 0.0098385088993073744, 'FD_Position': 'SS'}, 'Adrian Beltre_batter': {'Salary': 2900.0, 'projected_FD_points': 2.5907827090477449, 'confidence': -0.0072524438007610659, 'FD_Position': '3B'}, 'Bryce Harper_batter': {'Salary': 4500.0, 'projected_FD_points': 2.829228756832598, 'confidence': -0.054481675158003284,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</si>
  <si>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15.860927647953304, 'confidence': 0.0027054636398643472, 'FD_Position': 'P'}, 'Paul Goldschmidt_batter': {'Salary': 5100.0, 'projected_FD_points': 3.6978385447269271, 'confidence': -0.081983913141010722, 'FD_Position': '1B'}, 'Tim Beckham_batter': {'Salary': 2200.0, 'projected_FD_points': 2.6454395604395606, 'confidence': -1.1021634745572273, 'FD_Position': 'SS'}, 'Chris Colabello_batter': {'Salary': 2200.0, 'projected_FD_points': 2.6841754402063658, 'confidence': -0.057943387532855217, 'FD_Position': 'OF'}, 'Jayson Werth_batter': {'Salary': 2900.0, 'projected_FD_points': 2.7771773416150278, 'confidence': -0.06375975337888673, 'FD_Position': 'OF'}}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</si>
  <si>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2.5217581851669619, 'confidence': -6.7043338040942588,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</si>
  <si>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3.2417972548986445, 'confidence': -4.2607122064782095, 'FD_Position': 'OF'}, 'Shin-Soo Choo_batter': {'Salary': 2800.0, 'projected_FD_points': 2.8954560233730708, 'confidence': -0.021694940017281228, 'FD_Position': 'OF'}, 'Alex Rodriguez_batter': {'Salary': 3200.0, 'projected_FD_points': 2.818827207904504, 'confidence': -0.038271429439712623, 'FD_Position': '3B'}, 'Devon Travis_batter': {'Salary': 3600.0, 'projected_FD_points': 3.9672086720867208, 'confidence': -0.88137014812554115, 'FD_Position': '2B'}, 'Daniel Santana_batter': {'Salary': 2900.0, 'projected_FD_points': 2.5000981432488874, 'confidence': -0.086524806706154589, 'FD_Position': 'SS'}, 'Jose Abreu_batter': {'Salary': 3600.0, 'projected_FD_points': 3.26221378949871, 'confidence': -0.039480222014427468, 'FD_Position': '1B'}, 'Jason Castro_batter': {'Salary': 2200.0, 'projected_FD_points': 2.1359832635983262, 'confidence': -0.014085255965971433, 'FD_Position': 'C'}, 'Chris Sale_pitcher': {'Salary': 9800.0, 'projected_FD_points': 14.529271672295836, 'confidence': -1.1016135123045752, 'FD_Position': 'P'}, 'Andrew McCutchen_batter': {'Salary': 3800.0, 'projected_FD_points': 3.0562369438914296, 'confidence': 0.00011205594235297323, 'FD_Position': 'OF'}}</t>
  </si>
  <si>
    <t>{'Avisail Garcia_batter': {'Salary': 2800.0, 'projected_FD_points': 3.0167569909772438, 'confidence': -0.11751711137627052, 'FD_Position': 'OF'}, 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'Jhonny Peralta_batter': {'Salary': 2500.0, 'projected_FD_points': 2.4025940345529762, 'confidence': -0.19412963167416675, 'FD_Position': 'SS'}, 'Zack Greinke_pitcher': {'Salary': 10100.0, 'projected_FD_points': 14.986299783869288, 'confidence': -0.14625357953704654, 'FD_Position': 'P'},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</si>
  <si>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'Odubel Herrera_batter': {'Salary': 3000.0, 'projected_FD_points': 3.1094037505141294, 'confidence': -1.0709255524646983, 'FD_Position': 'OF'}, 'Alex Rodriguez_batter': {'Salary': 3400.0, 'projected_FD_points': 3.1161075882988851, 'confidence': -0.33274050410077405, 'FD_Position': '3B'},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'Shin-Soo Choo_batter': {'Salary': 2800.0, 'projected_FD_points': 2.7101883277126824, 'confidence': 0.0064765634474909239, 'FD_Position': 'OF'}, 'Jhonny Peralta_batter': {'Salary': 2500.0, 'projected_FD_points': 2.2291666666666665, 'confidence': -0.0089513099354761039, 'FD_Position': 'SS'}, 'Clayton Kershaw_pitcher': {'Salary': 11300.0, 'projected_FD_points': 14.985359654967512, 'confidence': -0.019403653425719591, 'FD_Position': 'P'}, 'David Ortiz_batter': {'Salary': 3200.0, 'projected_FD_points': 3.1643356643356642, 'confidence': -0.0015409606835454781, 'FD_Position': '1B'}}</t>
  </si>
  <si>
    <t>{'Phil Hughes_pitcher': {'Salary': 7400.0, 'projected_FD_points': 9.838241485300955, 'confidence': -0.071676679615234384, 'FD_Position': 'P'}, 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</si>
  <si>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{'Brandon Belt_batter': {'Salary': 2900.0, 'projected_FD_points': 2.3284753363228701, 'confidence': -0.17273974182545127, 'FD_Position': '1B'}, 'Matt Kemp_batter': {'Salary': 3600.0, 'projected_FD_points': 2.5660792951541849, 'confidence': -0.00083722549064768614, 'FD_Position': 'OF'}, 'Seth Smith_batter': {'Salary': 2200.0, 'projected_FD_points': 1.9245931857693976, 'confidence': -0.0060673947993903354, 'FD_Position': 'OF'}, 'Erick Aybar_batter': {'Salary': 2300.0, 'projected_FD_points': 1.8737024221453287, 'confidence': -0.024261349758024409, 'FD_Position': 'SS'}, 'Chris Iannetta_batter': {'Salary': 2200.0, 'projected_FD_points': 1.8144796380090498, 'confidence': -0.08198949169285874, 'FD_Position': 'C'}, 'Robinson Cano_batter': {'Salary': 3600.0, 'projected_FD_points': 2.7694721637448403, 'confidence': -0.023909925281755173, 'FD_Position': '2B'}, 'Madison Bumgarner_pitcher': {'Salary': 9800.0, 'projected_FD_points': 13.019830081575879, 'confidence': 0.12293143931520489, 'FD_Position': 'P'}, 'Mike Trout_batter': {'Salary': 5600.0, 'projected_FD_points': 3.6221498371335503, 'confidence': -0.015455151524156552, 'FD_Position': 'OF'}, 'Kyle Seager_batter': {'Salary': 2800.0, 'projected_FD_points': 2.3673139158576051, 'confidence': -6.2132670939352153e-05,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</si>
  <si>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11.32661186944126, 'confidence': -0.12459554145401364, 'FD_Position': 'P'}, 'Carlos Gonzalez_batter': {'Salary': 3000.0, 'projected_FD_points': 2.7064227767422691, 'confidence': -0.016851836789489427,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</si>
  <si>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'Paulo Orlando_batter': {'Salary': 3000.0, 'projected_FD_points': 3.7129283489096574, 'confidence': 0.0, 'FD_Position': 'OF'}, 'Troy Tulowitzki_batter': {'Salary': 4300.0, 'projected_FD_points': 3.3872508580300313, 'confidence': -0.23311741001434716,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</si>
  <si>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'Francisco Liriano_pitcher': {'Salary': 8700.0, 'projected_FD_points': 11.599649514981371, 'confidence': -0.4443988747078389,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</si>
  <si>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'Shin-Soo Choo_batter': {'Salary': 2500.0, 'projected_FD_points': 2.7263550141655224, 'confidence': -0.00074501022246464821, 'FD_Position': 'OF'}, 'Robinson Cano_batter': {'Salary': 3700.0, 'projected_FD_points': 2.7575972721437094, 'confidence': -0.040811809113291408, 'FD_Position': '2B'},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'Troy Tulowitzki_batter': {'Salary': 4300.0, 'projected_FD_points': 3.3872508580300313, 'confidence': -0.23311741001434716,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</si>
  <si>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</si>
  <si>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{'Adrian Beltre_batter': {'Salary': 2900.0, 'projected_FD_points': 2.5844977616521652, 'confidence': 0.00010747009727174461, 'FD_Position': '3B'}, 'Odubel Herrera_batter': {'Salary': 3000.0, 'projected_FD_points': 4.1096928015776983, 'confidence': -2.7159646818182277, 'FD_Position': 'OF'}, 'Brian Dozier_batter': {'Salary': 2900.0, 'projected_FD_points': 2.754003403998047, 'confidence': -0.12858687275732983, 'FD_Position': '2B'},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'Shin-Soo Choo_batter': {'Salary': 2500.0, 'projected_FD_points': 2.98177113998443, 'confidence': -0.0067190437534816461, 'FD_Position': 'OF'}, 'Carlos Gonzalez_batter': {'Salary': 3000.0, 'projected_FD_points': 3.0559746307414377, 'confidence': -0.038156031670893098, 'FD_Position': 'OF'}, 'Troy Tulowitzki_batter': {'Salary': 4300.0, 'projected_FD_points': 3.3349249999982051, 'confidence': -0.0051211120672383093,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</si>
  <si>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'Scott Kazmir_pitcher': {'Salary': 9200.0, 'projected_FD_points': 11.394480903577698, 'confidence': -0.20341917196325476, 'FD_Position': 'P'},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'Jason Castro_batter': {'Salary': 2300.0, 'projected_FD_points': 2.1917372881355934, 'confidence': -0.18096987773314632, 'FD_Position': 'C'},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</si>
  <si>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'Matt Holliday_batter': {'Salary': 3400.0, 'projected_FD_points': 2.9117647058823528, 'confidence': -0.025895051327782692, 'FD_Position': 'OF'}, 'Carlos Gonzalez_batter': {'Salary': 3200.0, 'projected_FD_points': 3.2131253459462839, 'confidence': -0.085280483307855093,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'C'}}</t>
  </si>
  <si>
    <t>{'Michael Brantley_batter': {'Salary': 3600.0, 'projected_FD_points': 2.9564436426887695, 'confidence': -0.17624984003108057, 'FD_Position': 'OF'}, 'Hanley Ramirez_batter': {'Salary': 4300.0, 'projected_FD_points': 2.9842342342342341, 'confidence': -0.040082907014544311, 'FD_Position': 'OF'}, 'Devon Travis_batter': {'Salary': 3400.0, 'projected_FD_points': 4.9248136225008476, 'confidence': -0.6642001164826683, 'FD_Position': '2B'}, 'Paulo Orlando_batter': {'Salary': 3000.0, 'projected_FD_points': 2.6388888888888888, 'confidence': -0.0080904789899498564, 'FD_Position': 'OF'}, 'Josh Donaldson_batter': {'Salary': 4000.0, 'projected_FD_points': 2.89110657830068, 'confidence': 0.03675182266583521, 'FD_Position': '3B'}, 'Yordano Ventura_pitcher': {'Salary': 8000.0, 'projected_FD_points': 12.488399476668121, 'confidence': -0.76094543499970979, 'FD_Position': 'P'}, 'Salvador Perez_batter': {'Salary': 2800.0, 'projected_FD_points': 1.8464131727702522, 'confidence': -0.094263852561825789, 'FD_Position': 'C'}, 'David Ortiz_batter': {'Salary': 3300.0, 'projected_FD_points': 3.0354609929078014, 'confidence': -0.096303882751140879, 'FD_Position': '1B'}, 'Alcides Escobar_batter': {'Salary': 2400.0, 'projected_FD_points': 1.5598585695107872, 'confidence': -0.096684712565358488, 'FD_Position': 'SS'}}</t>
  </si>
  <si>
    <t>{'Robinson Chirinos_batter': {'Salary': 2300.0, 'projected_FD_points': 2.2696828636861492, 'confidence': -0.30111470988620015, 'FD_Position': 'C'}, 'Kris Bryant_batter': {'Salary': 3500.0, 'projected_FD_points': 3.8431966386672443, 'confidence': 0, 'FD_Position': '3B'}, 'Odubel Herrera_batter': {'Salary': 3000.0, 'projected_FD_points': 3.0025178461024922, 'confidence': 0.91189501166176734, 'FD_Position': 'OF'}, 'Johnny Cueto_pitcher': {'Salary': 10400.0, 'projected_FD_points': 17.10426638215764, 'confidence': -0.52122924282155236,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'Daniel Murphy_batter': {'Salary': 2900.0, 'projected_FD_points': 2.6305275636310683, 'confidence': -0.20195713041272745, 'FD_Position': '2B'}, 'Jayson Werth_batter': {'Salary': 2700.0, 'projected_FD_points': 2.7861312804877656, 'confidence': -0.036921218152595747, 'FD_Position': 'OF'}}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</si>
  <si>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17.10426638215764, 'confidence': -0.52122924282155236,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</si>
  <si>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{'Russell Martin_batter': {'Salary': 3200.0, 'projected_FD_points': 2.3326710901400936, 'confidence': -0.0097871013834607279, 'FD_Position': 'C'}, 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'Carlos Gonzalez_batter': {'Salary': 3200.0, 'projected_FD_points': 3.2770312128862193, 'confidence': -0.1052865488770236, 'FD_Position': 'OF'}, 'Troy Tulowitzki_batter': {'Salary': 4300.0, 'projected_FD_points': 3.3505620964266543, 'confidence': -0.031510458503592131, 'FD_Position': 'SS'}, 'Michael Cuddyer_batter': {'Salary': 2800.0, 'projected_FD_points': 3.0735961548954154, 'confidence': -0.14720836084232958, 'FD_Position': 'OF'}, 'Miguel Cabrera_batter': {'Salary': 4100.0, 'projected_FD_points': 3.5720095252525077, 'confidence': -0.055799680198884483, 'FD_Position': '1B'}, 'Collin McHugh_pitcher': {'Salary': 8500.0, 'projected_FD_points': 13.342445637814626, 'confidence': -0.47811724333719563, 'FD_Position': 'P'}}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</si>
  <si>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'Brian Dozier_batter': {'Salary': 2900.0, 'projected_FD_points': 2.5824652777777777, 'confidence': -0.11289906299900565, 'FD_Position': '2B'}, 'Miguel Cabrera_batter': {'Salary': 4100.0, 'projected_FD_points': 3.5720095252525077, 'confidence': -0.055799680198884483, 'FD_Position': '1B'}, 'Troy Tulowitzki_batter': {'Salary': 4300.0, 'projected_FD_points': 3.3505620964266543, 'confidence': -0.031510458503592131, 'FD_Position': 'SS'}, 'Victor Martinez_batter': {'Salary': 3400.0, 'projected_FD_points': 2.5021883285845727, 'confidence': 0.033249791509006088, 'FD_Position': 'C'}, 'Carlos Gonzalez_batter': {'Salary': 3200.0, 'projected_FD_points': 3.2770312128862193, 'confidence': -0.1052865488770236, 'FD_Position': 'OF'}, 'Michael Cuddyer_batter': {'Salary': 2800.0, 'projected_FD_points': 3.0735961548954154, 'confidence': -0.14720836084232958, 'FD_Position': 'OF'}, 'Collin McHugh_pitcher': {'Salary': 8500.0, 'projected_FD_points': 13.342445637814626, 'confidence': -0.47811724333719563, 'FD_Position': 'P'}}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</si>
  <si>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'Freddie Freeman_batter': {'Salary': 3100.0, 'projected_FD_points': 2.9134769836475258, 'confidence': -0.085982297936123553, 'FD_Position': '1B'}, 'Doug Fister_pitcher': {'Salary': 8300.0, 'projected_FD_points': 10.665535224947533, 'confidence': -0.065860988510108021, 'FD_Position': 'P'},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'Jayson Werth_batter': {'Salary': 2800.0, 'projected_FD_points': 2.84807440070953, 'confidence': -0.021493787843864354,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</si>
  <si>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11.731961842449923, 'confidence': -0.11534549560422591,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</si>
  <si>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11.731961842449923, 'confidence': -0.11534549560422591,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</si>
  <si>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3.4783197821155518, 'confidence': -0.042077566505005048,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</si>
  <si>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13.444616353607334, 'confidence': 0.022512287990629209,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</si>
  <si>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3.048227782776276, 'confidence': -0.027512516726617919,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</si>
  <si>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'Shin-Soo Choo_batter': {'Salary': 2700.0, 'projected_FD_points': 2.5502465386077144, 'confidence': -0.050552561891189951,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</si>
  <si>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10.637030055538549, 'confidence': -0.19432032469540306,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3.048227782776276, 'confidence': -0.027512516726617919,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</si>
  <si>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{'Brandon Belt_batter': {'Salary': 3000.0, 'projected_FD_points': 2.2569767441860464, 'confidence': -0.0031559748823226652, 'FD_Position': '1B'}, 'Joe Panik_batter': {'Salary': 2500.0, 'projected_FD_points': 1.5079787234042554, 'confidence': -0.12982930904724443, 'FD_Position': '2B'}, 'Yasiel Puig_batter': {'Salary': 4200.0, 'projected_FD_points': 2.8883040264899491, 'confidence': -0.15392267081330435, 'FD_Position': 'OF'}, 'Max Scherzer_pitcher': {'Salary': 11000.0, 'projected_FD_points': 14.180792538836922, 'confidence': -0.38207484032681793, 'FD_Position': 'P'}, 'Casey McGehee_batter': {'Salary': 2400.0, 'projected_FD_points': 1.803921568627451, 'confidence': -0.11050412670867438, 'FD_Position': '3B'}, 'Matt Holliday_batter': {'Salary': 3600.0, 'projected_FD_points': 2.6181528738200353, 'confidence': -0.082667669304240521, 'FD_Position': 'OF'}, 'Jhonny Peralta_batter': {'Salary': 2800.0, 'projected_FD_points': 2.1672932330827068, 'confidence': -0.058410670161199496, 'FD_Position': 'SS'}, 'Carl Crawford_batter': {'Salary': 2700.0, 'projected_FD_points': 2.1693181818181819, 'confidence': -0.020327731804818505, 'FD_Position': 'OF'}, 'Yasmani Grandal_batter': {'Salary': 2800.0, 'projected_FD_points': 1.9093151390059822, 'confidence': -0.15421222815816926, 'FD_Position': 'C'}}</t>
  </si>
  <si>
    <t>{'Avisail Garcia_batter': {'Salary': 3200.0, 'projected_FD_points': 2.9176765556032969, 'confidence': -0.032675579035645219, 'FD_Position': 'OF'}, 'Russell Martin_batter': {'Salary': 3300.0, 'projected_FD_points': 2.3178879310344827, 'confidence': -0.0064606730212788399, 'FD_Position': 'C'}, 'Chris Davis_batter': {'Salary': 3500.0, 'projected_FD_points': 3.2052927226330357, 'confidence': -0.15209849748481319, 'FD_Position': '1B'}, 'Melky Cabrera_batter': {'Salary': 2700.0, 'projected_FD_points': 2.1898148148148149, 'confidence': -0.027531581208074085, 'FD_Position': 'OF'}, 'Paulo Orlando_batter': {'Salary': 3000.0, 'projected_FD_points': 2.8722222222222218, 'confidence': 0, 'FD_Position': 'OF'}, 'Evan Longoria_batter': {'Salary': 3300.0, 'projected_FD_points': 2.5260586319218241, 'confidence': -0.00022044178588442875, 'FD_Position': '3B'}, 'Asdrubal Cabrera_batter': {'Salary': 2400.0, 'projected_FD_points': 2.091328413284133, 'confidence': -0.011366056671444857, 'FD_Position': 'SS'}, 'Chris Sale_pitcher': {'Salary': 10200.0, 'projected_FD_points': 14.305769230769233, 'confidence': -0.029624215357617167, 'FD_Position': 'P'}, 'Dustin Pedroia_batter': {'Salary': 3200.0, 'projected_FD_points': 2.4500211598237462, 'confidence': -0.056415858069354341, 'FD_Position': '2B'}}</t>
  </si>
  <si>
    <t>{'Robinson Chirinos_batter': {'Salary': 2700.0, 'projected_FD_points': 2.3105943008430292, 'confidence': -2.6340012654267673, 'FD_Position': 'C'}, 'Odubel Herrera_batter': {'Salary': 3000.0, 'projected_FD_points': 3.1712050549993798, 'confidence': 0.72382937288220139,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14.66236393215954, 'confidence': -0.82734366088232481,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</si>
  <si>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{'Robinson Chirinos_batter': {'Salary': 2700.0, 'projected_FD_points': 2.3105943008430292, 'confidence': -2.6340012654267673, 'FD_Position': 'C'}, 'Adrian Beltre_batter': {'Salary': 3400.0, 'projected_FD_points': 2.6194353888500088, 'confidence': 0.0048185676620817741, 'FD_Position': '3B'}, 'Shin-Soo Choo_batter': {'Salary': 2800.0, 'projected_FD_points': 2.6134615384615385, 'confidence': -0.00043950639398215863, 'FD_Position': 'OF'}, 'Erick Aybar_batter': {'Salary': 2800.0, 'projected_FD_points': 2.0125448028673834, 'confidence': -0.088510421040663534, 'FD_Position': 'SS'}, 'Prince Fielder_batter': {'Salary': 3600.0, 'projected_FD_points': 3.1495222327828349, 'confidence': -0.099659157489975225, 'FD_Position': '1B'}, 'Jake Smolinski_batter': {'Salary': 2900.0, 'projected_FD_points': 2.3809106180170323, 'confidence': 0.055346835832854047, 'FD_Position': 'OF'}, 'Clayton Kershaw_pitcher': {'Salary': 12000.0, 'projected_FD_points': 14.9934528098094, 'confidence': -0.232690319225346, 'FD_Position': 'P'}, 'Johnny Giavotella_batter': {'Salary': 2300.0, 'projected_FD_points': 1.9975603864734299, 'confidence': 0.082369017511176534, 'FD_Position': '2B'}, 'Chris Carter_batter': {'Salary': 2400.0, 'projected_FD_points': 2.3945454545454545, 'confidence': -0.012402387644764534,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</si>
  <si>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14.66236393215954, 'confidence': -0.82734366088232481,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3.6813262925037629, 'confidence': -0.070466569776614474, 'FD_Position': 'SS'}, 'Carlos Gonzalez_batter': {'Salary': 3700.0, 'projected_FD_points': 2.8566562069404218, 'confidence': -0.013670988235246595, 'FD_Position': 'OF'}, 'Michael McKenry_batter': {'Salary': 2200.0, 'projected_FD_points': 1.5994623655913978, 'confidence': -0.13078965423122968, 'FD_Position': 'C'}}</t>
  </si>
  <si>
    <t>{'Shin-Soo Choo_batter': {'Salary': 2800.0, 'projected_FD_points': 2.7789079694752306, 'confidence': -0.044055391929972876,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</si>
  <si>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'Carlos Gonzalez_batter': {'Salary': 3800.0, 'projected_FD_points': 3.0844086167466478, 'confidence': -0.07917504435919609, 'FD_Position': 'OF'}, 'Todd Frazier_batter': {'Salary': 3400.0, 'projected_FD_points': 2.5615635604094447, 'confidence': -0.011867896260602695, 'FD_Position': '3B'}, 'Salvador Perez_batter': {'Salary': 3600.0, 'projected_FD_points': 1.985789832965007, 'confidence': 0.0047513116812456513, 'FD_Position': 'C'}, 'Carlos Santana_batter': {'Salary': 3300.0, 'projected_FD_points': 2.6876168779141429, 'confidence': -0.084099317514795269, 'FD_Position': '1B'}, 'Troy Tulowitzki_batter': {'Salary': 5300.0, 'projected_FD_points': 3.6797281959417609, 'confidence': -0.056178967454005635, 'FD_Position': 'SS'}, 'Tyler Matzek_pitcher': {'Salary': 6100.0, 'projected_FD_points': 11.479174217502738, 'confidence': -5.6793205226168286,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</si>
  <si>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13.485068760750295, 'confidence': -2.0378554402650813, 'FD_Position': 'P'}, 'Jerry Sands_batter': {'Salary': 2200.0, 'projected_FD_points': 2.5251180040458534, 'confidence': -0.035032184473793082, 'FD_Position': 'OF'}, 'Kris Negron_batter': {'Salary': 2400.0, 'projected_FD_points': 2.1304925374804213, 'confidence': -0.061254898637932875, 'FD_Position': '2B'}, 'Marlon Byrd_batter': {'Salary': 2200.0, 'projected_FD_points': 2.4108391608391608, 'confidence': -0.008089914335318138, 'FD_Position': 'OF'},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</si>
  <si>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'1B'}}</t>
  </si>
  <si>
    <t>{'Adrian Beltre_batter': {'Salary': 3400.0, 'projected_FD_points': 2.6032986111111112, 'confidence': -0.035627592614581038, 'FD_Position': '3B'}, 'Shane Victorino_batter': {'Salary': 2500.0, 'projected_FD_points': 2.5128205128205128, 'confidence': -1.8515922370676563e-05, 'FD_Position': 'OF'}, 'Chris Davis_batter': {'Salary': 3500.0, 'projected_FD_points': 2.9821106119422516, 'confidence': -0.06465567151656848, 'FD_Position': '1B'},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'Mookie Betts_batter': {'Salary': 3000.0, 'projected_FD_points': 2.6362729326300567, 'confidence': -0.49847099143227136, 'FD_Position': 'OF'}, 'Jayson Werth_batter': {'Salary': 3300.0, 'projected_FD_points': 2.7940876998112492, 'confidence': -0.047102611078722934, 'FD_Position': 'OF'}}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</si>
  <si>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'David Ortiz_batter': {'Salary': 3600.0, 'projected_FD_points': 2.9891876821469938, 'confidence': -0.031376425402172448, 'FD_Position': '1B'},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'Jayson Werth_batter': {'Salary': 3300.0, 'projected_FD_points': 2.7940876998112492, 'confidence': -0.047102611078722934, 'FD_Position': 'OF'}, 'Chris Carter_batter': {'Salary': 2600.0, 'projected_FD_points': 2.3961397058823528, 'confidence': -0.0028444844124806412,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</si>
  <si>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2.8642232562532319, 'confidence': 0.00040231198738738261,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</si>
  <si>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3.3493779519225035, 'confidence': -0.012279174862321662,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</si>
  <si>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'Chris Davis_batter': {'Salary': 3500.0, 'projected_FD_points': 3.0179028622777428, 'confidence': -0.028238923757736289, 'FD_Position': '1B'}, 'Trevor Plouffe_batter': {'Salary': 2500.0, 'projected_FD_points': 2.0499386257895589, 'confidence': -0.011078377293976871, 'FD_Position': '3B'}, 'Devon Travis_batter': {'Salary': 2800.0, 'projected_FD_points': 7.9374999999999982, 'confidence': 0, 'FD_Position': '2B'}, 'Daniel Santana_batter': {'Salary': 3300.0, 'projected_FD_points': 3.0014999527867872, 'confidence': -0.12606377995427187, 'FD_Position': 'SS'}, 'Clayton Kershaw_pitcher': {'Salary': 11800.0, 'projected_FD_points': 14.899550909804489, 'confidence': -0.3641710927634807, 'FD_Position': 'P'},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</si>
  <si>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{'Robinson Chirinos_batter': {'Salary': 2600.0, 'projected_FD_points': 2.0717788971367979, 'confidence': 0.055869502585065733, 'FD_Position': 'C'}, 'Adrian Beltre_batter': {'Salary': 3500.0, 'projected_FD_points': 2.6428743564877757, 'confidence': -0.050177447169874601, 'FD_Position': '3B'}, 'Shin-Soo Choo_batter': {'Salary': 2900.0, 'projected_FD_points': 2.8541475988102194, 'confidence': -0.025225428762334356, 'FD_Position': 'OF'}, 'Prince Fielder_batter': {'Salary': 3600.0, 'projected_FD_points': 2.5347279941122114, 'confidence': -0.02026621118863714, 'FD_Position': '1B'}, 'Clayton Kershaw_pitcher': {'Salary': 11800.0, 'projected_FD_points': 14.899550909804489, 'confidence': -0.3641710927634807, 'FD_Position': 'P'}, 'Rougned Odor_batter': {'Salary': 3000.0, 'projected_FD_points': 2.1232337000441777, 'confidence': 0.024750881206484054, 'FD_Position': '2B'}, 'Austin Jackson_batter': {'Salary': 2600.0, 'projected_FD_points': 2.2306985294117645, 'confidence': -0.23620223580107536, 'FD_Position': 'OF'}, 'David Peralta_batter': {'Salary': 2800.0, 'projected_FD_points': 2.2283989505805617, 'confidence': -1.8916707291086547, 'FD_Position': 'OF'}, 'Brad Miller_batter': {'Salary': 2200.0, 'projected_FD_points': 1.8136521602213362, 'confidence': -0.005043894439909602, 'FD_Position': 'SS'}}</t>
  </si>
  <si>
    <t>{'Brian Dozier_batter': {'Salary': 3100.0, 'projected_FD_points': 2.4716363307003895, 'confidence': -0.022408881915837231, 'FD_Position': '2B'}, 'Johnny Cueto_pitcher': {'Salary': 10600.0, 'projected_FD_points': 13.494455286633272, 'confidence': 0.13447787537447997,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</si>
  <si>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3.7793034371768055, 'confidence': -0.21027840308532664, 'FD_Position': '3B'}, 'Francisco Liriano_pitcher': {'Salary': 9400.0, 'projected_FD_points': 12.461670987333786, 'confidence': -0.072799997954429818,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'Carlos Gonzalez_batter': {'Salary': 3200.0, 'projected_FD_points': 3.2537585574438728, 'confidence': -0.076574193918322209, 'FD_Position': 'OF'}, 'Preston Tucker_batter': {'Salary': 3000.0, 'projected_FD_points': 3.5, 'confidence': 0, 'FD_Position': 'OF'}, 'Troy Tulowitzki_batter': {'Salary': 4500.0, 'projected_FD_points': 3.397167510215132, 'confidence': -0.1512511308400355, 'FD_Position': 'SS'}, 'Michael Cuddyer_batter': {'Salary': 2500.0, 'projected_FD_points': 2.8260309278350517, 'confidence': -0.048267928549660333, 'FD_Position': 'OF'}}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</si>
  <si>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'SS'}, 'Jason Castro_batter': {'Salary': 2200.0, 'projected_FD_points': 2.035282258064516, 'confidence': -0.033997349863741366, 'FD_Position': 'C'}}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</si>
  <si>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'SS'}}</t>
  </si>
  <si>
    <t>{'Robinson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14.980714277594155, 'confidence': 0.018569201969525828, 'FD_Position': 'P'}, 'Chris Colabello_batter': {'Salary': 2300.0, 'projected_FD_points': 2.6954984486321734, 'confidence': -0.16244315188718383, 'FD_Position': 'OF'},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'Michael McKenry_batter': {'Salary': 2700.0, 'projected_FD_points': 1.7438515529901442, 'confidence': -0.007698152050384266, 'FD_Position': 'C'}}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</si>
  <si>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</si>
  <si>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'Troy Tulowitzki_batter': {'Salary': 4500.0, 'projected_FD_points': 3.3735301963705142, 'confidence': 0.019980490459919453,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</si>
  <si>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{'Kris Bryant_batter': {'Salary': 4000.0, 'projected_FD_points': 2.9631668816877892, 'confidence': -0.12608516257462821, 'FD_Position': '3B'}, 'Elvis Andrus_batter': {'Salary': 2500.0, 'projected_FD_points': 2.0323343848580442, 'confidence': -0.099232389558378653, 'FD_Position': 'SS'},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'Max Muncy_batter': {'Salary': 2700.0, 'projected_FD_points': 3.2069972978449233, 'confidence': 0.39815518780066816, 'FD_Position': '1B'}, 'Mike Trout_batter': {'Salary': 5000.0, 'projected_FD_points': 3.5506230529595015, 'confidence': -0.046429613814209958, 'FD_Position': 'OF'}, 'Chris Colabello_batter': {'Salary': 2300.0, 'projected_FD_points': 2.6954984486321734, 'confidence': -0.16244315188718383, 'FD_Position': 'OF'}, 'Dustin Pedroia_batter': {'Salary': 2800.0, 'projected_FD_points': 2.3976190476190475, 'confidence': -0.020100436268100985, 'FD_Position': '2B'}}</t>
  </si>
  <si>
    <t>{'Kris Bryant_batter': {'Salary': 4000.0, 'projected_FD_points': 3.7824590280907202, 'confidence': -2.9903175260698895, 'FD_Position': '3B'}, 'Shin-Soo Choo_batter': {'Salary': 3200.0, 'projected_FD_points': 2.9408911488390781, 'confidence': 0.024331730315192202, 'FD_Position': 'OF'}, 'Matt Kemp_batter': {'Salary': 2600.0, 'projected_FD_points': 2.3957724627725936, 'confidence': 0.0063255873574227239, 'FD_Position': 'OF'}, 'David Ortiz_batter': {'Salary': 3100.0, 'projected_FD_points': 3.0748142799386979, 'confidence': -0.0061363516390462447, 'FD_Position': '1B'}, 'Robinson Cano_batter': {'Salary': 2900.0, 'projected_FD_points': 2.7752543014171493, 'confidence': -0.0099084586705873168, 'FD_Position': '2B'}, 'Wilson Ramos_batter': {'Salary': 2900.0, 'projected_FD_points': 2.2601182585641526, 'confidence': -0.017029496227168872, 'FD_Position': 'C'}, 'Troy Tulowitzki_batter': {'Salary': 4500.0, 'projected_FD_points': 3.292061234404295, 'confidence': 0.040778041362638962,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</si>
  <si>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11.233861751480582, 'confidence': -0.1993904836060465, 'FD_Position': 'P'}, 'Troy Tulowitzki_batter': {'Salary': 4500.0, 'projected_FD_points': 3.292061234404295, 'confidence': 0.040778041362638962,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</si>
  <si>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3.4143157387608474, 'confidence': 0.061681602980415695,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</si>
  <si>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3.4143157387608474, 'confidence': 0.061681602980415695, 'FD_Position': 'SS'}}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</si>
  <si>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'Dexter Fowler_batter': {'Salary': 3600.0, 'projected_FD_points': 2.5735780312611185, 'confidence': -0.048685096200068667, 'FD_Position': 'OF'}, 'Jake Arrieta_pitcher': {'Salary': 9900.0, 'projected_FD_points': 11.563288959168911, 'confidence': -0.11267964368359995, 'FD_Position': 'P'}, 'Jimmy Rollins_batter': {'Salary': 2600.0, 'projected_FD_points': 2.1084242901185162, 'confidence': -0.049340211154752955, 'FD_Position': 'SS'}, 'Mark Trumbo_batter': {'Salary': 3800.0, 'projected_FD_points': 2.4539561258924429, 'confidence': -0.14101975085411045,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</si>
  <si>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'Paul Goldschmidt_batter': {'Salary': 5200.0, 'projected_FD_points': 3.7166781382669578, 'confidence': -0.042731217886292194, 'FD_Position': '1B'}, 'Troy Tulowitzki_batter': {'Salary': 4400.0, 'projected_FD_points': 3.566217171060476, 'confidence': -0.054898114671478426, 'FD_Position': 'SS'}, 'Chris Colabello_batter': {'Salary': 2500.0, 'projected_FD_points': 3.0378611251912289, 'confidence': -0.16931406001773275, 'FD_Position': 'OF'}, 'Rusney Castillo_batter': {'Salary': 2900.0, 'projected_FD_points': 3.0561885612153707, 'confidence': -0.2047119186632127,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</si>
  <si>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'Josh Donaldson_batter': {'Salary': 3800.0, 'projected_FD_points': 2.863593925245739, 'confidence': -0.0069621773450982971, 'FD_Position': '3B'},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'Chris Colabello_batter': {'Salary': 2500.0, 'projected_FD_points': 3.0378611251912289, 'confidence': -0.16931406001773275,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</si>
  <si>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11.634134535858189, 'confidence': 0.049336271946696986,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3.566217171060476, 'confidence': -0.054898114671478426, 'FD_Position': 'SS'}}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</si>
  <si>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'Robinson Cano_batter': {'Salary': 2700.0, 'projected_FD_points': 2.8008400429684359, 'confidence': -0.051878197865921072, 'FD_Position': '2B'}, 'Preston Tucker_batter': {'Salary': 3000.0, 'projected_FD_points': 3.0681818181818183, 'confidence': -1.3966942148760335, 'FD_Position': 'OF'},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'C'}}</t>
  </si>
  <si>
    <t>{'Robinson Cano_batter': {'Salary': 2700.0, 'projected_FD_points': 2.8008400429684359, 'confidence': -0.051878197865921072, 'FD_Position': '2B'}, 'Josh Donaldson_batter': {'Salary': 3800.0, 'projected_FD_points': 2.8302372000879252, 'confidence': 0.022396539330934107, 'FD_Position': '3B'}, 'Roenis Elias_pitcher': {'Salary': 7200.0, 'projected_FD_points': 10.48173800323522, 'confidence': -0.010536288742668543, 'FD_Position': 'P'},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'Chris Colabello_batter': {'Salary': 2700.0, 'projected_FD_points': 2.64876897446777, 'confidence': 0.062683331156091371,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'C'}, 'Andrew McCutchen_batter': {'Salary': 4300.0, 'projected_FD_points': 3.1875, 'confidence': -0.013281834210327803, 'FD_Position': 'OF'}}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</si>
  <si>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'Brian Dozier_batter': {'Salary': 3700.0, 'projected_FD_points': 2.6908418433234353, 'confidence': -0.035586228492497707, 'FD_Position': '2B'}, 'Paul Goldschmidt_batter': {'Salary': 5200.0, 'projected_FD_points': 3.6815466849262095, 'confidence': 0.058198209711667781, 'FD_Position': '1B'}, 'Preston Tucker_batter': {'Salary': 3000.0, 'projected_FD_points': 3.0681818181818183, 'confidence': -1.3966942148760335, 'FD_Position': 'OF'}, 'Wilson Ramos_batter': {'Salary': 2700.0, 'projected_FD_points': 2.0772068519416744, 'confidence': -0.30557138292663377, 'FD_Position': 'C'}, 'Michael Cuddyer_batter': {'Salary': 2300.0, 'projected_FD_points': 2.7164641694341616, 'confidence': -0.01136593529797203, 'FD_Position': 'OF'}, 'Ian Desmond_batter': {'Salary': 3100.0, 'projected_FD_points': 2.386574074074074, 'confidence': -0.001532108466356874, 'FD_Position': 'SS'}}</t>
  </si>
  <si>
    <t>{'Shin-Soo Choo_batter': {'Salary': 3500.0, 'projected_FD_points': 3.2538351624541635, 'confidence': -0.039827421849668365, 'FD_Position': 'OF'}, 'Alex Rodriguez_batter': {'Salary': 3200.0, 'projected_FD_points': 3.3514965462585211, 'confidence': -0.063946379477220816, 'FD_Position': '3B'}, 'David Ortiz_batter': {'Salary': 2800.0, 'projected_FD_points': 3.1918247377935653, 'confidence': -0.27467164831488833, 'FD_Position': '1B'}, 'Robinson Cano_batter': {'Salary': 2600.0, 'projected_FD_points': 2.8266028122830171, 'confidence': -0.41624145780912847, 'FD_Position': '2B'}, 'Carlos Gonzalez_batter': {'Salary': 2900.0, 'projected_FD_points': 3.1871601863178585, 'confidence': -0.026343218091295473, 'FD_Position': 'OF'}, 'Clayton Kershaw_pitcher': {'Salary': 11000.0, 'projected_FD_points': 15.068598579655708, 'confidence': -0.093918425025877106, 'FD_Position': 'P'}, 'Troy Tulowitzki_batter': {'Salary': 3900.0, 'projected_FD_points': 3.125634237956274, 'confidence': -0.023985143429585243, 'FD_Position': 'SS'}, 'Michael Cuddyer_batter': {'Salary': 2200.0, 'projected_FD_points': 2.8804024045934709, 'confidence': -0.00014748414189313941, 'FD_Position': 'OF'}, 'Francisco Cervelli_batter': {'Salary': 2500.0, 'projected_FD_points': 2.3816597698498079, 'confidence': -0.046880206104699784, 'FD_Position': 'C'}}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</si>
  <si>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3.0935194523724627, 'confidence': -0.061264425564676817,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</si>
  <si>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3.0935194523724627, 'confidence': -0.061264425564676817, 'FD_Position': 'SS'}, 'Michael Pineda_pitcher': {'Salary': 9400.0, 'projected_FD_points': 13.335784762446401, 'confidence': -2.3197707312963916, 'FD_Position': 'P'}, 'Michael Cuddyer_batter': {'Salary': 2400.0, 'projected_FD_points': 2.937843942605816, 'confidence': -0.016151606170736521, 'FD_Position': 'OF'}}</t>
  </si>
  <si>
    <t>{'Kris Bryant_batter': {'Salary': 4600.0, 'projected_FD_points': 3.4472710100145809, 'confidence': -0.073860656351425691,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</si>
  <si>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'Ryan Braun_batter': {'Salary': 4700.0, 'projected_FD_points': 3.1740889623155435, 'confidence': -0.034632263857286683, 'FD_Position': 'OF'}, 'Daniel Santana_batter': {'Salary': 2600.0, 'projected_FD_points': 2.3407019680765759, 'confidence': -0.0036743689531120172, 'FD_Position': 'SS'}, 'Buster Posey_batter': {'Salary': 4000.0, 'projected_FD_points': 2.2585937500000002, 'confidence': -0.17508795526630294, 'FD_Position': 'C'}, 'Michael Pineda_pitcher': {'Salary': 9400.0, 'projected_FD_points': 13.335784762446401, 'confidence': -2.3197707312963916, 'FD_Position': 'P'}, 'Hanley Ramirez_batter': {'Salary': 3200.0, 'projected_FD_points': 2.8044246011104419, 'confidence': 0.0035401417753219144, 'FD_Position': 'OF'}, 'Michael Cuddyer_batter': {'Salary': 2400.0, 'projected_FD_points': 2.937843942605816, 'confidence': -0.016151606170736521,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</si>
  <si>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</si>
  <si>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</si>
  <si>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{'Alex Rodriguez_batter': {'Salary': 3300.0, 'projected_FD_points': 3.476234199194332, 'confidence': -0.29677169826041028, 'FD_Position': '3B'}, 'Neil Walker_batter': {'Salary': 2800.0, 'projected_FD_points': 2.3901730730777957, 'confidence': -0.092937330992754363, 'FD_Position': '2B'}, 'Hunter Pence_batter': {'Salary': 3100.0, 'projected_FD_points': 2.7003154574132493, 'confidence': -0.0074598080784540333, 'FD_Position': 'OF'},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'Mike Trout_batter': {'Salary': 5000.0, 'projected_FD_points': 3.5949974933890529, 'confidence': -0.065233100665574417, 'FD_Position': 'OF'}, 'Didi Gregorius_batter': {'Salary': 2500.0, 'projected_FD_points': 1.9729508453350033, 'confidence': -0.083069548471643051, 'FD_Position': 'SS'},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</si>
  <si>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'Andrelton Simmons_batter': {'Salary': 2200.0, 'projected_FD_points': 1.8312302839116719, 'confidence': -0.15832676051066219, 'FD_Position': 'SS'}, 'Mike Trout_batter': {'Salary': 5000.0, 'projected_FD_points': 3.5949974933890529, 'confidence': -0.065233100665574417, 'FD_Position': 'OF'}, 'Dustin Pedroia_batter': {'Salary': 2800.0, 'projected_FD_points': 2.4143302180685358, 'confidence': -0.022337152126844062, 'FD_Position': '2B'},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</si>
  <si>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3.2608857481288935, 'confidence': -0.20692884130405509,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3.378899244718875, 'confidence': -0.017823114282767172, 'FD_Position': 'SS'}, 'Michael Cuddyer_batter': {'Salary': 2700.0, 'projected_FD_points': 2.9490049751243781, 'confidence': -0.01866395298406931, 'FD_Position': 'OF'}, 'Cole Hamels_pitcher': {'Salary': 9800.0, 'projected_FD_points': 12.779795860900457, 'confidence': -0.1738296118397189,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</si>
  <si>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13.028849260618108, 'confidence': -0.15269139685280764,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</si>
  <si>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13.028849260618108, 'confidence': -0.15269139685280764,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</si>
  <si>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{'Chris Davis_batter': {'Salary': 3400.0, 'projected_FD_points': 3.0750541896587986, 'confidence': 0.014781649966447596, 'FD_Position': '1B'}, 'Jose Bautista_batter': {'Salary': 4700.0, 'projected_FD_points': 3.4517649492589522, 'confidence': -0.044023955261265124, 'FD_Position': 'OF'},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'Gio Gonzalez_pitcher': {'Salary': 8700.0, 'projected_FD_points': 11.925477939172719, 'confidence': -0.041953712576417779, 'FD_Position': 'P'},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'OF'}, 'Jason Castro_batter': {'Salary': 2400.0, 'projected_FD_points': 2.0879446640316206, 'confidence': -0.00046943305154911741, 'FD_Position': 'C'}}</t>
  </si>
  <si>
    <t>{'Robinson Chirinos_batter': {'Salary': 2700.0, 'projected_FD_points': 2.1748597675829262, 'confidence': -0.01545422840853683, 'FD_Position': 'C'}, 'Wade Miley_pitcher': {'Salary': 7000.0, 'projected_FD_points': 13.028849260618108, 'confidence': -0.15269139685280764, 'FD_Position': 'P'}, 'Tim Beckham_batter': {'Salary': 2400.0, 'projected_FD_points': 2.6133231743274585, 'confidence': -9.4580909500250563,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</si>
  <si>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</si>
  <si>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{'Albert Pujols_batter': {'Salary': 3200.0, 'projected_FD_points': 2.6455524148350307, 'confidence': -0.036332687227669469, 'FD_Position': '1B'}, 'Alex Rodriguez_batter': {'Salary': 3400.0, 'projected_FD_points': 3.5445187428154874, 'confidence': -0.171098206663161, 'FD_Position': '3B'}, 'Matt Kemp_batter': {'Salary': 2300.0, 'projected_FD_points': 2.3775545532364979, 'confidence': 0.0050888013042343916, 'FD_Position': 'OF'}, 'Hunter Pence_batter': {'Salary': 3000.0, 'projected_FD_points': 2.6507812500000001, 'confidence': -0.031919795376931459, 'FD_Position': 'OF'},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'Marcus Semien_batter': {'Salary': 2800.0, 'projected_FD_points': 2.0656081003336784, 'confidence': -0.020034597905910667,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</si>
  <si>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</si>
  <si>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9.7297135932286309, 'confidence': -0.23545916706453029,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</si>
  <si>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3.236887589202182, 'confidence': -0.077950496295492888, 'FD_Position': 'SS'}, 'Michael Cuddyer_batter': {'Salary': 2700.0, 'projected_FD_points': 2.9864532019704435, 'confidence': -0.25518324311791885, 'FD_Position': 'OF'}}</t>
  </si>
  <si>
    <t>{'Kris Bryant_batter': {'Salary': 4500.0, 'projected_FD_points': 3.5213671907986495, 'confidence': -0.1759835945094721,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20.068589413081845, 'confidence': -3.0791370645947449, 'FD_Position': 'P'}, 'Mike Trout_batter': {'Salary': 5000.0, 'projected_FD_points': 3.6155800407339398, 'confidence': -0.00049750809257198547, 'FD_Position': 'OF'}, 'Troy Tulowitzki_batter': {'Salary': 4500.0, 'projected_FD_points': 3.2853709455897202, 'confidence': 0.029470832932024682,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</si>
  <si>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3.2853709455897202, 'confidence': 0.029470832932024682,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</si>
  <si>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{'Shin-Soo Choo_batter': {'Salary': 3200.0, 'projected_FD_points': 3.1604122289297649, 'confidence': -0.057982581115846976, 'FD_Position': 'OF'}, 'Alex Rodriguez_batter': {'Salary': 3300.0, 'projected_FD_points': 2.7313511584066745, 'confidence': -0.063861184149566874, 'FD_Position': '3B'}, 'Carlos Perez_batter': {'Salary': 2900.0, 'projected_FD_points': 3.1050335570469798, 'confidence': -6.5416899249803961, 'FD_Position': 'C'}, 'Robinson Cano_batter': {'Salary': 2600.0, 'projected_FD_points': 2.6344410876132929, 'confidence': -0.0044936170056077973, 'FD_Position': '2B'}, 'Matt Holliday_batter': {'Salary': 3100.0, 'projected_FD_points': 2.9036144578313254, 'confidence': -0.080190696621835977, 'FD_Position': 'OF'},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'Chris Davis_batter': {'Salary': 3500.0, 'projected_FD_points': 3.1045470762921696, 'confidence': -0.022781165577150375, 'FD_Position': '1B'}, 'Chris Sale_pitcher': {'Salary': 10400.0, 'projected_FD_points': 13.949440962108909, 'confidence': 0.003050964995412464, 'FD_Position': 'P'}}</t>
  </si>
  <si>
    <t>{'Alex Rodriguez_batter': {'Salary': 3300.0, 'projected_FD_points': 2.7313511584066745, 'confidence': -0.063861184149566874, 'FD_Position': '3B'}, 'Jonathan Lucroy_batter': {'Salary': 2800.0, 'projected_FD_points': 2.4202127659574466, 'confidence': -0.091644846844432415,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'Freddie Freeman_batter': {'Salary': 3500.0, 'projected_FD_points': 2.9802482237868646, 'confidence': -0.15038154497214884, 'FD_Position': '1B'}, 'Matt Holliday_batter': {'Salary': 3100.0, 'projected_FD_points': 2.9036144578313254, 'confidence': -0.080190696621835977, 'FD_Position': 'OF'}, 'Daniel Santana_batter': {'Salary': 2200.0, 'projected_FD_points': 2.303435114503817, 'confidence': -0.031128520004189975, 'FD_Position': 'SS'}, 'Nelson Cruz_batter': {'Salary': 4200.0, 'projected_FD_points': 3.0, 'confidence': -0.001433465689998803, 'FD_Position': 'OF'}, 'Hanley Ramirez_batter': {'Salary': 3700.0, 'projected_FD_points': 2.8856275303643724, 'confidence': -0.006639545177073547, 'FD_Position': 'OF'}}</t>
  </si>
  <si>
    <t>{'Alex Rodriguez_batter': {'Salary': 3300.0, 'projected_FD_points': 2.7313511584066745, 'confidence': -0.063861184149566874, 'FD_Position': '3B'}, 'Jarrod Saltalamacchia_batter': {'Salary': 2200.0, 'projected_FD_points': 1.9437229437229437, 'confidence': -0.10685521024803046,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'Paul Goldschmidt_batter': {'Salary': 5500.0, 'projected_FD_points': 3.863658748128854, 'confidence': -0.096531665080376916, 'FD_Position': '1B'}, 'Angel Pagan_batter': {'Salary': 2300.0, 'projected_FD_points': 2.0905612244897958, 'confidence': -0.00046471637362510698, 'FD_Position': 'OF'}, 'Nelson Cruz_batter': {'Salary': 4200.0, 'projected_FD_points': 3.0, 'confidence': -0.001433465689998803, 'FD_Position': 'OF'}, 'Brett Gardner_batter': {'Salary': 3300.0, 'projected_FD_points': 2.5425414153004566, 'confidence': -0.0055203022336074437, 'FD_Position': 'OF'}, 'Didi Gregorius_batter': {'Salary': 2200.0, 'projected_FD_points': 1.7180738628509835, 'confidence': -0.010885991874082013, 'FD_Position': 'SS'}}</t>
  </si>
  <si>
    <t>{'Shin-Soo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'Maikel Franco_batter': {'Salary': 2200.0, 'projected_FD_points': 2.1787632104653278, 'confidence': -1.0931121200812259, 'FD_Position': '3B'}, 'Kole Calhoun_batter': {'Salary': 2700.0, 'projected_FD_points': 2.4847810619077233, 'confidence': -0.096640408812897594, 'FD_Position': 'OF'}, 'Troy Tulowitzki_batter': {'Salary': 4500.0, 'projected_FD_points': 3.478021469804002, 'confidence': -0.0034819820176610339, 'FD_Position': 'SS'},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</si>
  <si>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</si>
  <si>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</si>
  <si>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{'Manny Machado_batter': {'Salary': 3400.0, 'projected_FD_points': 2.3620689655172415, 'confidence': -0.022103524872859381, 'FD_Position': '3B'}, 'Brian Dozier_batter': {'Salary': 4000.0, 'projected_FD_points': 2.7356460612678588, 'confidence': -0.018039153204159719, 'FD_Position': '2B'}, 'Stephen Vogt_batter': {'Salary': 3500.0, 'projected_FD_points': 2.1005917159763312, 'confidence': -0.19091998195195581, 'FD_Position': 'C'}, 'Everth Cabrera_batter': {'Salary': 2200.0, 'projected_FD_points': 1.9985439760321677, 'confidence': -0.012199993713093216, 'FD_Position': 'SS'}, 'Billy Burns_batter': {'Salary': 3300.0, 'projected_FD_points': 2.535441020191286, 'confidence': -0.14633843311555661, 'FD_Position': 'OF'}, 'David Ortiz_batter': {'Salary': 2500.0, 'projected_FD_points': 3.073570930545416, 'confidence': -0.10522717341184995, 'FD_Position': '1B'}, 'Adam Jones_batter': {'Salary': 2700.0, 'projected_FD_points': 2.5666572074912661, 'confidence': 0.0032783907877139695, 'FD_Position': 'OF'}, 'Dallas Keuchel_pitcher': {'Salary': 9800.0, 'projected_FD_points': 10.922470014675362, 'confidence': -0.13177555334009572, 'FD_Position': 'P'}, 'Hanley Ramirez_batter': {'Salary': 3600.0, 'projected_FD_points': 2.7096695570558711, 'confidence': -0.20732301209540083,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</si>
  <si>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</si>
  <si>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9.0841588925153083, 'confidence': -0.20269494140340516,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</si>
  <si>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11.30097216416976, 'confidence': -0.066067489989868999,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</si>
  <si>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'Neil Walker_batter': {'Salary': 2700.0, 'projected_FD_points': 2.6603819979623289, 'confidence': -0.090943141869105348, 'FD_Position': '2B'}, 'Carlos Perez_batter': {'Salary': 2900.0, 'projected_FD_points': 2.4216959511077158, 'confidence': -2.7945673529499304, 'FD_Position': 'C'}, 'David Ortiz_batter': {'Salary': 2500.0, 'projected_FD_points': 3.04126213592233, 'confidence': -0.00065706179756896965, 'FD_Position': '1B'}, 'Mookie Betts_batter': {'Salary': 2900.0, 'projected_FD_points': 2.453125, 'confidence': -0.32744645620903157, 'FD_Position': 'OF'}, 'Mike Trout_batter': {'Salary': 5100.0, 'projected_FD_points': 3.6145209580838324, 'confidence': -0.00016995762068061637, 'FD_Position': 'OF'}, 'David Price_pitcher': {'Salary': 11000.0, 'projected_FD_points': 12.554271472970955, 'confidence': -0.20905009848508871, 'FD_Position': 'P'}, 'Alexei Ramirez_batter': {'Salary': 2200.0, 'projected_FD_points': 1.9912275135678861, 'confidence': -0.003846612296157792, 'FD_Position': 'SS'}}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</si>
  <si>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'Carlos Perez_batter': {'Salary': 2900.0, 'projected_FD_points': 2.4216959511077158, 'confidence': -2.7945673529499304, 'FD_Position': 'C'}, 'Jose Abreu_batter': {'Salary': 3600.0, 'projected_FD_points': 3.0853086406529489, 'confidence': -0.085686531549295175, 'FD_Position': '1B'}, 'Robinson Cano_batter': {'Salary': 2500.0, 'projected_FD_points': 2.6125356876239199, 'confidence': -0.014791725316911419, 'FD_Position': '2B'}, 'Clayton Kershaw_pitcher': {'Salary': 11700.0, 'projected_FD_points': 15.340783399280966, 'confidence': -0.32252111237217762, 'FD_Position': 'P'}, 'Michael Cuddyer_batter': {'Salary': 2600.0, 'projected_FD_points': 2.7203527728664372, 'confidence': -0.050255225436592887, 'FD_Position': 'OF'}, 'Nelson Cruz_batter': {'Salary': 3900.0, 'projected_FD_points': 3.0328682655632369, 'confidence': -0.062327001049858666, 'FD_Position': 'OF'}, 'Alexei Ramirez_batter': {'Salary': 2200.0, 'projected_FD_points': 1.9912275135678861, 'confidence': -0.003846612296157792, 'FD_Position': 'SS'}}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</si>
  <si>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'Jonathan Lucroy_batter': {'Salary': 2800.0, 'projected_FD_points': 2.3327464788732395, 'confidence': -0.01288918146929019, 'FD_Position': 'C'},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'Carlos Gomez_batter': {'Salary': 3600.0, 'projected_FD_points': 2.8955706430044734, 'confidence': -0.026048698005615822, 'FD_Position': 'OF'}, 'Maikel Franco_batter': {'Salary': 2700.0, 'projected_FD_points': 3.3277001009881682, 'confidence': -8.9291432858205404,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</si>
  <si>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2.4709884452040907, 'confidence': -0.2871205309580247,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</si>
  <si>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'Kennys Vargas_batter': {'Salary': 2500.0, 'projected_FD_points': 2.3711419131606846, 'confidence': -0.053697933506321682, 'FD_Position': '1B'}, 'Maikel Franco_batter': {'Salary': 2900.0, 'projected_FD_points': 3.3029049109316446, 'confidence': -2.692996161266723, 'FD_Position': '3B'}, 'Alex Gordon_batter': {'Salary': 2700.0, 'projected_FD_points': 2.4945436744207439, 'confidence': -0.0072852429978680355, 'FD_Position': 'OF'}, 'Chris Colabello_batter': {'Salary': 2900.0, 'projected_FD_points': 2.5905915299451401, 'confidence': 0.031326359778929502, 'FD_Position': 'OF'}, 'Troy Tulowitzki_batter': {'Salary': 4800.0, 'projected_FD_points': 3.7864588971051591, 'confidence': -0.14140622371022005, 'FD_Position': 'SS'}, 'Chris Sale_pitcher': {'Salary': 10900.0, 'projected_FD_points': 14.21398493372449, 'confidence': -0.062628985922702274,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</si>
  <si>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3.6181688625922463, 'confidence': -0.77854618511473861, 'FD_Position': '3B'}, 'Alex Gordon_batter': {'Salary': 2600.0, 'projected_FD_points': 2.5289951517782345, 'confidence': -0.028728954754462466, 'FD_Position': 'OF'}, 'Troy Tulowitzki_batter': {'Salary': 4700.0, 'projected_FD_points': 3.5469684568455024, 'confidence': 0.027217915183856745,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</si>
  <si>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'Ian Desmond_batter': {'Salary': 3000.0, 'projected_FD_points': 2.4423692368072869, 'confidence': -0.09888452032454742, 'FD_Position': 'SS'}, 'Jonathan Lucroy_batter': {'Salary': 2800.0, 'projected_FD_points': 2.4010416666666665, 'confidence': -0.053477009883601268, 'FD_Position': 'C'}, 'Robinson Cano_batter': {'Salary': 2300.0, 'projected_FD_points': 2.6480017284773285, 'confidence': -0.02627738941803992, 'FD_Position': '2B'}, 'Matt Harvey_pitcher': {'Salary': 11000.0, 'projected_FD_points': 14.02507392876843, 'confidence': 0.019433216283321619, 'FD_Position': 'P'}, 'Carlos Gonzalez_batter': {'Salary': 3800.0, 'projected_FD_points': 3.3718198507567654, 'confidence': -0.030694020055404003, 'FD_Position': 'OF'}, 'Maikel Franco_batter': {'Salary': 3100.0, 'projected_FD_points': 3.3188988312358121, 'confidence': -0.57953607697362974, 'FD_Position': '3B'}, 'Michael Cuddyer_batter': {'Salary': 2600.0, 'projected_FD_points': 2.7069422466832194, 'confidence': -0.027188993118758109, 'FD_Position': 'OF'}}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</si>
  <si>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14.02507392876843, 'confidence': 0.019433216283321619,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</si>
  <si>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'Ian Desmond_batter': {'Salary': 3000.0, 'projected_FD_points': 2.4423692368072869, 'confidence': -0.09888452032454742, 'FD_Position': 'SS'}, 'Jose Bautista_batter': {'Salary': 5400.0, 'projected_FD_points': 3.363372259154719, 'confidence': -0.0061346890774187646, 'FD_Position': 'OF'}, 'Maikel Franco_batter': {'Salary': 3100.0, 'projected_FD_points': 3.3188988312358121, 'confidence': -0.57953607697362974, 'FD_Position': '3B'},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11.734665537696541, 'confidence': -0.66021796658666698, 'FD_Position': 'P'},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</si>
  <si>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13.262133102088843, 'confidence': -1.0609836078888644,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2.9134944599762695, 'confidence': -0.033208457654327006,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</si>
  <si>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10.312028022721428, 'confidence': -0.40374041861371035,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</si>
  <si>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'Alex Rodriguez_batter': {'Salary': 3300.0, 'projected_FD_points': 2.824149979972078, 'confidence': -0.0012706547848304606, 'FD_Position': '3B'},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'Troy Tulowitzki_batter': {'Salary': 4500.0, 'projected_FD_points': 3.2121699038393174, 'confidence': -0.032192103770220415, 'FD_Position': 'SS'}, 'Michael Pineda_pitcher': {'Salary': 9800.0, 'projected_FD_points': 14.543805622568184, 'confidence': -0.71467082225458434, 'FD_Position': 'P'}, 'Michael Cuddyer_batter': {'Salary': 2500.0, 'projected_FD_points': 2.7915000642435288, 'confidence': -0.25859876736455045, 'FD_Position': 'OF'}}</t>
  </si>
  <si>
    <t>FD Median(2013/2014/2015 Season) - trying to see if we get same results as before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</si>
  <si>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'Wilson Ramos_batter': {'Salary': 3000.0, 'projected_FD_points': 2.2506033397410503, 'confidence': -0.027277946201729852, 'FD_Position': 'C'}, 'Troy Tulowitzki_batter': {'Salary': 4300.0, 'projected_FD_points': 3.4731452393903468, 'confidence': -0.045199357577628829, 'FD_Position': 'SS'}, 'Michael Cuddyer_batter': {'Salary': 2500.0, 'projected_FD_points': 2.9166666666666665, 'confidence': -1.6006786877742485e-05, 'FD_Position': 'OF'}}</t>
  </si>
  <si>
    <t>{'Shin-Soo Choo_batter': {'Salary': 3100.0, 'projected_FD_points': 3.0141098566957378, 'confidence': 0.015602937812304707, 'FD_Position': 'OF'}, 'Brian Dozier_batter': {'Salary': 3500.0, 'projected_FD_points': 2.593438501771554, 'confidence': -0.0091497282242294364, 'FD_Position': '2B'}, 'Delino Deshields Jr._batter': {'Salary': 3100.0, 'projected_FD_points': 3.0276035260352603, 'confidence': -0.89221800118110806, 'FD_Position': 'OF'},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11.49144140281612, 'confidence': -0.059901426264815649,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'C'}, 'Matt Carpenter_batter': {'Salary': 4300.0, 'projected_FD_points': 2.7973425070785631, 'confidence': -0.016407813222561796, 'FD_Position': '3B'}}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</si>
  <si>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'Troy Tulowitzki_batter': {'Salary': 4300.0, 'projected_FD_points': 3.4731452393903468, 'confidence': -0.045199357577628829, 'FD_Position': 'SS'}, 'Jayson Werth_batter': {'Salary': 2900.0, 'projected_FD_points': 2.757216775978645, 'confidence': 0.0073948548114161072, 'FD_Position': 'OF'}, 'Jason Castro_batter': {'Salary': 2300.0, 'projected_FD_points': 2.0706967213114753, 'confidence': -0.0090798009310071315, 'FD_Position': 'C'}}</t>
  </si>
  <si>
    <t>{'Adrian Beltre_batter': {'Salary': 3100.0, 'projected_FD_points': 2.554383116883117, 'confidence': -0.084958697533153993, 'FD_Position': '3B'}, 'Shin-Soo Choo_batter': {'Salary': 3100.0, 'projected_FD_points': 3.0141098566957378, 'confidence': 0.015602937812304707, 'FD_Position': 'OF'}, 'Elvis Andrus_batter': {'Salary': 2600.0, 'projected_FD_points': 1.922275641025641, 'confidence': -0.030350385495179433, 'FD_Position': 'SS'}, 'Anthony Rizzo_batter': {'Salary': 4500.0, 'projected_FD_points': 2.8079312321119834, 'confidence': -0.009793361075661311, 'FD_Position': '1B'}, 'Delino Deshields Jr._batter': {'Salary': 3100.0, 'projected_FD_points': 3.0276035260352603, 'confidence': -0.89221800118110806, 'FD_Position': 'OF'}, 'Jon Niese_pitcher': {'Salary': 8400.0, 'projected_FD_points': 11.49144140281612, 'confidence': -0.059901426264815649,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</si>
  <si>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3.0324270032927436, 'confidence': -0.0047938395103321874, 'FD_Position': 'OF'}, 'David Ortiz_batter': {'Salary': 2600.0, 'projected_FD_points': 3.135204081632653, 'confidence': -0.0084367022776801193, 'FD_Position': '1B'}, 'Troy Tulowitzki_batter': {'Salary': 4200.0, 'projected_FD_points': 3.4211377892734594, 'confidence': -0.01952909332812558,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</si>
  <si>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3.8187709380234507, 'confidence': -0.75698882441727977,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3.0179693143238948, 'confidence': -0.028602709556017736,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</si>
  <si>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3.8187709380234507, 'confidence': -0.75698882441727977,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</si>
  <si>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3.2749362416288141, 'confidence': -0.079113135230449938, 'FD_Position': 'OF'},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</si>
  <si>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</si>
  <si>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{'Avisail Garcia_batter': {'Salary': 3000.0, 'projected_FD_points': 2.7513618837218874, 'confidence': -0.014799564897973072, 'FD_Position': 'OF'},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3.2749362416288141, 'confidence': -0.079113135230449938, 'FD_Position': 'OF'}, 'Wilin Rosario_batter': {'Salary': 2900.0, 'projected_FD_points': 2.2685194306272178, 'confidence': 0.024561980492772251, 'FD_Position': 'C'}, 'Stephen Strasburg_pitcher': {'Salary': 8500.0, 'projected_FD_points': 11.311637237646433, 'confidence': -0.20360488244496078, 'FD_Position': 'P'}, 'Jose Abreu_batter': {'Salary': 3600.0, 'projected_FD_points': 3.3259018981878801, 'confidence': -0.1042163075309801, 'FD_Position': '1B'}, 'Matt Carpenter_batter': {'Salary': 4200.0, 'projected_FD_points': 2.7469481876046085, 'confidence': -0.017772909252063762, 'FD_Position': '3B'}}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</si>
  <si>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3.3112795503301671, 'confidence': -0.026705390550001873,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3.0306803159102103, 'confidence': -0.059334223857717472,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</si>
  <si>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11.519651474925578, 'confidence': -0.36679154588651341, 'FD_Position': 'P'}, 'Carlos Gonzalez_batter': {'Salary': 3000.0, 'projected_FD_points': 2.9416105747019055, 'confidence': -0.16395152976123684, 'FD_Position': 'OF'}, 'Wilin Rosario_batter': {'Salary': 3000.0, 'projected_FD_points': 2.1920601669931998, 'confidence': -0.0080314316262399821, 'FD_Position': 'C'}, 'Kyle Seager_batter': {'Salary': 3000.0, 'projected_FD_points': 2.5472454813971765, 'confidence': -0.0033100711793134785, 'FD_Position': '3B'}, 'Troy Tulowitzki_batter': {'Salary': 4400.0, 'projected_FD_points': 3.4570828579385684, 'confidence': -0.060762090642652034,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</si>
  <si>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3.1027165232532852, 'confidence': -0.02423720160017595, 'FD_Position': 'OF'}, 'Troy Tulowitzki_batter': {'Salary': 4400.0, 'projected_FD_points': 3.4856284345040516, 'confidence': -0.047319375850227274, 'FD_Position': 'SS'}, 'Michael Cuddyer_batter': {'Salary': 2600.0, 'projected_FD_points': 2.7497532593009324, 'confidence': 0.0068225886798494173, 'FD_Position': 'OF'}, 'Chris Sale_pitcher': {'Salary': 9600.0, 'projected_FD_points': 13.829629629629629, 'confidence': -0.042104188106338425, 'FD_Position': 'P'}}</t>
  </si>
  <si>
    <t>{'Alex Rodriguez_batter': {'Salary': 3300.0, 'projected_FD_points': 3.6297271208217659, 'confidence': -0.17910730755373949, 'FD_Position': '3B'}, 'Victor Martinez_batter': {'Salary': 3500.0, 'projected_FD_points': 2.5117004285738291, 'confidence': -0.11046042718605054, 'FD_Position': 'C'}, 'Matt Holliday_batter': {'Salary': 3600.0, 'projected_FD_points': 2.9287974683544302, 'confidence': -0.048678831479197493, 'FD_Position': 'OF'}, 'Daniel Santana_batter': {'Salary': 2700.0, 'projected_FD_points': 2.5389629213948051, 'confidence': -0.054493856725448264, 'FD_Position': 'SS'}, 'Jay Bruce_batter': {'Salary': 2700.0, 'projected_FD_points': 2.4487036194752303, 'confidence': -0.0033355760544304669, 'FD_Position': 'OF'}, 'Lance Lynn_pitcher': {'Salary': 8200.0, 'projected_FD_points': 11.156747088453272, 'confidence': -0.19094064245129694, 'FD_Position': 'P'}, 'Chase Utley_batter': {'Salary': 2500.0, 'projected_FD_points': 2.2925783918684117, 'confidence': -0.24241127755217073, 'FD_Position': '2B'},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</si>
  <si>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3.1027165232532852, 'confidence': -0.02423720160017595, 'FD_Position': 'OF'}, 'Wilin Rosario_batter': {'Salary': 3000.0, 'projected_FD_points': 2.2448892027088596, 'confidence': -0.10336230213446762, 'FD_Position': 'C'}, 'Troy Tulowitzki_batter': {'Salary': 4400.0, 'projected_FD_points': 3.4856284345040516, 'confidence': -0.047319375850227274, 'FD_Position': 'SS'}, 'Mike Trout_batter': {'Salary': 5400.0, 'projected_FD_points': 3.656847133757962, 'confidence': -0.00021303576788378464, 'FD_Position': 'OF'},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</si>
  <si>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'Kris Bryant_batter': {'Salary': 3500.0, 'projected_FD_points': 3.0496511232130707, 'confidence': -0.044229927087901411, 'FD_Position': '3B'}, 'Shin-Soo Choo_batter': {'Salary': 2900.0, 'projected_FD_points': 3.2082097704097201, 'confidence': -0.044921275521695891, 'FD_Position': 'OF'}, 'Carlos Gomez_batter': {'Salary': 3700.0, 'projected_FD_points': 2.8586544250564572, 'confidence': -0.033609006069371894, 'FD_Position': 'OF'}, 'Ryan Braun_batter': {'Salary': 4100.0, 'projected_FD_points': 3.0628955763591685, 'confidence': -0.029706615774566458, 'FD_Position': 'OF'}, 'Alexei Ramirez_batter': {'Salary': 2700.0, 'projected_FD_points': 2.0225806451612902, 'confidence': -0.0023551931180725294, 'FD_Position': 'SS'}, 'Jose Abreu_batter': {'Salary': 3400.0, 'projected_FD_points': 3.1624376164291323, 'confidence': 0.070822018859980296, 'FD_Position': '1B'}, 'Omar Infante_batter': {'Salary': 2400.0, 'projected_FD_points': 1.8263636363636364, 'confidence': -0.0054598018240665791, 'FD_Position': '2B'}, 'Chris Sale_pitcher': {'Salary': 9600.0, 'projected_FD_points': 13.829629629629629, 'confidence': -0.042104188106338425, 'FD_Position': 'P'}}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</si>
  <si>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5.2914025747382247, 'confidence': -0.2657808299466875, 'FD_Position': '2B'}, 'Michael Cuddyer_batter': {'Salary': 2600.0, 'projected_FD_points': 2.7507159821601235, 'confidence': -0.055411086380248831, 'FD_Position': 'OF'}}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</si>
  <si>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12.464665046808499, 'confidence': -0.093424060577361079, 'FD_Position': 'P'}}</t>
  </si>
  <si>
    <t>{'Shin-Soo Choo_batter': {'Salary': 2900.0, 'projected_FD_points': 2.8927250027576168, 'confidence': 0.00047499152872376715, 'FD_Position': 'OF'}, 'Devon Travis_batter': {'Salary': 3300.0, 'projected_FD_points': 4.503512927439532, 'confidence': -0.21615152621802514, 'FD_Position': '2B'}, 'Daniel Santana_batter': {'Salary': 2900.0, 'projected_FD_points': 2.6131515768849547, 'confidence': -0.92410260767949493, 'FD_Position': 'SS'}, 'Mike Trout_batter': {'Salary': 5300.0, 'projected_FD_points': 3.7332268370607027, 'confidence': -0.051973587449630765, 'FD_Position': 'OF'}, 'Kyle Seager_batter': {'Salary': 3000.0, 'projected_FD_points': 2.7885040137265009, 'confidence': -0.76983580608543911, 'FD_Position': '3B'}, 'Michael Pineda_pitcher': {'Salary': 8800.0, 'projected_FD_points': 13.431939813271097, 'confidence': -0.63799528559838903, 'FD_Position': 'P'}, 'Jayson Werth_batter': {'Salary': 3100.0, 'projected_FD_points': 2.749473179740217, 'confidence': 0.00023845513567655185,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</si>
  <si>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{'Avisail Garcia_batter': {'Salary': 2800.0, 'projected_FD_points': 2.5496519427920514, 'confidence': -0.054528021493976953, 'FD_Position': 'OF'}, 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'Devon Travis_batter': {'Salary': 3300.0, 'projected_FD_points': 4.503512927439532, 'confidence': -0.21615152621802514, 'FD_Position': '2B'}, 'Jose Abreu_batter': {'Salary': 3500.0, 'projected_FD_points': 3.1884399813171411, 'confidence': -0.042073811395384686, 'FD_Position': '1B'}, 'Daniel Santana_batter': {'Salary': 2900.0, 'projected_FD_points': 2.6131515768849547, 'confidence': -0.92410260767949493, 'FD_Position': 'SS'},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</si>
  <si>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{'Neil Walker_batter': {'Salary': 2800.0, 'projected_FD_points': 2.4064457581024468, 'confidence': -0.0070529555275913314, 'FD_Position': '2B'}, 'Johnny Cueto_pitcher': {'Salary': 10500.0, 'projected_FD_points': 15.35248220492293, 'confidence': -0.96471228389248775, 'FD_Position': 'P'}, 'Devin Mesoraco_batter': {'Salary': 2400.0, 'projected_FD_points': 2.1742788461538463, 'confidence': -0.056086231779477469, 'FD_Position': 'C'}, 'Ryan Braun_batter': {'Salary': 3500.0, 'projected_FD_points': 3.3618480712619951, 'confidence': -0.38588923562275679, 'FD_Position': 'OF'}, 'Jhonny Peralta_batter': {'Salary': 2800.0, 'projected_FD_points': 2.3026785714285714, 'confidence': -0.015213073735241167, 'FD_Position': 'SS'}, 'Kyle Seager_batter': {'Salary': 3000.0, 'projected_FD_points': 2.4225239616613417, 'confidence': -0.026878015509109732, 'FD_Position': '3B'}, 'Jose Abreu_batter': {'Salary': 3500.0, 'projected_FD_points': 3.1746684032797807, 'confidence': 0.016098010774628024, 'FD_Position': '1B'}, 'Michael Cuddyer_batter': {'Salary': 2600.0, 'projected_FD_points': 2.6482180322119295, 'confidence': 0.0092851554662416458, 'FD_Position': 'OF'}, 'Andrew McCutchen_batter': {'Salary': 3900.0, 'projected_FD_points': 3.0834211926787676, 'confidence': -0.0098131651584174584, 'FD_Position': 'OF'}}</t>
  </si>
  <si>
    <t>{'Robinson Chirinos_batter': {'Salary': 2400.0, 'projected_FD_points': 2.2980444890144951, 'confidence': -0.25646572647289045, 'FD_Position': 'C'}, 'Adrian Beltre_batter': {'Salary': 2900.0, 'projected_FD_points': 2.5907827090477449, 'confidence': -0.0072524438007610659, 'FD_Position': '3B'},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'Julio Teheran_pitcher': {'Salary': 8300.0, 'projected_FD_points': 11.127878105911531, 'confidence': -0.66668233564273205, 'FD_Position': 'P'}, 'Daniel Santana_batter': {'Salary': 2900.0, 'projected_FD_points': 2.5145500469739006, 'confidence': 0.0098385088993073744, 'FD_Position': 'SS'}, 'Bryce Harper_batter': {'Salary': 4500.0, 'projected_FD_points': 2.829228756832598, 'confidence': -0.054481675158003284, 'FD_Position': 'OF'}, 'Jayson Werth_batter': {'Salary': 2900.0, 'projected_FD_points': 2.7001218448722013, 'confidence': -0.020002741079993225,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</si>
  <si>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'Jose Bautista_batter': {'Salary': 4800.0, 'projected_FD_points': 3.4838574817982995, 'confidence': -0.075510827741868791, 'FD_Position': 'OF'}, 'Devon Travis_batter': {'Salary': 3400.0, 'projected_FD_points': 4.1274165242691545, 'confidence': -0.45653494601609856, 'FD_Position': '2B'}, 'Matt Harvey_pitcher': {'Salary': 10600.0, 'projected_FD_points': 13.58132977144553, 'confidence': -0.011930414651984078, 'FD_Position': 'P'}, 'Tim Beckham_batter': {'Salary': 2200.0, 'projected_FD_points': 2.6454395604395606, 'confidence': -1.1021634745572273, 'FD_Position': 'SS'}, 'Ryan Braun_batter': {'Salary': 3400.0, 'projected_FD_points': 3.0520519172059712, 'confidence': -0.0020450655295469744, 'FD_Position': 'OF'}, 'Mike Napoli_batter': {'Salary': 2300.0, 'projected_FD_points': 2.5669140360513714, 'confidence': -0.0060620726484472698, 'FD_Position': '1B'}, 'Jason Castro_batter': {'Salary': 2200.0, 'projected_FD_points': 2.1151452282157677, 'confidence': -0.0077198909340163713, 'FD_Position': 'C'}}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</si>
  <si>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2.5159195643066612, 'confidence': -6.3410385055975436,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</si>
  <si>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3.0167569909772438, 'confidence': -0.11751711137627052, 'FD_Position': 'OF'}, 'Alex Rodriguez_batter': {'Salary': 3300.0, 'projected_FD_points': 2.8592982472998427, 'confidence': -0.15891125237099346,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'Zack Greinke_pitcher': {'Salary': 10100.0, 'projected_FD_points': 14.986299783869288, 'confidence': -0.14625357953704654, 'FD_Position': 'P'}, 'Daniel Santana_batter': {'Salary': 2800.0, 'projected_FD_points': 2.4991129950651656, 'confidence': -0.03057428437033094, 'FD_Position': 'SS'},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</si>
  <si>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'Alex Rodriguez_batter': {'Salary': 3400.0, 'projected_FD_points': 3.1161075882988851, 'confidence': -0.33274050410077405, 'FD_Position': '3B'}, 'David Ortiz_batter': {'Salary': 3200.0, 'projected_FD_points': 3.1643356643356642, 'confidence': -0.0015409606835454781, 'FD_Position': '1B'}, 'Mark Canha_batter': {'Salary': 3000.0, 'projected_FD_points': 3.006134751773049, 'confidence': -1.6988772854314216, 'FD_Position': 'OF'}, 'Jhonny Peralta_batter': {'Salary': 2500.0, 'projected_FD_points': 2.2291666666666665, 'confidence': -0.0089513099354761039, 'FD_Position': 'SS'}, 'Clayton Kershaw_pitcher': {'Salary': 11300.0, 'projected_FD_points': 14.978806367299249, 'confidence': -0.019028151169486085, 'FD_Position': 'P'}, 'Devon Travis_batter': {'Salary': 3500.0, 'projected_FD_points': 8.0474011763096698, 'confidence': -0.16828755725800626, 'FD_Position': '2B'}, 'Jayson Werth_batter': {'Salary': 3000.0, 'projected_FD_points': 2.772453502520424, 'confidence': 0.022552521980293116,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</si>
  <si>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'Dallas Keuchel_pitcher': {'Salary': 8500.0, 'projected_FD_points': 9.491670136739236, 'confidence': 0.0098980082603443709, 'FD_Position': 'P'},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</si>
  <si>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11.222567459369865, 'confidence': 0.019828214850306281, 'FD_Position': 'P'}, 'Carlos Gonzalez_batter': {'Salary': 3000.0, 'projected_FD_points': 2.7886740331491713, 'confidence': -0.0063150917568857157,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</si>
  <si>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'Alex Rodriguez_batter': {'Salary': 3400.0, 'projected_FD_points': 2.8076236249788455, 'confidence': -0.40941145584806504, 'FD_Position': '3B'}, 'Paulo Orlando_batter': {'Salary': 3000.0, 'projected_FD_points': 3.7129283489096574, 'confidence': 0.0, 'FD_Position': 'OF'}, 'Carlos Gonzalez_batter': {'Salary': 3000.0, 'projected_FD_points': 3.0848439499451459, 'confidence': -0.080814379419854365, 'FD_Position': 'OF'}, 'Troy Tulowitzki_batter': {'Salary': 4300.0, 'projected_FD_points': 3.5301895213898229, 'confidence': -0.2410279904390189,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</si>
  <si>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2.8579908675799093, 'confidence': -0.37005759202378274, 'FD_Position': 'OF'}, 'Alex Rodriguez_batter': {'Salary': 3400.0, 'projected_FD_points': 2.8076236249788455, 'confidence': -0.40941145584806504, 'FD_Position': '3B'}, 'Francisco Liriano_pitcher': {'Salary': 8700.0, 'projected_FD_points': 11.554536643804523, 'confidence': -0.42590498209483263,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</si>
  <si>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'Carlos Gonzalez_batter': {'Salary': 3000.0, 'projected_FD_points': 3.0848439499451459, 'confidence': -0.080814379419854365, 'FD_Position': 'OF'}, 'Daniel Murphy_batter': {'Salary': 2900.0, 'projected_FD_points': 2.4232343706747703, 'confidence': -0.048860371728475016, 'FD_Position': '2B'}, 'Troy Tulowitzki_batter': {'Salary': 4300.0, 'projected_FD_points': 3.5301895213898229, 'confidence': -0.2410279904390189,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</si>
  <si>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2.8579908675799093, 'confidence': -0.37005759202378274, 'FD_Position': 'OF'}, 'Devon Travis_batter': {'Salary': 3400.0, 'projected_FD_points': 4.2283650653088332, 'confidence': -0.38273691105966079,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</si>
  <si>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'Robinson Cano_batter': {'Salary': 3500.0, 'projected_FD_points': 2.9048735082584587, 'confidence': -0.072292823998152622, 'FD_Position': '2B'}, 'Carlos Gonzalez_batter': {'Salary': 3000.0, 'projected_FD_points': 3.0559746307414377, 'confidence': -0.038156031670893098, 'FD_Position': 'OF'}, 'Troy Tulowitzki_batter': {'Salary': 4300.0, 'projected_FD_points': 3.4446058714683971, 'confidence': -0.013043118109795859,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</si>
  <si>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'Victor Martinez_batter': {'Salary': 3400.0, 'projected_FD_points': 2.4228391046818483, 'confidence': 0.028393219998225749, 'FD_Position': 'C'}, 'Lance Lynn_pitcher': {'Salary': 8100.0, 'projected_FD_points': 11.272899138582828, 'confidence': -0.053436934787769008, 'FD_Position': 'P'},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</si>
  <si>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3.21875, 'confidence': 0, 'FD_Position': '3B'},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'Carlos Gonzalez_batter': {'Salary': 3200.0, 'projected_FD_points': 3.2310674338490886, 'confidence': -0.08755029384997437, 'FD_Position': 'OF'}, 'Jorge Soler_batter': {'Salary': 3200.0, 'projected_FD_points': 2.7935171833693824, 'confidence': -0.42359157054983831,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'C'}, 'Jayson Werth_batter': {'Salary': 3200.0, 'projected_FD_points': 2.70242209127789, 'confidence': -0.0073612138955214679, 'FD_Position': 'OF'}}</t>
  </si>
  <si>
    <t>{'Kris Bryant_batter': {'Salary': 3500.0, 'projected_FD_points': 4.3200000000000003, 'confidence': 0, 'FD_Position': '3B'}, 'Daniel Murphy_batter': {'Salary': 2900.0, 'projected_FD_points': 2.6305275636310683, 'confidence': -0.20195713041272745, 'FD_Position': '2B'}, 'Johnny Cueto_pitcher': {'Salary': 10400.0, 'projected_FD_points': 14.464009047493438, 'confidence': -0.031982887635746193,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'Ryan Braun_batter': {'Salary': 3100.0, 'projected_FD_points': 2.864371938853854, 'confidence': 0.0059133413743061025, 'FD_Position': 'OF'}, 'Jayson Werth_batter': {'Salary': 2700.0, 'projected_FD_points': 2.7861312804877656, 'confidence': -0.036921218152595747, 'FD_Position': 'OF'}, 'Jason Castro_batter': {'Salary': 2200.0, 'projected_FD_points': 2.2286324786324787, 'confidence': -0.34098590263594963, 'FD_Position': 'C'}}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</si>
  <si>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14.464009047493438, 'confidence': -0.031982887635746193,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</si>
  <si>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'Nathan Karns_pitcher': {'Salary': 6500.0, 'projected_FD_points': 13.0, 'confidence': 0, 'FD_Position': 'P'}, 'Devon Travis_batter': {'Salary': 3300.0, 'projected_FD_points': 5.195582677969564, 'confidence': -0.87894616373838241, 'FD_Position': '2B'}, 'Jose Bautista_batter': {'Salary': 4700.0, 'projected_FD_points': 3.3024680895834853, 'confidence': -0.14006959638582828, 'FD_Position': 'OF'}, 'Carlos Gonzalez_batter': {'Salary': 3200.0, 'projected_FD_points': 3.2983065865879544, 'confidence': -0.10732578327574283, 'FD_Position': 'OF'}, 'Troy Tulowitzki_batter': {'Salary': 4300.0, 'projected_FD_points': 3.4997106599582835, 'confidence': -0.041129215788486828, 'FD_Position': 'SS'}, 'Victor Martinez_batter': {'Salary': 3400.0, 'projected_FD_points': 2.5021883285845727, 'confidence': 0.033249791509006088, 'FD_Position': 'C'}, 'Miguel Cabrera_batter': {'Salary': 4100.0, 'projected_FD_points': 3.5720095252525077, 'confidence': -0.055799680198884483, 'FD_Position': '1B'}}</t>
  </si>
  <si>
    <t>{'Robinson Chirinos_batter': {'Salary': 2300.0, 'projected_FD_points': 2.1292875466109544, 'confidence': -0.10190863667059658, 'FD_Position': 'C'}, 'Alex Rodriguez_batter': {'Salary': 3200.0, 'projected_FD_points': 3.4226056256892212, 'confidence': -0.22319630265335744, 'FD_Position': '3B'}, 'Nathan Karns_pitcher': {'Salary': 6500.0, 'projected_FD_points': 13.0, 'confidence': 0, 'FD_Position': 'P'}, 'Robinson Cano_batter': {'Salary': 3800.0, 'projected_FD_points': 2.8853360256928022, 'confidence': -0.073295496147898653, 'FD_Position': '2B'}, 'Miguel Cabrera_batter': {'Salary': 4100.0, 'projected_FD_points': 3.5720095252525077, 'confidence': -0.055799680198884483, 'FD_Position': '1B'}, 'Troy Tulowitzki_batter': {'Salary': 4300.0, 'projected_FD_points': 3.4997106599582835, 'confidence': -0.041129215788486828, 'FD_Position': 'SS'}, 'Giancarlo Stanton_batter': {'Salary': 4800.0, 'projected_FD_points': 3.3956643501197443, 'confidence': -0.02566809672710213, 'FD_Position': 'OF'}, 'Carlos Gonzalez_batter': {'Salary': 3200.0, 'projected_FD_points': 3.2983065865879544, 'confidence': -0.10732578327574283, 'FD_Position': 'OF'}, 'Michael Cuddyer_batter': {'Salary': 2800.0, 'projected_FD_points': 3.0735961548954154, 'confidence': -0.14720836084232958, 'FD_Position': 'OF'}}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</si>
  <si>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'Jose Bautista_batter': {'Salary': 4700.0, 'projected_FD_points': 3.3024680895834853, 'confidence': -0.14006959638582828, 'FD_Position': 'OF'}, 'Devon Travis_batter': {'Salary': 3300.0, 'projected_FD_points': 5.195582677969564, 'confidence': -0.87894616373838241, 'FD_Position': '2B'}, 'Nathan Karns_pitcher': {'Salary': 6500.0, 'projected_FD_points': 13.0, 'confidence': 0, 'FD_Position': 'P'}, 'Freddie Freeman_batter': {'Salary': 3100.0, 'projected_FD_points': 2.9134769836475258, 'confidence': -0.085982297936123553, 'FD_Position': '1B'},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</si>
  <si>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11.752322043919715, 'confidence': -0.091440200923585735, 'FD_Position': 'P'}, 'Devon Travis_batter': {'Salary': 3300.0, 'projected_FD_points': 6.9090860786397457, 'confidence': 0.98604904992372522, 'FD_Position': '2B'}, 'Paulo Orlando_batter': {'Salary': 3000.0, 'projected_FD_points': 11.029999999999999,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</si>
  <si>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11.752322043919715, 'confidence': -0.091440200923585735,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</si>
  <si>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3.4077359642326344, 'confidence': -0.062502979432008887,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</si>
  <si>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13.04137931034483, 'confidence': -0.39059503064495615,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</si>
  <si>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2.9856057796848097, 'confidence': -0.018148554523025107,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</si>
  <si>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'Shin-Soo Choo_batter': {'Salary': 2700.0, 'projected_FD_points': 2.5502465386077144, 'confidence': -0.050552561891189951,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'Kole Calhoun_batter': {'Salary': 3600.0, 'projected_FD_points': 2.6277777777777778, 'confidence': -0.13561381363886449,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</si>
  <si>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10.416561653807111, 'confidence': -0.010005435614296454,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2.9856057796848097, 'confidence': -0.018148554523025107,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</si>
  <si>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{'Robinson Chirinos_batter': {'Salary': 2700.0, 'projected_FD_points': 2.3105943008430292, 'confidence': -2.6340012654267673, 'FD_Position': 'C'}, 'Odubel Herrera_batter': {'Salary': 3000.0, 'projected_FD_points': 3.8538461538461535, 'confidence': 0.94067500659575265,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14.50111188113379, 'confidence': 0.037510999903882292,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</si>
  <si>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14.50111188113379, 'confidence': 0.037510999903882292,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3.5866524046007724, 'confidence': -0.10204818905576674, 'FD_Position': 'SS'}, 'Carlos Gonzalez_batter': {'Salary': 3700.0, 'projected_FD_points': 2.7760115606936417, 'confidence': -0.009702420637076381, 'FD_Position': 'OF'}, 'Michael McKenry_batter': {'Salary': 2200.0, 'projected_FD_points': 1.5994623655913978, 'confidence': -0.13078965423122968, 'FD_Position': 'C'}}</t>
  </si>
  <si>
    <t>{'Avisail Garcia_batter': {'Salary': 3300.0, 'projected_FD_points': 2.9648954183731537, 'confidence': -0.10025680149774607,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'Daniel Santana_batter': {'Salary': 3100.0, 'projected_FD_points': 2.6066249351067676, 'confidence': 0.021529574474396851, 'FD_Position': 'SS'}, 'Jayson Werth_batter': {'Salary': 3300.0, 'projected_FD_points': 2.8766792358556694, 'confidence': -0.032056461976936568, 'FD_Position': 'OF'},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</si>
  <si>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'Ryan Braun_batter': {'Salary': 3500.0, 'projected_FD_points': 2.7664449460009326, 'confidence': 0.020087203442835655, 'FD_Position': 'OF'}, 'Derek Norris_batter': {'Salary': 3000.0, 'projected_FD_points': 1.8518518518518519, 'confidence': -0.00029625338046046501, 'FD_Position': 'C'}, 'Todd Frazier_batter': {'Salary': 3400.0, 'projected_FD_points': 2.5615635604094447, 'confidence': -0.011867896260602695, 'FD_Position': '3B'}, 'Troy Tulowitzki_batter': {'Salary': 5300.0, 'projected_FD_points': 3.5230576001180669, 'confidence': -0.064872984879327245, 'FD_Position': 'SS'}, 'Jose Abreu_batter': {'Salary': 4400.0, 'projected_FD_points': 3.0833333333333335, 'confidence': -0.13929001643525596, 'FD_Position': '1B'}, 'Tyler Matzek_pitcher': {'Salary': 6100.0, 'projected_FD_points': 11.499418160895248, 'confidence': -5.7095042252343911,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</si>
  <si>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13.409477921444253, 'confidence': -1.9172770063911271, 'FD_Position': 'P'}, 'Jerry Sands_batter': {'Salary': 2200.0, 'projected_FD_points': 2.5251180040458534, 'confidence': -0.035032184473793082, 'FD_Position': 'OF'}, 'Kris Negron_batter': {'Salary': 2400.0, 'projected_FD_points': 2.2797652806723838, 'confidence': 0.055321537884052474, 'FD_Position': '2B'}, 'Marlon Byrd_batter': {'Salary': 2200.0, 'projected_FD_points': 2.4108391608391608, 'confidence': -0.008089914335318138, 'FD_Position': 'OF'},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</si>
  <si>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</si>
  <si>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'David Ortiz_batter': {'Salary': 3600.0, 'projected_FD_points': 2.9891876821469938, 'confidence': -0.031376425402172448, 'FD_Position': '1B'}, 'Troy Tulowitzki_batter': {'Salary': 4900.0, 'projected_FD_points': 3.3487942623916824, 'confidence': -0.11842814338272833, 'FD_Position': 'SS'}, 'Jayson Werth_batter': {'Salary': 3300.0, 'projected_FD_points': 2.7940876998112492, 'confidence': -0.047102611078722934, 'FD_Position': 'OF'}, 'Trevor May_pitcher': {'Salary': 5600.0, 'projected_FD_points': 12.970265324794145, 'confidence': 0, 'FD_Position': 'P'}}</t>
  </si>
  <si>
    <t>{'Avisail Garcia_batter': {'Salary': 3500.0, 'projected_FD_points': 2.8086291713644203, 'confidence': 0.099254942205796337,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'Tim Beckham_batter': {'Salary': 2300.0, 'projected_FD_points': 2.0134854771784236, 'confidence': -5.8820812313837569, 'FD_Position': 'SS'}, 'Jayson Werth_batter': {'Salary': 3300.0, 'projected_FD_points': 2.7940876998112492, 'confidence': -0.047102611078722934, 'FD_Position': 'OF'}, 'Miguel Cabrera_batter': {'Salary': 5100.0, 'projected_FD_points': 3.5964765100671139, 'confidence': -0.032573047804944855, 'FD_Position': '1B'}, 'Trevor May_pitcher': {'Salary': 5600.0, 'projected_FD_points': 12.970265324794145, 'confidence': 0, 'FD_Position': 'P'}}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</si>
  <si>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2.8859649122807016, 'confidence': -0.0024868198547696174,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</si>
  <si>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3.4002594129608461, 'confidence': -0.026245169769835819,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</si>
  <si>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{'Adrian Beltre_batter': {'Salary': 3500.0, 'projected_FD_points': 2.6428743564877757, 'confidence': -0.050177447169874601, 'FD_Position': '3B'}, 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'Johnny Cueto_pitcher': {'Salary': 10600.0, 'projected_FD_points': 15.105862939253415, 'confidence': -0.081900493612748759, 'FD_Position': 'P'}, 'Devon Travis_batter': {'Salary': 2800.0, 'projected_FD_points': 7.9374999999999982, 'confidence': 0, 'FD_Position': '2B'}, 'Daniel Santana_batter': {'Salary': 3300.0, 'projected_FD_points': 3.0014999527867872, 'confidence': -0.12606377995427187, 'FD_Position': 'SS'}, 'David Ortiz_batter': {'Salary': 3700.0, 'projected_FD_points': 3.171875, 'confidence': -0.0036942227455503129, 'FD_Position': '1B'},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</si>
  <si>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{'Brian Dozier_batter': {'Salary': 3100.0, 'projected_FD_points': 2.4716363307003895, 'confidence': -0.022408881915837231, 'FD_Position': '2B'}, 'Johnny Cueto_pitcher': {'Salary': 10600.0, 'projected_FD_points': 15.105862939253415, 'confidence': -0.081900493612748759,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</si>
  <si>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3.6009027729272889, 'confidence': -0.054510057305074522, 'FD_Position': '3B'}, 'Johnny Cueto_pitcher': {'Salary': 10200.0, 'projected_FD_points': 14.080916783788338, 'confidence': -0.10872930786769874,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'Preston Tucker_batter': {'Salary': 3000.0, 'projected_FD_points': 3.5, 'confidence': 0, 'FD_Position': 'OF'}, 'Troy Tulowitzki_batter': {'Salary': 4500.0, 'projected_FD_points': 3.3703666371326078, 'confidence': -0.16614887067934814, 'FD_Position': 'SS'}, 'Michael Cuddyer_batter': {'Salary': 2500.0, 'projected_FD_points': 2.8260309278350517, 'confidence': -0.048267928549660333, 'FD_Position': 'OF'}, 'Coco Crisp_batter': {'Salary': 2200.0, 'projected_FD_points': 2.6676848188075288, 'confidence': -0.097513864496487912, 'FD_Position': 'OF'}}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</si>
  <si>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'P'}, 'Jason Castro_batter': {'Salary': 2200.0, 'projected_FD_points': 2.035282258064516, 'confidence': -0.033997349863741366, 'FD_Position': 'C'}}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</si>
  <si>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'P'}}</t>
  </si>
  <si>
    <t>{'Shin-Soo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'Buster Posey_batter': {'Salary': 3700.0, 'projected_FD_points': 2.3414900035530408, 'confidence': -0.06212054354913854, 'FD_Position': 'C'}, 'Clayton Kershaw_pitcher': {'Salary': 11200.0, 'projected_FD_points': 14.980714277594155, 'confidence': 0.018569201969525828, 'FD_Position': 'P'}, 'Michael Cuddyer_batter': {'Salary': 2400.0, 'projected_FD_points': 2.5720886006039256, 'confidence': -0.027357093816826827, 'FD_Position': 'OF'}, 'Alexei Ramirez_batter': {'Salary': 2300.0, 'projected_FD_points': 1.9834384858044165, 'confidence': -0.0072619741903121593, 'FD_Position': 'SS'}}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</si>
  <si>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3.2020388078287265, 'confidence': 0.040155072565692174,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</si>
  <si>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'Troy Tulowitzki_batter': {'Salary': 4500.0, 'projected_FD_points': 3.2020388078287265, 'confidence': 0.040155072565692174,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</si>
  <si>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{'Adrian Beltre_batter': {'Salary': 3100.0, 'projected_FD_points': 2.6270496172530309, 'confidence': -0.017216904748005746, 'FD_Position': '3B'}, 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'Mike Trout_batter': {'Salary': 5000.0, 'projected_FD_points': 3.5506230529595015, 'confidence': -0.046429613814209958, 'FD_Position': 'OF'}, 'Alexei Ramirez_batter': {'Salary': 2300.0, 'projected_FD_points': 1.9834384858044165, 'confidence': -0.0072619741903121593, 'FD_Position': 'SS'}, 'Dustin Pedroia_batter': {'Salary': 2800.0, 'projected_FD_points': 2.3976190476190475, 'confidence': -0.020100436268100985, 'FD_Position': '2B'}}</t>
  </si>
  <si>
    <t>{'Kris Bryant_batter': {'Salary': 4000.0, 'projected_FD_points': 3.6103392758972745, 'confidence': -1.4695256848538296, 'FD_Position': '3B'}, 'Robinson Chirinos_batter': {'Salary': 2600.0, 'projected_FD_points': 2.4424696109438706, 'confidence': -0.061025876557254888, 'FD_Position': 'C'}, 'Chris Davis_batter': {'Salary': 3100.0, 'projected_FD_points': 3.086769759450172, 'confidence': -0.023848687286232906, 'FD_Position': '1B'}, 'Matt Kemp_batter': {'Salary': 2600.0, 'projected_FD_points': 2.3957724627725936, 'confidence': 0.0063255873574227239, 'FD_Position': 'OF'}, 'Robinson Cano_batter': {'Salary': 2900.0, 'projected_FD_points': 2.7752543014171493, 'confidence': -0.0099084586705873168, 'FD_Position': '2B'}, 'Matt Holliday_batter': {'Salary': 3500.0, 'projected_FD_points': 2.9537037037037037, 'confidence': -0.13126622297397184, 'FD_Position': 'OF'}, 'Troy Tulowitzki_batter': {'Salary': 4500.0, 'projected_FD_points': 3.2353514199928783, 'confidence': 0.025286319950243552,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</si>
  <si>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11.434135284750784, 'confidence': -0.14325073890043938, 'FD_Position': 'P'}, 'Troy Tulowitzki_batter': {'Salary': 4500.0, 'projected_FD_points': 3.2353514199928783, 'confidence': 0.025286319950243552,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</si>
  <si>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3.3031683380831525, 'confidence': 0.038099830163550563,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</si>
  <si>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3.3031683380831525, 'confidence': 0.038099830163550563, 'FD_Position': 'SS'}}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</si>
  <si>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'David Ortiz_batter': {'Salary': 3000.0, 'projected_FD_points': 3.0797989343873726, 'confidence': -0.016386087877827693, 'FD_Position': '1B'},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'Troy Tulowitzki_batter': {'Salary': 4400.0, 'projected_FD_points': 3.4547374054219269, 'confidence': -0.070738732805223359, 'FD_Position': 'SS'}, 'Michael Cuddyer_batter': {'Salary': 2300.0, 'projected_FD_points': 2.7115004666655271, 'confidence': -0.01393555342857411,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</si>
  <si>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'Maikel Franco_batter': {'Salary': 2600.0, 'projected_FD_points': 2.6939320388349515, 'confidence': -0.21083790064800478, 'FD_Position': '3B'}, 'Mike Trout_batter': {'Salary': 5400.0, 'projected_FD_points': 3.5949074074074074, 'confidence': -0.014149947819559694, 'FD_Position': 'OF'}, 'Michael Cuddyer_batter': {'Salary': 2300.0, 'projected_FD_points': 2.7115004666655271, 'confidence': -0.01393555342857411,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'Andrew McCutchen_batter': {'Salary': 4100.0, 'projected_FD_points': 3.1748995715304305, 'confidence': -0.022568935323015182, 'FD_Position': 'OF'}}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</si>
  <si>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11.508253148863338, 'confidence': -0.008254069688329313,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3.4547374054219269, 'confidence': -0.070738732805223359, 'FD_Position': 'SS'}}</t>
  </si>
  <si>
    <t>{'Robinson Cano_batter': {'Salary': 2700.0, 'projected_FD_points': 2.8008400429684359, 'confidence': -0.051878197865921072, 'FD_Position': '2B'}, 'Roenis Elias_pitcher': {'Salary': 7200.0, 'projected_FD_points': 10.356156377733274, 'confidence': -0.0056754853516676196, 'FD_Position': 'P'}, 'Martin Prado_batter': {'Salary': 2200.0, 'projected_FD_points': 2.0724755700325734, 'confidence': -6.1156325459110761e-05, 'FD_Position': '3B'},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'Giancarlo Stanton_batter': {'Salary': 4300.0, 'projected_FD_points': 3.1268248175182483, 'confidence': -0.053952071470078522, 'FD_Position': 'OF'}, 'Francisco Cervelli_batter': {'Salary': 2400.0, 'projected_FD_points': 2.2588295222235759, 'confidence': -0.16550917549009947, 'FD_Position': 'C'}, 'Jose Abreu_batter': {'Salary': 3200.0, 'projected_FD_points': 3.1653569413475253, 'confidence': -0.0028931918424051073, 'FD_Position': '1B'}, 'Andrew McCutchen_batter': {'Salary': 4300.0, 'projected_FD_points': 3.1875, 'confidence': -0.013281834210327803,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</si>
  <si>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3.0829851488034716, 'confidence': -0.062073412263354388,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</si>
  <si>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3.0829851488034716, 'confidence': -0.062073412263354388, 'FD_Position': 'SS'}, 'Michael Pineda_pitcher': {'Salary': 9400.0, 'projected_FD_points': 12.95646038512421, 'confidence': -1.8280017832090416, 'FD_Position': 'P'}, 'Michael Cuddyer_batter': {'Salary': 2400.0, 'projected_FD_points': 2.937843942605816, 'confidence': -0.016151606170736521, 'FD_Position': 'OF'}}</t>
  </si>
  <si>
    <t>{'Kris Bryant_batter': {'Salary': 4600.0, 'projected_FD_points': 3.5353960829435449, 'confidence': -0.039808263881010442,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</si>
  <si>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'Carlos Gomez_batter': {'Salary': 4000.0, 'projected_FD_points': 2.8814432989690721, 'confidence': -0.00046157932944734803, 'FD_Position': 'OF'}, 'Felix Hernandez_pitcher': {'Salary': 11500.0, 'projected_FD_points': 13.662341749017877, 'confidence': -0.018944577841482069, 'FD_Position': 'P'}, 'Daniel Santana_batter': {'Salary': 2600.0, 'projected_FD_points': 2.3407019680765759, 'confidence': -0.0036743689531120172, 'FD_Position': 'SS'}, 'Salvador Perez_batter': {'Salary': 2500.0, 'projected_FD_points': 1.9819433281575178, 'confidence': 0.012329377459837088, 'FD_Position': 'C'}, 'Michael Cuddyer_batter': {'Salary': 2400.0, 'projected_FD_points': 2.937843942605816, 'confidence': -0.016151606170736521, 'FD_Position': 'OF'}, 'Hanley Ramirez_batter': {'Salary': 3200.0, 'projected_FD_points': 2.8044246011104419, 'confidence': 0.0035401417753219144,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</si>
  <si>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</si>
  <si>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</si>
  <si>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3.1568813533268112, 'confidence': -0.19680056153201009,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3.2850509427093915, 'confidence': -0.023413044809356132, 'FD_Position': 'SS'}, 'Michael Cuddyer_batter': {'Salary': 2700.0, 'projected_FD_points': 2.9490049751243781, 'confidence': -0.01866395298406931, 'FD_Position': 'OF'}, 'Cole Hamels_pitcher': {'Salary': 9800.0, 'projected_FD_points': 12.781231085165269, 'confidence': -0.17301903304884725,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</si>
  <si>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12.983502081595434, 'confidence': -0.15056633050928436,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3.0960857302177822, 'confidence': 0.032566624480593664,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</si>
  <si>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12.983502081595434, 'confidence': -0.15056633050928436,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</si>
  <si>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{'Russell Martin_batter': {'Salary': 3100.0, 'projected_FD_points': 2.2965731906637932, 'confidence': -0.015264408189599177, 'FD_Position': 'C'}, 'Jose Bautista_batter': {'Salary': 4700.0, 'projected_FD_points': 3.4517649492589522, 'confidence': -0.044023955261265124, 'FD_Position': 'OF'}, 'Jose Quintana_pitcher': {'Salary': 7600.0, 'projected_FD_points': 10.434667431395448, 'confidence': -0.26903037224681592,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'Tim Beckham_batter': {'Salary': 2400.0, 'projected_FD_points': 2.6698792270531397, 'confidence': -9.4827377378595852, 'FD_Position': 'SS'}, 'Michael Cuddyer_batter': {'Salary': 2700.0, 'projected_FD_points': 2.8391996272078801, 'confidence': -0.0027054996569644274, 'FD_Position': 'OF'}}</t>
  </si>
  <si>
    <t>{'Robinson Chirinos_batter': {'Salary': 2700.0, 'projected_FD_points': 2.1748597675829262, 'confidence': -0.01545422840853683, 'FD_Position': 'C'}, 'Wade Miley_pitcher': {'Salary': 7000.0, 'projected_FD_points': 12.983502081595434, 'confidence': -0.15056633050928436, 'FD_Position': 'P'}, 'Tim Beckham_batter': {'Salary': 2400.0, 'projected_FD_points': 2.6698792270531397, 'confidence': -9.4827377378595852,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</si>
  <si>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</si>
  <si>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</si>
  <si>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9.7288981288981233, 'confidence': -0.25722400274895474,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</si>
  <si>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3.1548805634840442, 'confidence': -0.095706870237685315, 'FD_Position': 'SS'}, 'Michael Cuddyer_batter': {'Salary': 2700.0, 'projected_FD_points': 2.9864532019704435, 'confidence': -0.25518324311791885, 'FD_Position': 'OF'}}</t>
  </si>
  <si>
    <t>{'Kris Bryant_batter': {'Salary': 4500.0, 'projected_FD_points': 3.3950330422969701, 'confidence': -0.17334665185672327,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15.64169578070411, 'confidence': -3.7076162938972956, 'FD_Position': 'P'}, 'Mike Trout_batter': {'Salary': 5000.0, 'projected_FD_points': 3.6155800407339398, 'confidence': -0.00049750809257198547, 'FD_Position': 'OF'}, 'Troy Tulowitzki_batter': {'Salary': 4500.0, 'projected_FD_points': 3.2209257178733108, 'confidence': 0.012169737322938912,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</si>
  <si>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3.2209257178733108, 'confidence': 0.012169737322938912,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</si>
  <si>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{'Kris Bryant_batter': {'Salary': 4500.0, 'projected_FD_points': 3.3273596400025998, 'confidence': -0.15792808011657211, 'FD_Position': '3B'}, 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'Kole Calhoun_batter': {'Salary': 2700.0, 'projected_FD_points': 2.4847810619077233, 'confidence': -0.096640408812897594, 'FD_Position': 'OF'},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</si>
  <si>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</si>
  <si>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</si>
  <si>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</si>
  <si>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9.3225664222455009, 'confidence': -0.16114113674047292,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</si>
  <si>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11.073660959283057, 'confidence': -0.074459806271522044,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</si>
  <si>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'Ryan Braun_batter': {'Salary': 4100.0, 'projected_FD_points': 3.2344017629219692, 'confidence': -0.079167733695412856, 'FD_Position': 'OF'}, 'Maikel Franco_batter': {'Salary': 2700.0, 'projected_FD_points': 3.0003561580882354, 'confidence': -8.1803449389183829,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'2B'}, 'Jason Castro_batter': {'Salary': 2200.0, 'projected_FD_points': 2.0765503875968991, 'confidence': -9.458976181853096e-05, 'FD_Position': 'C'}}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</si>
  <si>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2.3474284470810138, 'confidence': -0.22882362904278097,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</si>
  <si>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'Alexander Guerrero_batter': {'Salary': 2900.0, 'projected_FD_points': 2.5078329268189758, 'confidence': -0.091502011122156723, 'FD_Position': 'OF'}, 'Kennys Vargas_batter': {'Salary': 2500.0, 'projected_FD_points': 2.3711419131606846, 'confidence': -0.053697933506321682, 'FD_Position': '1B'}, 'Maikel Franco_batter': {'Salary': 2900.0, 'projected_FD_points': 2.6891987466427927, 'confidence': -2.3852035236623728, 'FD_Position': '3B'}, 'Alex Gordon_batter': {'Salary': 2700.0, 'projected_FD_points': 2.4945436744207439, 'confidence': -0.0072852429978680355, 'FD_Position': 'OF'}, 'Troy Tulowitzki_batter': {'Salary': 4800.0, 'projected_FD_points': 3.5547508142988526, 'confidence': -0.086432698807637376, 'FD_Position': 'SS'}, 'Chris Sale_pitcher': {'Salary': 10900.0, 'projected_FD_points': 14.171745123600925, 'confidence': -0.057027883706192606,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</si>
  <si>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3.2583124028226291, 'confidence': -1.5261725202592955, 'FD_Position': '3B'}, 'Alex Gordon_batter': {'Salary': 2600.0, 'projected_FD_points': 2.5289951517782345, 'confidence': -0.028728954754462466, 'FD_Position': 'OF'}, 'Troy Tulowitzki_batter': {'Salary': 4700.0, 'projected_FD_points': 3.3917399305184306, 'confidence': 0.021555917747943409,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</si>
  <si>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'Carlos Gonzalez_batter': {'Salary': 3800.0, 'projected_FD_points': 3.3718198507567654, 'confidence': -0.030694020055404003, 'FD_Position': 'OF'}, 'Michael Cuddyer_batter': {'Salary': 2600.0, 'projected_FD_points': 2.7069422466832194, 'confidence': -0.027188993118758109, 'FD_Position': 'OF'}, 'Jose Abreu_batter': {'Salary': 3400.0, 'projected_FD_points': 3.1611497433685152, 'confidence': 0.077643526579746491, 'FD_Position': '1B'}}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</si>
  <si>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</si>
  <si>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11.306349206349207, 'confidence': -0.61772382671368886, 'FD_Position': 'P'}, 'Giancarlo Stanton_batter': {'Salary': 5000.0, 'projected_FD_points': 3.1872822299651569, 'confidence': -0.056790493227946603, 'FD_Position': 'OF'},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</si>
  <si>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13.350696367670112, 'confidence': -1.0538594908782377,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3.526857814207359, 'confidence': -0.027727473907620315,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</si>
  <si>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9.2289548765054157, 'confidence': 0.023047396858608127,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</si>
  <si>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'Maikel Franco_batter': {'Salary': 3100.0, 'projected_FD_points': 3.128079629037416, 'confidence': -0.13052834717095529, 'FD_Position': '3B'}, 'Troy Tulowitzki_batter': {'Salary': 4500.0, 'projected_FD_points': 3.5321796189050056, 'confidence': -0.061426143459464511, 'FD_Position': 'SS'}, 'Michael Pineda_pitcher': {'Salary': 9800.0, 'projected_FD_points': 14.239906593805001, 'confidence': -0.082013951374366956, 'FD_Position': 'P'}, 'Michael Cuddyer_batter': {'Salary': 2500.0, 'projected_FD_points': 2.7915000642435288, 'confidence': -0.25859876736455045, 'FD_Position': 'OF'}}</t>
  </si>
  <si>
    <t>FD Median(2013/2014/2015 Season) - if player in starting lineup</t>
  </si>
  <si>
    <t>{'Kris Bryant_batter': {'Salary': 4000.0, 'projected_FD_points': 3.6009027729272889, 'confidence': -0.054510057305074522, 'FD_Position': '3B'}, 'Shin-Soo Choo_batter': {'Salary': 3400.0, 'projected_FD_points': 3.1900286681128645, 'confidence': 0.011614575770061308, 'FD_Position': 'OF'}, 'Johnny Cueto_pitcher': {'Salary': 10200.0, 'projected_FD_points': 14.88371076088805, 'confidence': -0.18569157238135747, 'FD_Position': 'P'}, 'David Ortiz_batter': {'Salary': 2900.0, 'projected_FD_points': 2.9634556012487909, 'confidence': -0.007102448794812366, 'FD_Position': '1B'}, 'Devin Mesoraco_batter': {'Salary': 2200.0, 'projected_FD_points': 2.4051724137931036, 'confidence': -0.08536901475710601, 'FD_Position': 'C'},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</si>
  <si>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4.666666666666667,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3.9514137994980545, 'confidence': -0.065831084774517601,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3.3220926577090562, 'confidence': -6.2956237713618624, 'FD_Position': 'C'}}</t>
  </si>
  <si>
    <t>{'Shin-Soo Choo_batter': {'Salary': 3300.0, 'projected_FD_points': 3.3468619560821837, 'confidence': -0.051938781279083024, 'FD_Position': 'OF'}, 'Yangervis Solarte_batter': {'Salary': 2200.0, 'projected_FD_points': 2.154864828404683, 'confidence': -0.62464345390733889, 'FD_Position': '3B'},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'Justin Turner_batter': {'Salary': 2700.0, 'projected_FD_points': 2.6465768128102929, 'confidence': 0.022191922701588318, 'FD_Position': '2B'}, 'Ryan Lavarnway_batter': {'Salary': 2200.0, 'projected_FD_points': 1.8496991387668968, 'confidence': -0.46306029462066522,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</si>
  <si>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'Seth Smith_batter': {'Salary': 2300.0, 'projected_FD_points': 2.3040540540540539, 'confidence': -0.47522538896281685, 'FD_Position': 'OF'}, 'Robinson Cano_batter': {'Salary': 3000.0, 'projected_FD_points': 2.9217025656673172, 'confidence': -0.26836534720334204, 'FD_Position': '2B'}, 'Joc Pederson_batter': {'Salary': 3700.0, 'projected_FD_points': 3.1592226170327771, 'confidence': -0.17706709602746806, 'FD_Position': 'OF'}, 'Chris Davis_batter': {'Salary': 3200.0, 'projected_FD_points': 2.9764808362369339, 'confidence': -0.0072777236934953304, 'FD_Position': '1B'},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</si>
  <si>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2.4059405940594059, 'confidence': -0.33700740570406462,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</si>
  <si>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11.170726830116504, 'confidence': -0.0082064103882419914,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</si>
  <si>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14.89485596707819,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</si>
  <si>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11.390267177636815, 'confidence': -0.2420085350350254,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</si>
  <si>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</si>
  <si>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</si>
  <si>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11.563288959168911, 'confidence': -0.11267964368359995,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</si>
  <si>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'Yan Gomes_batter': {'Salary': 2800.0, 'projected_FD_points': 2.2818818275092037, 'confidence': -0.00036597929604886836, 'FD_Position': 'C'}, 'Wade Miley_pitcher': {'Salary': 6900.0, 'projected_FD_points': 13.245595621905906, 'confidence': -0.011560005186134203, 'FD_Position': 'P'}, 'Mike Trout_batter': {'Salary': 5400.0, 'projected_FD_points': 3.5949074074074074, 'confidence': -0.014149947819559694, 'FD_Position': 'OF'},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'Rafael Ynoa_batter': {'Salary': 2700.0, 'projected_FD_points': 4.6128767532079973, 'confidence': 0.26023872778316215, 'FD_Position': '2B'}}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</si>
  <si>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13.245595621905906, 'confidence': -0.011560005186134203,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</si>
  <si>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11.508253148863338, 'confidence': -0.008254069688329313,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</si>
  <si>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'Ryan Braun_batter': {'Salary': 4600.0, 'projected_FD_points': 3.3426131071134968, 'confidence': -0.10200946204374328, 'FD_Position': 'OF'}, 'Andrew Susac_batter': {'Salary': 2600.0, 'projected_FD_points': 2.7524648411340129, 'confidence': -0.16542311489046391, 'FD_Position': 'C'}, 'Jose Reyes_batter': {'Salary': 3000.0, 'projected_FD_points': 2.4765625, 'confidence': -0.013454145366095016, 'FD_Position': 'SS'}, 'Jose Abreu_batter': {'Salary': 3200.0, 'projected_FD_points': 3.2315858533574073, 'confidence': -0.057949943568850415, 'FD_Position': '1B'}, 'Hanley Ramirez_batter': {'Salary': 3400.0, 'projected_FD_points': 3.265273275706825, 'confidence': -0.001120176523079941, 'FD_Position': 'OF'}, 'Michael Cuddyer_batter': {'Salary': 2300.0, 'projected_FD_points': 2.9445876288659796, 'confidence': -0.058735661265735262, 'FD_Position': 'OF'}, 'Tyson Ross_pitcher': {'Salary': 9000.0, 'projected_FD_points': 11.251826236057649, 'confidence': -0.36803382453170164, 'FD_Position': 'P'}}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</si>
  <si>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</si>
  <si>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'Shin-Soo Choo_batter': {'Salary': 3400.0, 'projected_FD_points': 2.9918179544574564, 'confidence': 0.047674517243370573, 'FD_Position': 'OF'}, 'Brian Dozier_batter': {'Salary': 3700.0, 'projected_FD_points': 2.7803759146099751, 'confidence': -0.019400964695498901, 'FD_Position': '2B'}, 'Ryan Braun_batter': {'Salary': 4600.0, 'projected_FD_points': 3.3426131071134968, 'confidence': -0.10200946204374328, 'FD_Position': 'OF'}, 'Jhonny Peralta_batter': {'Salary': 3100.0, 'projected_FD_points': 2.3114035087719298, 'confidence': -0.0074954504343816009, 'FD_Position': 'SS'}, 'Paul Goldschmidt_batter': {'Salary': 5200.0, 'projected_FD_points': 3.7702580933055541, 'confidence': 0.019524052488018695, 'FD_Position': '1B'}, 'Tanner Roark_pitcher': {'Salary': 4600.0, 'projected_FD_points': 10.137500000000001, 'confidence': -3.6177796052631566, 'FD_Position': 'P'},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</si>
  <si>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15.118370034289471, 'confidence': -0.097519685322123628,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</si>
  <si>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3.5353960829435449, 'confidence': -0.039808263881010442, 'FD_Position': '3B'}, 'Robinson Cano_batter': {'Salary': 2700.0, 'projected_FD_points': 2.752615449471723, 'confidence': -0.032060369702729075, 'FD_Position': '2B'}, 'Carlos Gonzalez_batter': {'Salary': 2900.0, 'projected_FD_points': 3.2396001506133416, 'confidence': -0.076652712045118143,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</si>
  <si>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3.2396001506133416, 'confidence': -0.076652712045118143, 'FD_Position': 'OF'}, 'Troy Tulowitzki_batter': {'Salary': 3900.0, 'projected_FD_points': 3.925900900814328, 'confidence': -0.058106390983094114, 'FD_Position': 'SS'},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</si>
  <si>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3.5353960829435449, 'confidence': -0.039808263881010442,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</si>
  <si>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</si>
  <si>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13.982142857142858, 'confidence': -0.21821067554240647,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</si>
  <si>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12.500584624994005, 'confidence': -0.42232743255916949, 'FD_Position': 'P'}}</t>
  </si>
  <si>
    <t>{'Alex Rodriguez_batter': {'Salary': 3300.0, 'projected_FD_points': 3.1553181458726201, 'confidence': 0.0075263473136326642, 'FD_Position': '3B'}, 'Corey Kluber_pitcher': {'Salary': 10500.0, 'projected_FD_points': 12.500584624994005, 'confidence': -0.42232743255916949,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</si>
  <si>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24.127160493827162,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</si>
  <si>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'Ryan Braun_batter': {'Salary': 4400.0, 'projected_FD_points': 3.335710416176588, 'confidence': -0.071396537516853487, 'FD_Position': 'OF'}, 'Carlos Gonzalez_batter': {'Salary': 2900.0, 'projected_FD_points': 3.0705365334027461, 'confidence': -0.026600310451682763,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</si>
  <si>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</si>
  <si>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{'Gio Gonzalez_pitcher': {'Salary': 8700.0, 'projected_FD_points': 10.988576276461272, 'confidence': -0.013126495464846233,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</si>
  <si>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12.317470322386264, 'confidence': 0.20554268763296524,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</si>
  <si>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13.21151448692563, 'confidence': -0.25786399377218938,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</si>
  <si>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13.21151448692563, 'confidence': -0.25786399377218938,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</si>
  <si>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10.500283617867321, 'confidence': -0.18218478053587006,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</si>
  <si>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10.199999999999989, 'confidence': -4.700911111111135,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</si>
  <si>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</si>
  <si>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25.393298059964724,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</si>
  <si>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14.572234641650617, 'confidence': -1.5306158971618449, 'FD_Position': 'P'}, 'Troy Tulowitzki_batter': {'Salary': 4500.0, 'projected_FD_points': 3.6303322751922602, 'confidence': -0.0417284723710456, 'FD_Position': 'SS'}}</t>
  </si>
  <si>
    <t>{'David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4.1608864653243849, 'confidence': -9.7205460575488889, 'FD_Position': 'C'}, 'Chris Sale_pitcher': {'Salary': 10400.0, 'projected_FD_points': 13.982142857142858, 'confidence': -0.21821067554240647, 'FD_Position': 'P'}, 'Kirk Nieuwenhuis_batter': {'Salary': 2200.0, 'projected_FD_points': 2.5194394035032346, 'confidence': 0.063010306005533034, 'FD_Position': 'OF'}, 'Kole Calhoun_batter': {'Salary': 2700.0, 'projected_FD_points': 2.6269633507853403, 'confidence': -0.013966079488928251,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</si>
  <si>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</si>
  <si>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{'Mike Foltynewicz_pitcher': {'Salary': 7400.0, 'projected_FD_points': 11.300000000000001, 'confidence': 0, 'FD_Position': 'P'}, 'Alex Rodriguez_batter': {'Salary': 3300.0, 'projected_FD_points': 3.3380469931674743, 'confidence': -0.23561510148050591, 'FD_Position': '3B'}, 'Seth Smith_batter': {'Salary': 2600.0, 'projected_FD_points': 2.146551724137931, 'confidence': -0.0063770568330643318, 'FD_Position': 'OF'},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</si>
  <si>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'Kole Calhoun_batter': {'Salary': 2700.0, 'projected_FD_points': 2.6269633507853403, 'confidence': -0.013966079488928251, 'FD_Position': 'OF'}, 'Kirk Nieuwenhuis_batter': {'Salary': 2200.0, 'projected_FD_points': 2.5194394035032346, 'confidence': 0.063010306005533034, 'FD_Position': 'OF'}, 'David Ortiz_batter': {'Salary': 2600.0, 'projected_FD_points': 3.0892255892255891, 'confidence': -0.0011238278810894453, 'FD_Position': '1B'},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</si>
  <si>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</si>
  <si>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</si>
  <si>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'David Ortiz_batter': {'Salary': 2500.0, 'projected_FD_points': 3.0662751677852347, 'confidence': -0.0038178019338568348, 'FD_Position': '1B'}, 'Adam Jones_batter': {'Salary': 2700.0, 'projected_FD_points': 2.4669796166439832, 'confidence': 0.0012684529385135201, 'FD_Position': 'OF'}, 'Dallas Keuchel_pitcher': {'Salary': 9800.0, 'projected_FD_points': 10.376617218600906, 'confidence': -0.27483435866983097, 'FD_Position': 'P'}, 'Hanley Ramirez_batter': {'Salary': 3600.0, 'projected_FD_points': 3.1973660844048322, 'confidence': -0.024039988992760497, 'FD_Position': 'OF'}}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</si>
  <si>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</si>
  <si>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3.4598280714876197, 'confidence': -0.14140690022689983,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</si>
  <si>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10.562863389825898, 'confidence': -0.34456978580867781,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</si>
  <si>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19.352643389282832, 'confidence': -1.7404228318655766,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</si>
  <si>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19.352643389282832, 'confidence': -1.7404228318655766,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</si>
  <si>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13.212255141721563, 'confidence': 0.018364983328183482,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</si>
  <si>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</si>
  <si>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14.101754385964913, 'confidence': -0.044824879850055011, 'FD_Position': 'P'}}</t>
  </si>
  <si>
    <t>{'Max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'Kole Calhoun_batter': {'Salary': 2600.0, 'projected_FD_points': 2.6808428555904631, 'confidence': -0.0054824605651739855, 'FD_Position': 'OF'}, 'Brock Holt_batter': {'Salary': 2700.0, 'projected_FD_points': 2.3535714285714286, 'confidence': -1.1711161701679482, 'FD_Position': '3B'}, 'Troy Tulowitzki_batter': {'Salary': 4700.0, 'projected_FD_points': 3.7835731529902095, 'confidence': 0.0068494243208131467, 'FD_Position': 'SS'}, 'Michael Cuddyer_batter': {'Salary': 2600.0, 'projected_FD_points': 2.8553921568627452, 'confidence': -0.020627450692178639, 'FD_Position': 'OF'},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</si>
  <si>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13.533614208901723, 'confidence': -0.10067301483680535,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</si>
  <si>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13.533614208901723, 'confidence': -0.10067301483680535,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</si>
  <si>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10.995036081596474, 'confidence': -0.32870786537279084,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</si>
  <si>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12.227187913251763, 'confidence': 0.10851844551353795,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</si>
  <si>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9.0609648368859368, 'confidence': -0.024136838930790994,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</si>
  <si>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14.239906593805001, 'confidence': -0.082013951374366956, 'FD_Position': 'P'}}</t>
  </si>
  <si>
    <t>FD Median/HR Factors (2013/2014/2015 Season) - if player in starting lineup</t>
  </si>
  <si>
    <t>{'Alex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'Delino Deshields Jr._batter': {'Salary': 3100.0, 'projected_FD_points': 3.9634330795153065,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3.746980337709851, 'confidence': 0.058497102399200918, 'FD_Position': 'SS'}}</t>
  </si>
  <si>
    <t>{'Kris Bryant_batter': {'Salary': 4000.0, 'projected_FD_points': 3.6243005145423068, 'confidence': -9.9492948727406709, 'FD_Position': '3B'}, 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3.9634330795153065,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</si>
  <si>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'Joey Butler_batter': {'Salary': 2300.0, 'projected_FD_points': 3.1292947103274558, 'confidence': -1.5002308352329004, 'FD_Position': 'OF'}, 'Troy Tulowitzki_batter': {'Salary': 4300.0, 'projected_FD_points': 3.746980337709851, 'confidence': 0.058497102399200918, 'FD_Position': 'SS'}, 'Joey Votto_batter': {'Salary': 3700.0, 'projected_FD_points': 3.0262008733624453, 'confidence': -0.0060046421999992994, 'FD_Position': '1B'}}</t>
  </si>
  <si>
    <t>{'Kris Bryant_batter': {'Salary': 4000.0, 'projected_FD_points': 3.6243005145423068, 'confidence': -9.9492948727406709, 'FD_Position': '3B'}, 'Anthony Rizzo_batter': {'Salary': 4500.0, 'projected_FD_points': 2.7491843710671118, 'confidence': -0.095773095812722753, 'FD_Position': '1B'}, 'Carlos Corporan_batter': {'Salary': 2200.0, 'projected_FD_points': 1.7185634788138962, 'confidence': -0.085228583953977921, 'FD_Position': 'C'}, 'Elvis Andrus_batter': {'Salary': 2600.0, 'projected_FD_points': 1.9806451612903226, 'confidence': -0.0066829852006728974, 'FD_Position': 'SS'}, 'Shin-Soo Choo_batter': {'Salary': 3100.0, 'projected_FD_points': 3.1733827987002203, 'confidence': -0.013315814679128124, 'FD_Position': 'OF'}, 'Delino Deshields Jr._batter': {'Salary': 3100.0, 'projected_FD_points': 3.9634330795153065, 'confidence': 0, 'FD_Position': 'OF'},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'Omar Infante_batter': {'Salary': 2300.0, 'projected_FD_points': 1.8663003663003663, 'confidence': -0.0013766103861658774, 'FD_Position': '2B'}}</t>
  </si>
  <si>
    <t>{'Shin-Soo Choo_batter': {'Salary': 3300.0, 'projected_FD_points': 3.0129006320305454, 'confidence': 0.023771575473881534, 'FD_Position': 'OF'}, 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'Jose Abreu_batter': {'Salary': 3500.0, 'projected_FD_points': 3.2451812507368243, 'confidence': -0.0034802339876054411, 'FD_Position': '1B'}, 'Carlos Gonzalez_batter': {'Salary': 2800.0, 'projected_FD_points': 2.9420124247267188, 'confidence': -0.038643100382762752, 'FD_Position': 'OF'}, 'Troy Tulowitzki_batter': {'Salary': 4200.0, 'projected_FD_points': 3.7719138872221252, 'confidence': -0.016653876815737378, 'FD_Position': 'SS'}, 'Michael Pineda_pitcher': {'Salary': 9500.0, 'projected_FD_points': 14.199669047204324, 'confidence': -0.93908030842149937, 'FD_Position': 'P'}, 'Michael Cuddyer_batter': {'Salary': 2500.0, 'projected_FD_points': 2.8830645161290325, 'confidence': -0.025640892660075965, 'FD_Position': 'OF'}, 'Jason Castro_batter': {'Salary': 2400.0, 'projected_FD_points': 2.2219507240845577, 'confidence': -0.019648992735011861, 'FD_Position': 'C'}}</t>
  </si>
  <si>
    <t>{'Kris Bryant_batter': {'Salary': 3800.0, 'projected_FD_points': 3.7163845805296138, 'confidence': -0.79142406878147509, 'FD_Position': '3B'}, 'Jose Pirela_batter': {'Salary': 2200.0, 'projected_FD_points': 5.3823529411764701, 'confidence': -1.1753549695740366, 'FD_Position': 'SS'},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'A.J. Pierzynski_batter': {'Salary': 2400.0, 'projected_FD_points': 2.2442059271823269, 'confidence': -0.0034051459438517728, 'FD_Position': 'C'},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'Hanley Ramirez_batter': {'Salary': 3800.0, 'projected_FD_points': 3.2217866522816463, 'confidence': -0.0043231710667204215, 'FD_Position': 'OF'}}</t>
  </si>
  <si>
    <t>{'Yoenis Cespedes_batter': {'Salary': 2800.0, 'projected_FD_points': 2.6536458333333335, 'confidence': -0.033886670611646963,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</si>
  <si>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'Hanley Ramirez_batter': {'Salary': 3800.0, 'projected_FD_points': 3.2217866522816463, 'confidence': -0.0043231710667204215,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'Delino Deshields Jr._batter': {'Salary': 3400.0, 'projected_FD_points': 3.5623484214479291, 'confidence': -3.3090160835714109, 'FD_Position': 'OF'},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'Wilson Ramos_batter': {'Salary': 3000.0, 'projected_FD_points': 2.2396874415269741, 'confidence': -1.3981184096342822, 'FD_Position': 'C'},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</si>
  <si>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6.7829881656804742,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</si>
  <si>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{'Shin-Soo Choo_batter': {'Salary': 3200.0, 'projected_FD_points': 3.2750160947443203, 'confidence': -0.028891460925543733,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'Jose Bautista_batter': {'Salary': 4600.0, 'projected_FD_points': 3.2303244613472315, 'confidence': -0.012654246204942377, 'FD_Position': 'OF'}, 'Edwin Encarnacion_batter': {'Salary': 4200.0, 'projected_FD_points': 3.0763636363636362, 'confidence': -0.072409114480313841, 'FD_Position': '1B'}, 'Evan Gattis_batter': {'Salary': 3100.0, 'projected_FD_points': 2.4553055443491538, 'confidence': -0.88094673751196662, 'FD_Position': 'C'}, 'Asdrubal Cabrera_batter': {'Salary': 2400.0, 'projected_FD_points': 2.2990015309869785, 'confidence': -0.073545506611225386, 'FD_Position': 'SS'}, 'Collin McHugh_pitcher': {'Salary': 8600.0, 'projected_FD_points': 11.585242231279125, 'confidence': -0.4020011002859214, 'FD_Position': 'P'}}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</si>
  <si>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</si>
  <si>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3.2040880077626626, 'confidence': -0.022919087607420785, 'FD_Position': 'OF'}, 'Joc Pederson_batter': {'Salary': 4000.0, 'projected_FD_points': 3.0539571503287508, 'confidence': -0.14080439297340086, 'FD_Position': 'OF'}, 'Stephen Strasburg_pitcher': {'Salary': 8500.0, 'projected_FD_points': 11.197873564044546, 'confidence': -0.17940196015937726,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</si>
  <si>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{'Troy Tulowitzki_batter': {'Salary': 4500.0, 'projected_FD_points': 3.8278741219316399, 'confidence': -0.073198044300926135, 'FD_Position': 'SS'},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'Ian Kinsler_batter': {'Salary': 3800.0, 'projected_FD_points': 2.6295868616254729, 'confidence': -0.10696070798750235, 'FD_Position': '2B'}, 'Chris Colabello_batter': {'Salary': 2300.0, 'projected_FD_points': 2.6133560115981034, 'confidence': 0.055218224373318248, 'FD_Position': 'OF'},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</si>
  <si>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{'Dee Gordon_batter': {'Salary': 3900.0, 'projected_FD_points': 2.7886540523930856, 'confidence': -0.057000711494109346, 'FD_Position': '2B'}, 'Ryan Raburn_batter': {'Salary': 2200.0, 'projected_FD_points': 2.4316239316239314, 'confidence': -0.74504193124338358, 'FD_Position': 'OF'},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'Troy Tulowitzki_batter': {'Salary': 4500.0, 'projected_FD_points': 3.8278741219316399, 'confidence': -0.073198044300926135,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</si>
  <si>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2.9887194810096278, 'confidence': -0.043936204227385867,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3.6795661544125911, 'confidence': -0.073018984127329434,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</si>
  <si>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</si>
  <si>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{'Justin Masterson_pitcher': {'Salary': 6700.0, 'projected_FD_points': 12.622500313593632, 'confidence': -0.55751924588857915, 'FD_Position': 'P'}, 'David Ortiz_batter': {'Salary': 2800.0, 'projected_FD_points': 3.1837689542738636, 'confidence': -0.20623512776205755, 'FD_Position': '1B'}, 'Robinson Cano_batter': {'Salary': 3400.0, 'projected_FD_points': 2.7392683057888827, 'confidence': -0.021074750863038894, 'FD_Position': '2B'}, 'Carlos Gonzalez_batter': {'Salary': 3000.0, 'projected_FD_points': 3.0795872894584546, 'confidence': -0.020276445784927155, 'FD_Position': 'OF'},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'Yasmani Grandal_batter': {'Salary': 3000.0, 'projected_FD_points': 2.1458333333333335, 'confidence': -0.13074359547214742, 'FD_Position': 'C'}, 'Kyle Seager_batter': {'Salary': 3000.0, 'projected_FD_points': 2.6653376842655945, 'confidence': -0.032240016043219244, 'FD_Position': '3B'}, 'Hanley Ramirez_batter': {'Salary': 3900.0, 'projected_FD_points': 3.5089575116865404, 'confidence': -0.043076080184081711, 'FD_Position': 'OF'}}</t>
  </si>
  <si>
    <t>{'Adrian Beltre_batter': {'Salary': 2900.0, 'projected_FD_points': 2.6454248366013071, 'confidence': -0.0095384887324614365,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'Ryan Braun_batter': {'Salary': 4100.0, 'projected_FD_points': 3.1036336882191264, 'confidence': -0.011984713787705381, 'FD_Position': 'OF'}, 'Alexei Ramirez_batter': {'Salary': 2700.0, 'projected_FD_points': 2.0762987012987013, 'confidence': -0.025717211333211809,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</si>
  <si>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5.5956958434746831, 'confidence': -0.23548976174222713,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</si>
  <si>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</si>
  <si>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12.476913917669295, 'confidence': -0.091262587619323821,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</si>
  <si>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'Devon Travis_batter': {'Salary': 3300.0, 'projected_FD_points': 4.4565825545950819, 'confidence': -0.12461682704584209, 'FD_Position': '2B'}, 'Clayton Kershaw_pitcher': {'Salary': 11200.0, 'projected_FD_points': 14.731217336389809, 'confidence': -0.022168030124339655, 'FD_Position': 'P'}, 'Kirk Nieuwenhuis_batter': {'Salary': 2200.0, 'projected_FD_points': 3.0702827241487034, 'confidence': -6.3583392007260038, 'FD_Position': 'OF'}, 'Troy Tulowitzki_batter': {'Salary': 5100.0, 'projected_FD_points': 3.7911774544502896, 'confidence': -0.02614309806449211, 'FD_Position': 'SS'}, 'Chris Colabello_batter': {'Salary': 2300.0, 'projected_FD_points': 3.8586124818889855, 'confidence': -0.21569741868933368, 'FD_Position': 'OF'}, 'Mike Napoli_batter': {'Salary': 2200.0, 'projected_FD_points': 2.7498126872844031, 'confidence': -0.02912481518049681, 'FD_Position': '1B'}, 'Andrew Susac_batter': {'Salary': 2200.0, 'projected_FD_points': 2.7708716518846428, 'confidence': -1.7873964131948301,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</si>
  <si>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4.4565825545950819, 'confidence': -0.12461682704584209,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'David Ortiz_batter': {'Salary': 3000.0, 'projected_FD_points': 3.2878785723767803, 'confidence': -0.26955060245446005, 'FD_Position': '1B'}, 'Chris Colabello_batter': {'Salary': 2300.0, 'projected_FD_points': 3.8586124818889855, 'confidence': -0.21569741868933368, 'FD_Position': 'OF'}, 'Michael Pineda_pitcher': {'Salary': 8800.0, 'projected_FD_points': 13.431939813271097, 'confidence': -0.63799528559838903,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</si>
  <si>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14.731217336389809, 'confidence': -0.022168030124339655, 'FD_Position': 'P'}, 'Christian Yelich_batter': {'Salary': 2800.0, 'projected_FD_points': 2.5116580310880829, 'confidence': -0.066388111530770955, 'FD_Position': 'OF'}, 'Troy Tulowitzki_batter': {'Salary': 5100.0, 'projected_FD_points': 3.7911774544502896, 'confidence': -0.02614309806449211, 'FD_Position': 'SS'}, 'Kyle Seager_batter': {'Salary': 3000.0, 'projected_FD_points': 2.5485913497970416, 'confidence': -0.01147770576385998,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</si>
  <si>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{'Johnny Cueto_pitcher': {'Salary': 10500.0, 'projected_FD_points': 14.154465785744485, 'confidence': -0.67466560229283346, 'FD_Position': 'P'}, 'Robinson Cano_batter': {'Salary': 3400.0, 'projected_FD_points': 2.7336584453312986, 'confidence': -2.7243173585045355e-05, 'FD_Position': '2B'}, 'Devin Mesoraco_batter': {'Salary': 2400.0, 'projected_FD_points': 2.2706046420837973, 'confidence': -0.013894500931620701, 'FD_Position': 'C'}, 'Mark Canha_batter': {'Salary': 2800.0, 'projected_FD_points': 3.4216927769088072, 'confidence': -1.6820774360361566, 'FD_Position': 'OF'}, 'Jhonny Peralta_batter': {'Salary': 2800.0, 'projected_FD_points': 2.3801693333433582, 'confidence': -0.004015622116481099, 'FD_Position': 'SS'}, 'Kyle Seager_batter': {'Salary': 3000.0, 'projected_FD_points': 2.4491149222828703, 'confidence': -0.0022464931637307117, 'FD_Position': '3B'}, 'Jose Abreu_batter': {'Salary': 3500.0, 'projected_FD_points': 3.1739244034736869, 'confidence': -0.031341920947197899, 'FD_Position': '1B'}, 'Michael Cuddyer_batter': {'Salary': 2600.0, 'projected_FD_points': 2.896206128638942, 'confidence': -0.011010673500779555, 'FD_Position': 'OF'}, 'Andrew McCutchen_batter': {'Salary': 3900.0, 'projected_FD_points': 3.1378806444164771, 'confidence': -0.045284045294154751, 'FD_Position': 'OF'}}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</si>
  <si>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'Doug Fister_pitcher': {'Salary': 8000.0, 'projected_FD_points': 11.540879439419877, 'confidence': -1.1346384004870518,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</si>
  <si>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15.207360553266971, 'confidence': -6.6612978477239322, 'FD_Position': 'P'}, 'Troy Tulowitzki_batter': {'Salary': 5100.0, 'projected_FD_points': 3.9107799674009018, 'confidence': 0.019102782347992453, 'FD_Position': 'SS'}, 'Chris Colabello_batter': {'Salary': 2200.0, 'projected_FD_points': 3.0464017012233526, 'confidence': 0.045668091371910857, 'FD_Position': 'OF'}, 'Michael Cuddyer_batter': {'Salary': 2600.0, 'projected_FD_points': 2.7230543586198088, 'confidence': -0.1405349156722977, 'FD_Position': 'OF'}, 'Mike Napoli_batter': {'Salary': 2300.0, 'projected_FD_points': 2.7173505819216608, 'confidence': -0.0086446186957582771, 'FD_Position': '1B'}}</t>
  </si>
  <si>
    <t>{'Matt Duffy_batter': {'Salary': 2200.0, 'projected_FD_points': 1.9916272839997196, 'confidence': -0.33942770776477094, 'FD_Position': 'SS'}, 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'Carlos Peguero_batter': {'Salary': 2400.0, 'projected_FD_points': 2.8745472821700306, 'confidence': -0.63425728294818851, 'FD_Position': 'OF'}, 'Paul Goldschmidt_batter': {'Salary': 5100.0, 'projected_FD_points': 3.7072487730531845, 'confidence': -0.017922649383604661, 'FD_Position': '1B'}, 'Buster Posey_batter': {'Salary': 3500.0, 'projected_FD_points': 2.5402988342002772, 'confidence': -0.10169421267966916, 'FD_Position': 'C'}, 'Giancarlo Stanton_batter': {'Salary': 4700.0, 'projected_FD_points': 3.4067150602530383, 'confidence': -0.044042093679197647, 'FD_Position': 'OF'}, 'Collin McHugh_pitcher': {'Salary': 8400.0, 'projected_FD_points': 12.532382649025021, 'confidence': -0.90194120508011788, 'FD_Position': 'P'}}</t>
  </si>
  <si>
    <t>{'Alex Rodriguez_batter': {'Salary': 3200.0, 'projected_FD_points': 3.0951185267419841, 'confidence': -0.12729589144028153, 'FD_Position': '3B'}, 'David Ortiz_batter': {'Salary': 3200.0, 'projected_FD_points': 3.185251798561151, 'confidence': -0.011883509895390221, 'FD_Position': '1B'}, 'Matt Holliday_batter': {'Salary': 3500.0, 'projected_FD_points': 2.9912485624566236, 'confidence': -0.35848994458746919, 'FD_Position': 'OF'},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'Devon Travis_batter': {'Salary': 3600.0, 'projected_FD_points': 3.9672086720867208, 'confidence': -0.88137014812554115, 'FD_Position': '2B'}, 'Michael Cuddyer_batter': {'Salary': 2700.0, 'projected_FD_points': 2.7944297843831607, 'confidence': -0.021598739691160329, 'FD_Position': 'OF'}, 'Chris Sale_pitcher': {'Salary': 9800.0, 'projected_FD_points': 13.637637777972577, 'confidence': -0.0060690388094923886, 'FD_Position': 'P'}, 'Jason Castro_batter': {'Salary': 2200.0, 'projected_FD_points': 2.1702356606891544, 'confidence': -0.0064028401178091165, 'FD_Position': 'C'}}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</si>
  <si>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14.986299783869288, 'confidence': -0.14625357953704654, 'FD_Position': 'P'}, 'Daniel Santana_batter': {'Salary': 2800.0, 'projected_FD_points': 2.824289368570803, 'confidence': -0.078375376940419184, 'FD_Position': 'SS'}, 'David Ortiz_batter': {'Salary': 3300.0, 'projected_FD_points': 3.1112673885022688, 'confidence': -0.089105296294405667, 'FD_Position': '1B'}, 'Michael Cuddyer_batter': {'Salary': 2700.0, 'projected_FD_points': 2.8244135580126075, 'confidence': -0.0063340456351979046, 'FD_Position': 'OF'}}</t>
  </si>
  <si>
    <t>{'Alex Rodriguez_batter': {'Salary': 3400.0, 'projected_FD_points': 2.9679084619478444, 'confidence': 0.063027565541495023, 'FD_Position': '3B'},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15.083625761515087, 'confidence': -0.0057558311248617766, 'FD_Position': 'P'}, 'Yasmani Grandal_batter': {'Salary': 2400.0, 'projected_FD_points': 2.1034273980329252, 'confidence': -0.021164589482491891, 'FD_Position': 'C'},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</si>
  <si>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'Anthony Rizzo_batter': {'Salary': 4200.0, 'projected_FD_points': 2.812752051522458, 'confidence': -0.00037162900519960296,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'Dallas Keuchel_pitcher': {'Salary': 8500.0, 'projected_FD_points': 10.206102965748517, 'confidence': -0.07792638414798847,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</si>
  <si>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{'Brandon Belt_batter': {'Salary': 2900.0, 'projected_FD_points': 2.3391062790028241, 'confidence': -0.16338076559472858, 'FD_Position': '1B'}, 'Matt Kemp_batter': {'Salary': 3600.0, 'projected_FD_points': 2.7241784037558685, 'confidence': -0.0006319956934821569, 'FD_Position': 'OF'}, 'Seth Smith_batter': {'Salary': 2200.0, 'projected_FD_points': 2.1698113207547172, 'confidence': -0.00093496979811868997,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'Madison Bumgarner_pitcher': {'Salary': 9800.0, 'projected_FD_points': 12.889330517046961, 'confidence': -0.34726249501110185, 'FD_Position': 'P'},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'3B'}}</t>
  </si>
  <si>
    <t>{'Alex Rodriguez_batter': {'Salary': 3500.0, 'projected_FD_points': 3.1460790313677487, 'confidence': -1.2627057901529803, 'FD_Position': '3B'}, 'James Shields_pitcher': {'Salary': 8600.0, 'projected_FD_points': 11.32661186944126, 'confidence': -0.12459554145401364, 'FD_Position': 'P'}, 'Carlos Gonzalez_batter': {'Salary': 3000.0, 'projected_FD_points': 3.0781036184931816, 'confidence': -0.060982666169270505,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2.3417815584641213, 'confidence': -0.23680278091532703, 'FD_Position': 'C'}, 'Dustin Pedroia_batter': {'Salary': 2900.0, 'projected_FD_points': 2.4377104377104377, 'confidence': -0.00028704021947323355, 'FD_Position': '2B'}}</t>
  </si>
  <si>
    <t>{'Yasmany Tomas_batter': {'Salary': 2700.0, 'projected_FD_points': 2.8333333333333335, 'confidence': 0, 'FD_Position': '3B'}, 'Addison Russell_batter': {'Salary': 2900.0, 'projected_FD_points': 8.2388888888888889, 'confidence': 0, 'FD_Position': '2B'},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'Troy Tulowitzki_batter': {'Salary': 4300.0, 'projected_FD_points': 3.5861589248570223, 'confidence': -0.0090358516775801423, 'FD_Position': 'SS'}, 'Victor Martinez_batter': {'Salary': 3400.0, 'projected_FD_points': 2.4808754189626772, 'confidence': 0.022669700707254936, 'FD_Position': 'C'}, 'Hanley Ramirez_batter': {'Salary': 4400.0, 'projected_FD_points': 3.6708892453631803, 'confidence': -0.20221916526848216, 'FD_Position': 'OF'},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</si>
  <si>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'Addison Russell_batter': {'Salary': 2900.0, 'projected_FD_points': 8.2388888888888889, 'confidence': 0, 'FD_Position': '2B'}, 'David Ortiz_batter': {'Salary': 3300.0, 'projected_FD_points': 3.3202554744525545, 'confidence': -0.0387826892283063, 'FD_Position': '1B'}, 'Alex Rodriguez_batter': {'Salary': 3400.0, 'projected_FD_points': 2.8684492541268534, 'confidence': -0.10755136094031892, 'FD_Position': '3B'},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'Hanley Ramirez_batter': {'Salary': 4400.0, 'projected_FD_points': 3.6708892453631803, 'confidence': -0.20221916526848216, 'FD_Position': 'OF'}, 'Cole Hamels_pitcher': {'Salary': 9700.0, 'projected_FD_points': 11.881402022147327, 'confidence': -0.039767287487271652, 'FD_Position': 'P'}}</t>
  </si>
  <si>
    <t>{'Yasmany Tomas_batter': {'Salary': 2700.0, 'projected_FD_points': 2.8333333333333335, 'confidence': 0, 'FD_Position': '3B'}, 'Shin-Soo Choo_batter': {'Salary': 2500.0, 'projected_FD_points': 2.8166736256248015, 'confidence': -0.020520960756577278, 'FD_Position': 'OF'}, 'Evan Gattis_batter': {'Salary': 3000.0, 'projected_FD_points': 2.2797297297297296, 'confidence': -0.021235805065198399, 'FD_Position': 'C'},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'Paul Goldschmidt_batter': {'Salary': 5200.0, 'projected_FD_points': 3.6291315040744094, 'confidence': -0.0082941484077245775, 'FD_Position': '1B'}, 'Troy Tulowitzki_batter': {'Salary': 4300.0, 'projected_FD_points': 3.5861589248570223, 'confidence': -0.0090358516775801423, 'FD_Position': 'SS'},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</si>
  <si>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'Corey Kluber_pitcher': {'Salary': 9500.0, 'projected_FD_points': 11.834494694910768, 'confidence': -0.13642853297178492, 'FD_Position': 'P'}, 'Erick Aybar_batter': {'Salary': 2500.0, 'projected_FD_points': 1.9562937062937062, 'confidence': -0.0095087188676716838, 'FD_Position': 'SS'}, 'Devon Travis_batter': {'Salary': 3400.0, 'projected_FD_points': 4.9800623404996864, 'confidence': -0.44069562919663463,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'Edwin Encarnacion_batter': {'Salary': 3900.0, 'projected_FD_points': 2.9492587800075567, 'confidence': -0.004171215704946496, 'FD_Position': '1B'}}</t>
  </si>
  <si>
    <t>{'Odubel Herrera_batter': {'Salary': 3000.0, 'projected_FD_points': 3.695702224651833, 'confidence': -1.2249908050857119, 'FD_Position': 'OF'}, 'Max Scherzer_pitcher': {'Salary': 10500.0, 'projected_FD_points': 14.36293105981591, 'confidence': -1.0557980744639832, 'FD_Position': 'P'}, 'David Ortiz_batter': {'Salary': 3300.0, 'projected_FD_points': 3.1521674988254191, 'confidence': -0.018153554679197104, 'FD_Position': '1B'}, 'Justin Turner_batter': {'Salary': 2300.0, 'projected_FD_points': 2.6537323811734614, 'confidence': -0.024042022520136985, 'FD_Position': '2B'}, 'Carlos Gonzalez_batter': {'Salary': 3000.0, 'projected_FD_points': 3.0674456507278052, 'confidence': -0.13552765503382469, 'FD_Position': 'OF'}, 'Michael Saunders_batter': {'Salary': 2300.0, 'projected_FD_points': 3.1583414679422752, 'confidence': 0.018799807290277082, 'FD_Position': 'OF'}, 'Buster Posey_batter': {'Salary': 3500.0, 'projected_FD_points': 2.5865384615384617, 'confidence': -0.52936576355868614, 'FD_Position': 'C'}, 'Troy Tulowitzki_batter': {'Salary': 4300.0, 'projected_FD_points': 3.5915167083629411, 'confidence': 0.010994990412278027, 'FD_Position': 'SS'}, 'Josh Harrison_batter': {'Salary': 2700.0, 'projected_FD_points': 2.6167883211678831, 'confidence': -0.097579431286348717, 'FD_Position': '3B'}}</t>
  </si>
  <si>
    <t>{'Shin-Soo Choo_batter': {'Salary': 2500.0, 'projected_FD_points': 2.700140071715539, 'confidence': -0.015716673814754278, 'FD_Position': 'OF'}, 'Jason Castro_batter': {'Salary': 2300.0, 'projected_FD_points': 2.2456638942707388, 'confidence': -0.045712603269726593, 'FD_Position': 'C'}, 'Robinson Cano_batter': {'Salary': 3500.0, 'projected_FD_points': 2.9048735082584587, 'confidence': -0.072292823998152622,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'Lance Lynn_pitcher': {'Salary': 8100.0, 'projected_FD_points': 11.008846314650622, 'confidence': -0.10179546884422042, 'FD_Position': 'P'}, 'Josh Harrison_batter': {'Salary': 2700.0, 'projected_FD_points': 2.6167883211678831, 'confidence': -0.097579431286348717, 'FD_Position': '3B'}, 'Miguel Cabrera_batter': {'Salary': 5300.0, 'projected_FD_points': 3.5985342019543975, 'confidence': -0.055749166820373564, 'FD_Position': '1B'}, 'Andrew McCutchen_batter': {'Salary': 4100.0, 'projected_FD_points': 3.1689318704126221, 'confidence': -0.012033988019195752, 'FD_Position': 'OF'}}</t>
  </si>
  <si>
    <t>{'Adrian Beltre_batter': {'Salary': 3000.0, 'projected_FD_points': 2.5595288378465648, 'confidence': -0.014114798084978286, 'FD_Position': '3B'}, 'Odubel Herrera_batter': {'Salary': 3000.0, 'projected_FD_points': 3.0726539123814902, 'confidence': -4.7142306543041412, 'FD_Position': 'OF'}, 'Freddie Freeman_batter': {'Salary': 3200.0, 'projected_FD_points': 2.8521080704728003, 'confidence': -0.0031431381201973974, 'FD_Position': '1B'}, 'Zack Greinke_pitcher': {'Salary': 10000.0, 'projected_FD_points': 14.651474197843054, 'confidence': -0.61907570362778674, 'FD_Position': 'P'}, 'Carlos Gonzalez_batter': {'Salary': 3200.0, 'projected_FD_points': 3.042977289991291, 'confidence': -0.087402751128481171, 'FD_Position': 'OF'}, 'Jacob Realmuto_batter': {'Salary': 2200.0, 'projected_FD_points': 2.1335297977817009, 'confidence': -3.1875096877645435, 'FD_Position': 'C'}, 'Daniel Murphy_batter': {'Salary': 3100.0, 'projected_FD_points': 2.7658093770293211, 'confidence': -0.13778455900540609, 'FD_Position': '2B'}, 'Troy Tulowitzki_batter': {'Salary': 4600.0, 'projected_FD_points': 3.5975147881889233, 'confidence': -0.0016369300048868496, 'FD_Position': 'SS'}, 'Michael Cuddyer_batter': {'Salary': 2700.0, 'projected_FD_points': 2.7284911585870004, 'confidence': 0.020635987509276199, 'FD_Position': 'OF'}}</t>
  </si>
  <si>
    <t>{'Brandon Moss_batter': {'Salary': 3400.0, 'projected_FD_points': 2.9063984207221107, 'confidence': -0.0031183627178108519,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'Yordano Ventura_pitcher': {'Salary': 8000.0, 'projected_FD_points': 12.404593775803839, 'confidence': -0.71125819905458099, 'FD_Position': 'P'}, 'Xander Bogaerts_batter': {'Salary': 3000.0, 'projected_FD_points': 1.7354405589386717, 'confidence': 0.013966299469413301, 'FD_Position': 'SS'}, 'Michael Saunders_batter': {'Salary': 2400.0, 'projected_FD_points': 3.4862665078017425, 'confidence': -0.0012930275555556037, 'FD_Position': 'OF'}, 'Edwin Encarnacion_batter': {'Salary': 3500.0, 'projected_FD_points': 2.9820992000562279, 'confidence': -0.029656491613448521, 'FD_Position': '1B'}, 'Salvador Perez_batter': {'Salary': 2800.0, 'projected_FD_points': 2.1449769046588547, 'confidence': -0.075310783102807921, 'FD_Position': 'C'}, 'Hanley Ramirez_batter': {'Salary': 4300.0, 'projected_FD_points': 3.6634464727580678, 'confidence': -0.12551073555631631, 'FD_Position': 'OF'}}</t>
  </si>
  <si>
    <t>{'Kris Bryant_batter': {'Salary': 3500.0, 'projected_FD_points': 3.8431966386672443, 'confidence': 0, 'FD_Position': '3B'}, 'Odubel Herrera_batter': {'Salary': 3000.0, 'projected_FD_points': 3.0383778108211423, 'confidence': -0.006841474714541107, 'FD_Position': 'OF'}, 'Alexander Guerrero_batter': {'Salary': 3000.0, 'projected_FD_points': 2.9968511334500576, 'confidence': 0, 'FD_Position': '2B'}, 'Johnny Cueto_pitcher': {'Salary': 10400.0, 'projected_FD_points': 16.91438225152384, 'confidence': -8.3936308067581695, 'FD_Position': 'P'},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'Kirk Nieuwenhuis_batter': {'Salary': 2200.0, 'projected_FD_points': 3.0159727267646566, 'confidence': 0.14002867835956412, 'FD_Position': 'OF'}, 'Troy Tulowitzki_batter': {'Salary': 4300.0, 'projected_FD_points': 3.9037724522215753, 'confidence': -0.60450066417499171, 'FD_Position': 'SS'}, 'Jason Castro_batter': {'Salary': 2200.0, 'projected_FD_points': 2.2287946428571428, 'confidence': -0.0017713860546770821, 'FD_Position': 'C'}}</t>
  </si>
  <si>
    <t>{'Ian Desmond_batter': {'Salary': 3300.0, 'projected_FD_points': 2.5056185907262791, 'confidence': -0.12701122056464964, 'FD_Position': 'SS'}, 'Johnny Cueto_pitcher': {'Salary': 10400.0, 'projected_FD_points': 16.91438225152384, 'confidence': -8.3936308067581695,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</si>
  <si>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</si>
  <si>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'Neil Walker_batter': {'Salary': 3000.0, 'projected_FD_points': 2.7394661887249732, 'confidence': -0.030242391796614587, 'FD_Position': '2B'}, 'Steve Souza_batter': {'Salary': 3600.0, 'projected_FD_points': 3.8215503855058666, 'confidence': -1.41889391465208, 'FD_Position': 'OF'}, 'Paul Goldschmidt_batter': {'Salary': 4500.0, 'projected_FD_points': 3.6339615458555254, 'confidence': -0.020253964261819135, 'FD_Position': '1B'}, 'Carlos Gonzalez_batter': {'Salary': 3200.0, 'projected_FD_points': 2.9876543209876543, 'confidence': -0.030514597131078069,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</si>
  <si>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{'Alex Rodriguez_batter': {'Salary': 3200.0, 'projected_FD_points': 3.620981634273484, 'confidence': -0.13583272990416062, 'FD_Position': '3B'}, 'Corey Kluber_pitcher': {'Salary': 9800.0, 'projected_FD_points': 11.664750793706173, 'confidence': -0.29657922207360365,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2.4833972892500253, 'confidence': -3.0787082549168616, 'FD_Position': 'C'}, 'Hanley Ramirez_batter': {'Salary': 3700.0, 'projected_FD_points': 3.435428133283108, 'confidence': -0.029348287683865326,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</si>
  <si>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8.1819526627218835, 'confidence': 0, 'FD_Position': '2B'}, 'Paulo Orlando_batter': {'Salary': 3000.0, 'projected_FD_points': 11.123829034429811, 'confidence': 0, 'FD_Position': 'OF'}, 'Wade Miley_pitcher': {'Salary': 7300.0, 'projected_FD_points': 12.091625754740644, 'confidence': -0.009528764616758334, 'FD_Position': 'P'},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'Mike Trout_batter': {'Salary': 5100.0, 'projected_FD_points': 3.771594684385382, 'confidence': -0.22474399243636256, 'FD_Position': 'OF'},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</si>
  <si>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11.731961842449923, 'confidence': -0.11534549560422591, 'FD_Position': 'P'}, 'Alexander Guerrero_batter': {'Salary': 2800.0, 'projected_FD_points': 8.1819526627218835,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</si>
  <si>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{'Adam Wainwright_pitcher': {'Salary': 9600.0, 'projected_FD_points': 13.105797101449275, 'confidence': -0.0090620999233175237, 'FD_Position': 'P'}, 'Shin-Soo Choo_batter': {'Salary': 2400.0, 'projected_FD_points': 2.7802188546236453, 'confidence': -0.01426458826846555, 'FD_Position': 'OF'}, 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'David Ortiz_batter': {'Salary': 3200.0, 'projected_FD_points': 3.2573641229629478, 'confidence': -0.011313798055900826, 'FD_Position': '1B'}, 'Robinson Cano_batter': {'Salary': 3800.0, 'projected_FD_points': 2.9877370470164553, 'confidence': -0.056321368431124563, 'FD_Position': '2B'}, 'Troy Tulowitzki_batter': {'Salary': 4700.0, 'projected_FD_points': 3.8427170597992211, 'confidence': 0.01791751019253085, 'FD_Position': 'SS'}, 'Hanley Ramirez_batter': {'Salary': 3600.0, 'projected_FD_points': 3.5354506897842164, 'confidence': -0.038789011254219741, 'FD_Position': 'OF'}, 'Andrew Susac_batter': {'Salary': 2200.0, 'projected_FD_points': 3.1770929463673134, 'confidence': -0.56911163427194311, 'FD_Position': 'C'}}</t>
  </si>
  <si>
    <t>{'Alex Rodriguez_batter': {'Salary': 3300.0, 'projected_FD_points': 3.7042654410578946, 'confidence': -1.4406879730059687, 'FD_Position': '3B'}, 'Steve Souza_batter': {'Salary': 3700.0, 'projected_FD_points': 4.1536725267521319, 'confidence': -3.9539403154923543, 'FD_Position': 'OF'}, 'Matt Harvey_pitcher': {'Salary': 10100.0, 'projected_FD_points': 14.058511860685378, 'confidence': -3.5109053093883471,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</si>
  <si>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Pineda_pitcher': {'Salary': 8700.0, 'projected_FD_points': 13.963084112149524, 'confidence': -3.1355623122716914, 'FD_Position': 'P'}, 'Hanley Ramirez_batter': {'Salary': 4000.0, 'projected_FD_points': 3.2393152298567256, 'confidence': -0.01126948999484445, 'FD_Position': 'OF'}, 'Miguel Cabrera_batter': {'Salary': 4600.0, 'projected_FD_points': 3.6447068056837377, 'confidence': -0.30103835458681449, 'FD_Position': '1B'}}</t>
  </si>
  <si>
    <t>{'George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2.6598727893616996, 'confidence': -0.021840653596922888, 'FD_Position': '2B'}, 'Evan Gattis_batter': {'Salary': 2600.0, 'projected_FD_points': 2.1416666666666666, 'confidence': -0.0065444711538458211, 'FD_Position': 'C'}, 'Shin-Soo Choo_batter': {'Salary': 2700.0, 'projected_FD_points': 2.7450677038230253, 'confidence': -0.074612804932762566, 'FD_Position': 'OF'}, 'Paul Goldschmidt_batter': {'Salary': 5100.0, 'projected_FD_points': 3.6454707883261861, 'confidence': 0.00707536233710504, 'FD_Position': '1B'}, 'Joc Pederson_batter': {'Salary': 3400.0, 'projected_FD_points': 2.75, 'confidence': -1.0,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'3B'}}</t>
  </si>
  <si>
    <t>{'Paulo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'Carlos Gonzalez_batter': {'Salary': 3500.0, 'projected_FD_points': 3.0263975155279503, 'confidence': -0.0027493668088249823, 'FD_Position': 'OF'}, 'Jose Abreu_batter': {'Salary': 4400.0, 'projected_FD_points': 3.3765180144631546, 'confidence': 0.012833904945643293, 'FD_Position': '1B'}, 'Matt Garza_pitcher': {'Salary': 7300.0, 'projected_FD_points': 10.364984595223188, 'confidence': 0.037999651593122463, 'FD_Position': 'P'},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</si>
  <si>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14.134944591029026, 'confidence': -0.44069160913750105,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3.9907866404518533, 'confidence': 0.054887416576902215, 'FD_Position': 'SS'}, 'Jose Lobaton_batter': {'Salary': 2300.0, 'projected_FD_points': 1.5758196721311475, 'confidence': -6.5827186926936676e-05, 'FD_Position': 'C'}}</t>
  </si>
  <si>
    <t>{'Steve Souza_batter': {'Salary': 3900.0, 'projected_FD_points': 3.2243447250796926, 'confidence': -0.029152043815497519,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14.124926320959935, 'confidence': -0.060459395728235554,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</si>
  <si>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14.736998047713994, 'confidence': -0.018702478373018527,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'Rene Rivera_batter': {'Salary': 2200.0, 'projected_FD_points': 2.1378024589441287, 'confidence': -0.46280140831053651, 'FD_Position': 'C'},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</si>
  <si>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15.210625864226269, 'confidence': -0.041839189250511666,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</si>
  <si>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14.736998047713994, 'confidence': -0.018702478373018527,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3.2722278218548007, 'confidence': -0.067407114091005749,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</si>
  <si>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{'Shane Victorino_batter': {'Salary': 2500.0, 'projected_FD_points': 2.6550482722830928, 'confidence': -0.089690390432580536, 'FD_Position': 'OF'}, 'Alex Rodriguez_batter': {'Salary': 3800.0, 'projected_FD_points': 3.6909394792399715, 'confidence': -1.4795666631871929, 'FD_Position': '3B'}, 'Brian Dozier_batter': {'Salary': 3000.0, 'projected_FD_points': 2.674748448586441, 'confidence': -0.093144143310309069, 'FD_Position': '2B'}, 'Paulo Orlando_batter': {'Salary': 3000.0, 'projected_FD_points': 3.5, 'confidence': 0, 'FD_Position': 'OF'}, 'Kennys Vargas_batter': {'Salary': 2400.0, 'projected_FD_points': 2.3421052631578947, 'confidence': -3.898094075660552e-05, 'FD_Position': '1B'}, 'Jorge Soler_batter': {'Salary': 3800.0, 'projected_FD_points': 3.9953445348584409, 'confidence': -0.084802107393113779, 'FD_Position': 'OF'}, 'Andrew Susac_batter': {'Salary': 2200.0, 'projected_FD_points': 2.3748472456299581, 'confidence': -0.4962468111900169, 'FD_Position': 'C'}, 'Troy Tulowitzki_batter': {'Salary': 5300.0, 'projected_FD_points': 4.1950336662450205, 'confidence': -0.34169680294860849, 'FD_Position': 'SS'}, 'Collin McHugh_pitcher': {'Salary': 8900.0, 'projected_FD_points': 12.882211129252429, 'confidence': -0.61277949643455898, 'FD_Position': 'P'}}</t>
  </si>
  <si>
    <t>{'Carlos Carrasco_pitcher': {'Salary': 9100.0, 'projected_FD_points': 12.370720032168011, 'confidence': 0.16679844426774326, 'FD_Position': 'P'},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'Kurt Suzuki_batter': {'Salary': 2600.0, 'projected_FD_points': 1.84379750175326, 'confidence': -0.30552899653952181, 'FD_Position': 'C'}, 'Troy Tulowitzki_batter': {'Salary': 5300.0, 'projected_FD_points': 4.1950336662450205, 'confidence': -0.34169680294860849, 'FD_Position': 'SS'}, 'Conor Gillaspie_batter': {'Salary': 2200.0, 'projected_FD_points': 2.1444539954053812, 'confidence': -0.021166779760976251, 'FD_Position': '3B'}, 'Jose Abreu_batter': {'Salary': 4400.0, 'projected_FD_points': 3.2270056240700109, 'confidence': -0.00080418634397161348, 'FD_Position': '1B'}, 'Marlon Byrd_batter': {'Salary': 2200.0, 'projected_FD_points': 2.6143122676579926, 'confidence': -0.227945965464319, 'FD_Position': 'OF'}}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</si>
  <si>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'Corey Dickerson_batter': {'Salary': 4900.0, 'projected_FD_points': 3.378610113908139, 'confidence': -0.019174073406610148, 'FD_Position': 'OF'}, 'Matt Shoemaker_pitcher': {'Salary': 8500.0, 'projected_FD_points': 11.494212844526507, 'confidence': -4.0849615622071811, 'FD_Position': 'P'}, 'Marlon Byrd_batter': {'Salary': 2200.0, 'projected_FD_points': 2.5923507462686568, 'confidence': -0.072185348141961647, 'FD_Position': 'OF'}, 'Hector Gomez_batter': {'Salary': 2200.0, 'projected_FD_points': 2.9003538365226209, 'confidence': 0, 'FD_Position': 'SS'}, 'Khris Davis_batter': {'Salary': 2600.0, 'projected_FD_points': 2.6666504428120321, 'confidence': -0.1020783200955595, 'FD_Position': 'OF'}, 'Miguel Cabrera_batter': {'Salary': 5000.0, 'projected_FD_points': 3.5945153069781499, 'confidence': -0.038632407183981199, 'FD_Position': '1B'}, 'Rafael Ynoa_batter': {'Salary': 2800.0, 'projected_FD_points': 2.7593545908567045, 'confidence': -0.016873811228219182, 'FD_Position': '2B'}}</t>
  </si>
  <si>
    <t>{'Corey Dickerson_batter': {'Salary': 4900.0, 'projected_FD_points': 3.378610113908139, 'confidence': -0.019174073406610148, 'FD_Position': 'OF'}, 'Ryan Raburn_batter': {'Salary': 2400.0, 'projected_FD_points': 2.4399974856773405, 'confidence': -0.49878302488530979, 'FD_Position': 'OF'}, 'Geovany Soto_batter': {'Salary': 2300.0, 'projected_FD_points': 1.9677454067483247, 'confidence': -1.0036036630748471, 'FD_Position': 'C'}, 'Trevor Bauer_pitcher': {'Salary': 8800.0, 'projected_FD_points': 11.380711180689394, 'confidence': -0.52961658174127169, 'FD_Position': 'P'}, 'Oswaldo Arcia_batter': {'Salary': 3100.0, 'projected_FD_points': 2.6669150694439172, 'confidence': 0.078864570425302816, 'FD_Position': 'OF'}, 'Conor Gillaspie_batter': {'Salary': 2200.0, 'projected_FD_points': 2.3312412020496236, 'confidence': -0.31047146995484209, 'FD_Position': '3B'}, 'Carlos Santana_batter': {'Salary': 3200.0, 'projected_FD_points': 2.7190812720848054, 'confidence': -0.15568020497707979, 'FD_Position': '1B'}, 'Troy Tulowitzki_batter': {'Salary': 5300.0, 'projected_FD_points': 4.1011698455631382, 'confidence': -0.22470483518241147, 'FD_Position': 'SS'},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</si>
  <si>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'Shin-Soo Choo_batter': {'Salary': 2800.0, 'projected_FD_points': 2.9103726168874191, 'confidence': -0.021454562050615467, 'FD_Position': 'OF'}, 'Justin Turner_batter': {'Salary': 2500.0, 'projected_FD_points': 2.5510339727807412, 'confidence': 0.12955894835090698, 'FD_Position': '2B'}, 'Jacob Realmuto_batter': {'Salary': 2300.0, 'projected_FD_points': 3.2054384313522579, 'confidence': 0, 'FD_Position': 'C'}, 'Gerrit Cole_pitcher': {'Salary': 9000.0, 'projected_FD_points': 12.874066500221817, 'confidence': 0.15541703225950465, 'FD_Position': 'P'}, 'Kirk Nieuwenhuis_batter': {'Salary': 2400.0, 'projected_FD_points': 2.8726190476190476, 'confidence': -0.48407750107947978, 'FD_Position': 'OF'}, 'Troy Tulowitzki_batter': {'Salary': 4900.0, 'projected_FD_points': 3.5624080317383688, 'confidence': -0.009749042254570961, 'FD_Position': 'SS'}, 'Jose Abreu_batter': {'Salary': 4100.0, 'projected_FD_points': 3.4695940165644812, 'confidence': -0.48368127458561205, 'FD_Position': '1B'}}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</si>
  <si>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'David Ortiz_batter': {'Salary': 3600.0, 'projected_FD_points': 3.1609848484848486, 'confidence': -0.046113206381183103, 'FD_Position': '1B'}, 'Matt Harvey_pitcher': {'Salary': 10500.0, 'projected_FD_points': 13.535573577595102, 'confidence': 0.32472841110417228, 'FD_Position': 'P'}, 'Tim Beckham_batter': {'Salary': 2300.0, 'projected_FD_points': 2.125, 'confidence': 0, 'FD_Position': 'SS'}, 'Jacob Realmuto_batter': {'Salary': 2300.0, 'projected_FD_points': 3.2054384313522579, 'confidence': 0, 'FD_Position': 'C'},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</si>
  <si>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2.9103726168874191, 'confidence': -0.021454562050615467, 'FD_Position': 'OF'},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3.2946477102639564, 'confidence': -0.10709035054788107, 'FD_Position': 'OF'}, 'Logan Morrison_batter': {'Salary': 2200.0, 'projected_FD_points': 1.9186972199692141, 'confidence': 0.00049859773403004848, 'FD_Position': '1B'}, 'Troy Tulowitzki_batter': {'Salary': 4900.0, 'projected_FD_points': 3.5624080317383688, 'confidence': -0.009749042254570961, 'FD_Position': 'SS'}, 'Andrew Susac_batter': {'Salary': 2200.0, 'projected_FD_points': 2.3442264528334245, 'confidence': -6.8053341729627448,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</si>
  <si>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'Carlos Gonzalez_batter': {'Salary': 4000.0, 'projected_FD_points': 3.3287948438408055, 'confidence': -1.0651693209963127, 'FD_Position': 'OF'}, 'Zack Greinke_pitcher': {'Salary': 10100.0, 'projected_FD_points': 15.471712428089802, 'confidence': -0.14717789954886706, 'FD_Position': 'P'}, 'Daniel Murphy_batter': {'Salary': 3200.0, 'projected_FD_points': 2.50403153438412, 'confidence': -0.043361346324928718, 'FD_Position': '2B'}, 'Allan Dykstra_batter': {'Salary': 3000.0, 'projected_FD_points': 7.5, 'confidence': 0, 'FD_Position': '1B'}, 'Michael Cuddyer_batter': {'Salary': 3300.0, 'projected_FD_points': 3.0826113494599525, 'confidence': -0.31684383908861191, 'FD_Position': 'OF'}, 'Asdrubal Cabrera_batter': {'Salary': 2800.0, 'projected_FD_points': 2.3419395590205547, 'confidence': -0.027718259466972262, 'FD_Position': 'SS'}, 'Rene Rivera_batter': {'Salary': 2200.0, 'projected_FD_points': 2.1398659794775252, 'confidence': -0.54825262452817736, 'FD_Position': 'C'}}</t>
  </si>
  <si>
    <t>{'Shin-Soo Choo_batter': {'Salary': 2900.0, 'projected_FD_points': 3.1665539730937828, 'confidence': -0.11111349264404891, 'FD_Position': 'OF'}, 'Devon Travis_batter': {'Salary': 2800.0, 'projected_FD_points': 7.9374999999999982, 'confidence': 0, 'FD_Position': '2B'}, 'Jacob Realmuto_batter': {'Salary': 2400.0, 'projected_FD_points': 2.71875, 'confidence': 0, 'FD_Position': 'C'},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'Clayton Kershaw_pitcher': {'Salary': 11800.0, 'projected_FD_points': 14.88529667388797, 'confidence': -0.41913291577634437, 'FD_Position': 'P'}, 'Michael Cuddyer_batter': {'Salary': 3000.0, 'projected_FD_points': 3.0331325301204819, 'confidence': -0.015450250363244766, 'FD_Position': 'OF'}, 'Josh Harrison_batter': {'Salary': 3100.0, 'projected_FD_points': 2.730395351363093, 'confidence': -0.45399345943696834, 'FD_Position': '3B'}, 'Mookie Betts_batter': {'Salary': 3100.0, 'projected_FD_points': 2.9615384615384617, 'confidence': -1.1330453406904568, 'FD_Position': 'OF'}}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</si>
  <si>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14.88529667388797, 'confidence': -0.41913291577634437,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</si>
  <si>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{'Brian Dozier_batter': {'Salary': 3100.0, 'projected_FD_points': 2.5519018272619256, 'confidence': 0.0021401409458694509, 'FD_Position': '2B'}, 'Evan Gattis_batter': {'Salary': 2900.0, 'projected_FD_points': 2.3911173970829984, 'confidence': -0.30075700483869183, 'FD_Position': 'C'}, 'Johnny Cueto_pitcher': {'Salary': 10600.0, 'projected_FD_points': 13.934685937234477, 'confidence': -0.95029956264751592, 'FD_Position': 'P'},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'OF'}}</t>
  </si>
  <si>
    <t>{'Kris Bryant_batter': {'Salary': 4000.0, 'projected_FD_points': 3.7793034371768055, 'confidence': -0.21027840308532664, 'FD_Position': '3B'}, 'Jose Bautista_batter': {'Salary': 4500.0, 'projected_FD_points': 3.4743211283653825, 'confidence': -0.032174548126524316, 'FD_Position': 'OF'}, 'Devin Mesoraco_batter': {'Salary': 2200.0, 'projected_FD_points': 2.4051724137931036, 'confidence': -0.08536901475710601, 'FD_Position': 'C'}, 'Paul Goldschmidt_batter': {'Salary': 5200.0, 'projected_FD_points': 3.5959220275161252, 'confidence': -0.061398788982865771, 'FD_Position': '1B'}, 'Carlos Frias_pitcher': {'Salary': 6600.0, 'projected_FD_points': 25.716882759220496, 'confidence': 0, 'FD_Position': 'P'},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4.0814502528077572, 'confidence': -0.12758375372009079,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</si>
  <si>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3.6952191235059759,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4.1166172262321616, 'confidence': -0.056124393452505084,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3.1605970803337327, 'confidence': -6.3934930607042713, 'FD_Position': 'C'}}</t>
  </si>
  <si>
    <t>{'Shin-Soo Choo_batter': {'Salary': 3300.0, 'projected_FD_points': 3.3468619560821837, 'confidence': -0.051938781279083024, 'FD_Position': 'OF'}, 'Evan Gattis_batter': {'Salary': 3300.0, 'projected_FD_points': 2.3374361312813079, 'confidence': -0.062054146519985753, 'FD_Position': 'C'},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'Josh Donaldson_batter': {'Salary': 3800.0, 'projected_FD_points': 2.9189352208417447, 'confidence': 0.030002529880767348, 'FD_Position': '3B'}, 'Matt Shoemaker_pitcher': {'Salary': 8300.0, 'projected_FD_points': 14.096582723304024, 'confidence': -0.59460915601824738, 'FD_Position': 'P'},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</si>
  <si>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'Darin Ruf_batter': {'Salary': 2500.0, 'projected_FD_points': 2.402526999812225, 'confidence': -0.32764202850802593, 'FD_Position': '1B'}, 'Robinson Cano_batter': {'Salary': 3000.0, 'projected_FD_points': 2.9217025656673172, 'confidence': -0.26836534720334204,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</si>
  <si>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2.402526999812225, 'confidence': -0.32764202850802593,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3.9684887447412196, 'confidence': 0.017180171830025515,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</si>
  <si>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14.096582723304024, 'confidence': -0.59460915601824738,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</si>
  <si>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13.543237304937973,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3.702600238408607, 'confidence': -0.26982081762580123,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</si>
  <si>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11.238119816208179, 'confidence': -0.33920241832971798, 'FD_Position': 'P'}, 'Troy Tulowitzki_batter': {'Salary': 4500.0, 'projected_FD_points': 3.702600238408607, 'confidence': -0.26982081762580123,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</si>
  <si>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2.8873621248580612, 'confidence': -0.16615248942643879, 'FD_Position': 'C'}, 'Mike Trout_batter': {'Salary': 5300.0, 'projected_FD_points': 3.6664086687306501, 'confidence': -0.0045947885765782459, 'FD_Position': 'OF'}, 'Troy Tulowitzki_batter': {'Salary': 4500.0, 'projected_FD_points': 4.2091166258413928, 'confidence': -0.083879502335000966,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</si>
  <si>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2.9361900184956458, 'confidence': -0.072507975623220089,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4.2091166258413928, 'confidence': -0.083879502335000966, 'FD_Position': 'SS'}, 'Andrew Susac_batter': {'Salary': 2600.0, 'projected_FD_points': 2.8873621248580612, 'confidence': -0.16615248942643879, 'FD_Position': 'C'}}</t>
  </si>
  <si>
    <t>{'Kris Bryant_batter': {'Salary': 4000.0, 'projected_FD_points': 3.9708540226517748, 'confidence': -3.095492527098, 'FD_Position': '3B'}, 'David Ortiz_batter': {'Salary': 3000.0, 'projected_FD_points': 3.2827586206896551, 'confidence': -0.20326538162572305, 'FD_Position': '1B'}, 'Wade Miley_pitcher': {'Salary': 6900.0, 'projected_FD_points': 13.247221940185472, 'confidence': -0.011551284905878534, 'FD_Position': 'P'}, 'Rafael Ynoa_batter': {'Salary': 2700.0, 'projected_FD_points': 4.6128767532079973, 'confidence': 0.26023872778316215, 'FD_Position': '2B'}, 'Troy Tulowitzki_batter': {'Salary': 4400.0, 'projected_FD_points': 4.2250173814996215, 'confidence': -0.085099973305951648, 'FD_Position': 'SS'},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</si>
  <si>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{'Russell Martin_batter': {'Salary': 3400.0, 'projected_FD_points': 2.5010288065843622, 'confidence': -0.09229080675216772, 'FD_Position': 'C'}, 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13.247221940185472, 'confidence': -0.011551284905878534, 'FD_Position': 'P'},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'OF'}}</t>
  </si>
  <si>
    <t>{'Kris Bryant_batter': {'Salary': 4000.0, 'projected_FD_points': 3.9708540226517748, 'confidence': -3.095492527098,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11.634134535858189, 'confidence': 0.049336271946696986,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4.2250173814996215, 'confidence': -0.085099973305951648,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</si>
  <si>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'Paul Goldschmidt_batter': {'Salary': 5200.0, 'projected_FD_points': 3.7702580933055541, 'confidence': 0.019524052488018695, 'FD_Position': '1B'}, 'Andrew Susac_batter': {'Salary': 2600.0, 'projected_FD_points': 2.9070609898801982, 'confidence': -0.15764821069310453, 'FD_Position': 'C'}, 'Jose Reyes_batter': {'Salary': 3000.0, 'projected_FD_points': 2.4765625, 'confidence': -0.013454145366095016, 'FD_Position': 'SS'}, 'Chris Colabello_batter': {'Salary': 2700.0, 'projected_FD_points': 3.4681805855850643, 'confidence': -0.083822631469298026,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'Tyson Ross_pitcher': {'Salary': 9000.0, 'projected_FD_points': 11.251826236057649, 'confidence': -0.36803382453170164, 'FD_Position': 'P'}}</t>
  </si>
  <si>
    <t>{'Kole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'Derek Norris_batter': {'Salary': 2800.0, 'projected_FD_points': 2.107894736842105, 'confidence': -0.013180930212013386, 'FD_Position': 'C'},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'Chris Colabello_batter': {'Salary': 2700.0, 'projected_FD_points': 3.4681805855850643, 'confidence': -0.083822631469298026,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</si>
  <si>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'Brian Dozier_batter': {'Salary': 3700.0, 'projected_FD_points': 2.7803759146099751, 'confidence': -0.019400964695498901, 'FD_Position': '2B'}, 'Elvis Andrus_batter': {'Salary': 2500.0, 'projected_FD_points': 2.0125391849529781, 'confidence': -0.097508862271508789, 'FD_Position': 'SS'}, 'Shaun Marcum_pitcher': {'Salary': 6600.0, 'projected_FD_points': 10.491917117779728, 'confidence': -5.3907119476650855, 'FD_Position': 'P'}, 'Ryan Braun_batter': {'Salary': 4600.0, 'projected_FD_points': 3.3426131071134968, 'confidence': -0.10200946204374328, 'FD_Position': 'OF'}, 'Paul Goldschmidt_batter': {'Salary': 5200.0, 'projected_FD_points': 3.7702580933055541, 'confidence': 0.019524052488018695, 'FD_Position': '1B'},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2.9070609898801982, 'confidence': -0.15764821069310453,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</si>
  <si>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3.701945745646122, 'confidence': -0.13967405649250142, 'FD_Position': 'OF'}, 'Clayton Kershaw_pitcher': {'Salary': 11000.0, 'projected_FD_points': 15.118370034289471, 'confidence': -0.097519685322123628, 'FD_Position': 'P'}, 'Troy Tulowitzki_batter': {'Salary': 3900.0, 'projected_FD_points': 4.0753638267628691, 'confidence': 0.035477450850151304,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</si>
  <si>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3.4472710100145809, 'confidence': -0.073860656351425691, 'FD_Position': '3B'}, 'Robinson Cano_batter': {'Salary': 2700.0, 'projected_FD_points': 2.752615449471723, 'confidence': -0.032060369702729075, 'FD_Position': '2B'}, 'Carlos Gonzalez_batter': {'Salary': 2900.0, 'projected_FD_points': 3.4710192941365223, 'confidence': -0.091819985069579335,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4.2839575624763704, 'confidence': -0.039069621865105653,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</si>
  <si>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3.4710192941365223, 'confidence': -0.091819985069579335, 'FD_Position': 'OF'}, 'Troy Tulowitzki_batter': {'Salary': 3900.0, 'projected_FD_points': 4.2839575624763704, 'confidence': -0.039069621865105653, 'FD_Position': 'SS'},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</si>
  <si>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3.4472710100145809, 'confidence': -0.073860656351425691,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</si>
  <si>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</si>
  <si>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12.397159661970912, 'confidence': -0.45042916232332031, 'FD_Position': 'P'}}</t>
  </si>
  <si>
    <t>{'Alex Rodriguez_batter': {'Salary': 3300.0, 'projected_FD_points': 3.1553181458726201, 'confidence': 0.0075263473136326642, 'FD_Position': '3B'}, 'Corey Kluber_pitcher': {'Salary': 10500.0, 'projected_FD_points': 12.397159661970912, 'confidence': -0.45042916232332031,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</si>
  <si>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20.335288172880833,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4.5799528093960076, 'confidence': -0.14286972666885256,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</si>
  <si>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'Ryan Braun_batter': {'Salary': 4400.0, 'projected_FD_points': 3.335710416176588, 'confidence': -0.071396537516853487, 'FD_Position': 'OF'}, 'Carlos Gonzalez_batter': {'Salary': 2900.0, 'projected_FD_points': 3.1878399215176385, 'confidence': -0.029635263370475728,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'Andrew Susac_batter': {'Salary': 2600.0, 'projected_FD_points': 2.6563265041233368, 'confidence': -0.056842104180695463,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</si>
  <si>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2.6563265041233368, 'confidence': -0.056842104180695463, 'FD_Position': 'C'}}</t>
  </si>
  <si>
    <t>{'Gio Gonzalez_pitcher': {'Salary': 8700.0, 'projected_FD_points': 11.673110597542111, 'confidence': -0.017615523822558599, 'FD_Position': 'P'}, 'Paul Goldschmidt_batter': {'Salary': 5100.0, 'projected_FD_points': 3.6873597246014791, 'confidence': 0.013604477463544873, 'FD_Position': '1B'}, 'Carlos Gonzalez_batter': {'Salary': 2900.0, 'projected_FD_points': 3.1878399215176385, 'confidence': -0.029635263370475728,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</si>
  <si>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12.327351296727041, 'confidence': 0.20609444123648246,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</si>
  <si>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10.254523691258076, 'confidence': -0.17014383590576032,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</si>
  <si>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10.200387458795277, 'confidence': -4.5504947311930106,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</si>
  <si>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4.2360072254541219, 'confidence': -0.11124620844983291,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</si>
  <si>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21.564527898536717, 'confidence': 0, 'FD_Position': 'P'}, 'Paul Goldschmidt_batter': {'Salary': 5700.0, 'projected_FD_points': 3.8421194114996942, 'confidence': -0.012270249287100743, 'FD_Position': '1B'}, 'Joc Pederson_batter': {'Salary': 4000.0, 'projected_FD_points': 3.5145433096705592, 'confidence': -7.4762682914411513, 'FD_Position': 'OF'}, 'Troy Tulowitzki_batter': {'Salary': 4500.0, 'projected_FD_points': 3.941995714868689, 'confidence': -0.10335907228724528,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</si>
  <si>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3.2356103790400841, 'confidence': -0.035341589027362064, 'FD_Position': 'OF'}, 'Zack Greinke_pitcher': {'Salary': 9900.0, 'projected_FD_points': 14.572234641650617, 'confidence': -1.5306158971618449, 'FD_Position': 'P'}, 'Troy Tulowitzki_batter': {'Salary': 4500.0, 'projected_FD_points': 3.941995714868689, 'confidence': -0.10335907228724528, 'FD_Position': 'SS'}}</t>
  </si>
  <si>
    <t>{'Alex Rodriguez_batter': {'Salary': 3300.0, 'projected_FD_points': 3.3380469931674743, 'confidence': -0.23561510148050591,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4.0184414534618202, 'confidence': -9.5380828267176554, 'FD_Position': 'C'},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'Chris Sale_pitcher': {'Salary': 10400.0, 'projected_FD_points': 13.982142857142858, 'confidence': -0.21821067554240647, 'FD_Position': 'P'}}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</si>
  <si>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'Hanley Ramirez_batter': {'Salary': 3700.0, 'projected_FD_points': 3.2174408543290847, 'confidence': -0.022744957315662173, 'FD_Position': 'OF'}, 'Andrew Susac_batter': {'Salary': 2600.0, 'projected_FD_points': 4.0184414534618202, 'confidence': -9.5380828267176554, 'FD_Position': 'C'}, 'Andrew McCutchen_batter': {'Salary': 4700.0, 'projected_FD_points': 3.2489761421433996, 'confidence': -0.021484549247341889, 'FD_Position': 'OF'}}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</si>
  <si>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'Robinson Cano_batter': {'Salary': 2600.0, 'projected_FD_points': 2.6661849336181747, 'confidence': -0.0054378359867939263, 'FD_Position': '2B'}, 'Seth Smith_batter': {'Salary': 2600.0, 'projected_FD_points': 2.146551724137931, 'confidence': -0.0063770568330643318, 'FD_Position': 'OF'},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'Austin Jackson_batter': {'Salary': 2400.0, 'projected_FD_points': 2.2239583333333335, 'confidence': -0.038240435341193812, 'FD_Position': 'OF'}, 'Nelson Cruz_batter': {'Salary': 4200.0, 'projected_FD_points': 3.0725255972696246, 'confidence': -0.0297227236581874, 'FD_Position': 'OF'}, 'Andrew Susac_batter': {'Salary': 2600.0, 'projected_FD_points': 4.0184414534618202, 'confidence': -9.5380828267176554, 'FD_Position': 'C'}}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</si>
  <si>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</si>
  <si>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</si>
  <si>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</si>
  <si>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3.6555424328666652, 'confidence': -0.27504596675089932, 'FD_Position': 'OF'}, 'Chris Colabello_batter': {'Salary': 2800.0, 'projected_FD_points': 2.9655721174317748, 'confidence': 0.039239097730105477, 'FD_Position': 'OF'},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</si>
  <si>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3.6555424328666652, 'confidence': -0.27504596675089932,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</si>
  <si>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10.684516543871625, 'confidence': -0.27078413171211957,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3.0167280151225384, 'confidence': -0.036606030392570377, 'FD_Position': 'OF'}, 'Ian Kinsler_batter': {'Salary': 3100.0, 'projected_FD_points': 2.5193979358050731, 'confidence': 0.012095568177759697, 'FD_Position': '2B'},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</si>
  <si>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'Adam Warren_pitcher': {'Salary': 6700.0, 'projected_FD_points': 19.352643389282832, 'confidence': -1.7404228318655766, 'FD_Position': 'P'}, 'Paul Goldschmidt_batter': {'Salary': 5600.0, 'projected_FD_points': 3.6933185870707477, 'confidence': -0.027254900476767707, 'FD_Position': '1B'}, 'Yadier Molina_batter': {'Salary': 2300.0, 'projected_FD_points': 2.1089285714285713, 'confidence': -0.12427748211331302, 'FD_Position': 'C'}, 'Joc Pederson_batter': {'Salary': 4200.0, 'projected_FD_points': 3.1595419982162922, 'confidence': -0.59516499548076385, 'FD_Position': 'OF'}, 'Mike Trout_batter': {'Salary': 5100.0, 'projected_FD_points': 3.6145209580838324, 'confidence': -0.00016995762068061637, 'FD_Position': 'OF'}, 'Jimmy Rollins_batter': {'Salary': 2700.0, 'projected_FD_points': 2.1924477183826467, 'confidence': -0.019734750485716379, 'FD_Position': 'SS'}, 'Michael Cuddyer_batter': {'Salary': 2600.0, 'projected_FD_points': 2.9641241917036107, 'confidence': -0.025794663567116016, 'FD_Position': 'OF'}}</t>
  </si>
  <si>
    <t>{'Matt Duffy_batter': {'Salary': 2600.0, 'projected_FD_points': 3.8659304756578576, 'confidence': -0.72644635916697808, 'FD_Position': '3B'}, 'Shin-Soo Choo_batter': {'Salary': 3400.0, 'projected_FD_points': 3.2028581960778348, 'confidence': -0.049181064194384172, 'FD_Position': 'OF'}, 'Madison Bumgarner_pitcher': {'Salary': 10200.0, 'projected_FD_points': 13.212255141721563, 'confidence': 0.018364983328183482, 'FD_Position': 'P'},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'Daniel Santana_batter': {'Salary': 2200.0, 'projected_FD_points': 2.2162698412698414, 'confidence': -0.086831429906239155, 'FD_Position': 'SS'}, 'Chris Colabello_batter': {'Salary': 2800.0, 'projected_FD_points': 3.2584185425944052, 'confidence': -0.22115738281559461, 'FD_Position': 'OF'}, 'Buster Posey_batter': {'Salary': 3700.0, 'projected_FD_points': 2.629043525691992, 'confidence': -0.19451094170586058, 'FD_Position': 'C'}, 'Ben Zobrist_batter': {'Salary': 2900.0, 'projected_FD_points': 2.4012385012073207, 'confidence': -0.12522770369649883, 'FD_Position': '2B'}}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</si>
  <si>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3.9620744442557916, 'confidence': -0.053735289212638815,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</si>
  <si>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'Jonathan Lucroy_batter': {'Salary': 2900.0, 'projected_FD_points': 2.5106906183534634, 'confidence': -0.026994382010703699, 'FD_Position': 'C'}, 'Jose Bautista_batter': {'Salary': 4900.0, 'projected_FD_points': 3.5079041257048291, 'confidence': -0.0081336648198166994, 'FD_Position': 'OF'}, 'Jimmy Nelson_pitcher': {'Salary': 6500.0, 'projected_FD_points': 11.686406687066043, 'confidence': -0.74297878143748464, 'FD_Position': 'P'}, 'Maikel Franco_batter': {'Salary': 2900.0, 'projected_FD_points': 2.8038652284288199, 'confidence': -0.2720052448567829, 'FD_Position': '3B'}, 'Chris Colabello_batter': {'Salary': 2900.0, 'projected_FD_points': 3.1030117843595817, 'confidence': 0.015218076516417822, 'FD_Position': 'OF'}, 'Troy Tulowitzki_batter': {'Salary': 4800.0, 'projected_FD_points': 3.9480789750148766, 'confidence': -0.0078337670126873427, 'FD_Position': 'SS'}, 'Jose Abreu_batter': {'Salary': 3500.0, 'projected_FD_points': 3.0942181086801455, 'confidence': -0.020207212173960487, 'FD_Position': '1B'}, 'Carlos Gonzalez_batter': {'Salary': 3700.0, 'projected_FD_points': 3.3405488787749444, 'confidence': -0.013240691842355101, 'FD_Position': 'OF'}}</t>
  </si>
  <si>
    <t>{'Matt Duffy_batter': {'Salary': 2900.0, 'projected_FD_points': 2.6687606682977529, 'confidence': -1.9414144016404729, 'FD_Position': '3B'}, 'Shin-Soo Choo_batter': {'Salary': 3300.0, 'projected_FD_points': 3.140229053950387, 'confidence': -0.015098948195965578, 'FD_Position': 'OF'}, 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'Chris Colabello_batter': {'Salary': 2900.0, 'projected_FD_points': 2.9530790163027021, 'confidence': 0.17036949812074009, 'FD_Position': 'OF'}, 'Troy Tulowitzki_batter': {'Salary': 4700.0, 'projected_FD_points': 3.9251233505294296, 'confidence': 0.035422233178365126, 'FD_Position': 'SS'}, 'Michael Cuddyer_batter': {'Salary': 2600.0, 'projected_FD_points': 2.8553921568627452, 'confidence': -0.020627450692178639,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</si>
  <si>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13.63401889841851, 'confidence': -0.088349524592248097,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</si>
  <si>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{'Matt Duffy_batter': {'Salary': 2900.0, 'projected_FD_points': 2.651665140718654, 'confidence': -0.34676649171412577, 'FD_Position': '3B'}, 'Shin-Soo Choo_batter': {'Salary': 3300.0, 'projected_FD_points': 3.2068471871550499, 'confidence': -0.098031081952598464, 'FD_Position': 'OF'}, 'Matt Harvey_pitcher': {'Salary': 11000.0, 'projected_FD_points': 13.63401889841851, 'confidence': -0.088349524592248097,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'Joc Pederson_batter': {'Salary': 3800.0, 'projected_FD_points': 3.3376045846407147, 'confidence': 0.019035989577651957, 'FD_Position': 'OF'},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</si>
  <si>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'Jose Bautista_batter': {'Salary': 5400.0, 'projected_FD_points': 3.3551459145292939, 'confidence': 0.0028203089928605651, 'FD_Position': 'OF'}, 'Kris Negron_batter': {'Salary': 2200.0, 'projected_FD_points': 2.041382385466747, 'confidence': -3.0060608695164097, 'FD_Position': '2B'},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11.228957079956881, 'confidence': -0.35340491164187182, 'FD_Position': 'P'}, 'Joey Votto_batter': {'Salary': 4000.0, 'projected_FD_points': 3.0579999999999998, 'confidence': -0.00016844451851594222, 'FD_Position': '1B'}}</t>
  </si>
  <si>
    <t>{'Matt Duffy_batter': {'Salary': 3100.0, 'projected_FD_points': 2.6238041386130146, 'confidence': -1.8870860640701701, 'FD_Position': '3B'}, 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12.162343227605596, 'confidence': 0.10941969449867039, 'FD_Position': 'P'}, 'Ryan Braun_batter': {'Salary': 4000.0, 'projected_FD_points': 3.4947676872039959, 'confidence': -0.068368409878129421, 'FD_Position': 'OF'}, 'Mike Trout_batter': {'Salary': 5000.0, 'projected_FD_points': 3.5924556213017751, 'confidence': -0.0028763482297275988, 'FD_Position': 'OF'}, 'Troy Tulowitzki_batter': {'Salary': 4500.0, 'projected_FD_points': 3.6502981526813896, 'confidence': -0.012645904172492006, 'FD_Position': 'SS'}, 'Scooter Gennett_batter': {'Salary': 2200.0, 'projected_FD_points': 2.1239692239815446, 'confidence': -0.51501410807937553, 'FD_Position': '2B'}, 'Andrew Susac_batter': {'Salary': 2400.0, 'projected_FD_points': 3.2555693205240619, 'confidence': -2.059040137839844,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</si>
  <si>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10.103513498311219, 'confidence': -0.24699957350617963,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</si>
  <si>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3.2185238366572726, 'confidence': -2.090568892523383, 'FD_Position': 'OF'}, 'Troy Tulowitzki_batter': {'Salary': 4500.0, 'projected_FD_points': 3.6246514113089239, 'confidence': -0.020885884245935182, 'FD_Position': 'SS'}, 'Michael Pineda_pitcher': {'Salary': 9800.0, 'projected_FD_points': 14.543805622568184, 'confidence': -0.71467082225458434, 'FD_Position': 'P'}}</t>
  </si>
  <si>
    <t>FD Median/HR Factors (2014/2015 Season) - if player in starting lineup</t>
  </si>
  <si>
    <t>{'Johnny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'Blake Swihart_batter': {'Salary': 2200.0, 'projected_FD_points': 3.1614883401920428, 'confidence': 0, 'FD_Position': 'C'}, 'Delino Deshields Jr._batter': {'Salary': 3100.0, 'projected_FD_points': 3.9634330795153065, 'confidence': 0, 'FD_Position': 'OF'}, 'Dexter Fowler_batter': {'Salary': 3200.0, 'projected_FD_points': 3.721817487124822, 'confidence': -0.049563144103599299, 'FD_Position': 'OF'}, 'Troy Tulowitzki_batter': {'Salary': 4300.0, 'projected_FD_points': 3.2708961341029728, 'confidence': 0.022745557813720119, 'FD_Position': 'SS'},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'Joey Votto_batter': {'Salary': 3700.0, 'projected_FD_points': 3.2562821366062593, 'confidence': -0.21383462174090795, 'FD_Position': '1B'}}</t>
  </si>
  <si>
    <t>{'Michael Brantley_batter': {'Salary': 4400.0, 'projected_FD_points': 3.1956866078073203, 'confidence': -0.1384306744823971,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2.0196776590272618, 'confidence': 0.062693983603026915, 'FD_Position': 'C'}, 'Delino Deshields Jr._batter': {'Salary': 3100.0, 'projected_FD_points': 3.9634330795153065, 'confidence': 0, 'FD_Position': 'OF'}, 'Daniel Santana_batter': {'Salary': 2700.0, 'projected_FD_points': 2.4227181490261351, 'confidence': -0.069456666049257265, 'FD_Position': 'SS'}, 'Dexter Fowler_batter': {'Salary': 3200.0, 'projected_FD_points': 3.721817487124822, 'confidence': -0.049563144103599299, 'FD_Position': 'OF'}, 'Aaron Harang_pitcher': {'Salary': 7600.0, 'projected_FD_points': 11.592805063161684, 'confidence': -0.51570358151659956, 'FD_Position': 'P'}, 'Brian Dozier_batter': {'Salary': 3500.0, 'projected_FD_points': 2.7419768468630261, 'confidence': -0.023317410116378445, 'FD_Position': '2B'}}</t>
  </si>
  <si>
    <t>{'Blake Swihart_batter': {'Salary': 2200.0, 'projected_FD_points': 3.1614883401920428, 'confidence': 0, 'FD_Position': 'C'}, 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'Corey Dickerson_batter': {'Salary': 4000.0, 'projected_FD_points': 3.0856263169369536, 'confidence': -0.031591557880235932, 'FD_Position': 'OF'}, 'Joc Pederson_batter': {'Salary': 4200.0, 'projected_FD_points': 3.4450349185585281, 'confidence': 0.016148517705801502, 'FD_Position': 'OF'},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'Brandon Crawford_batter': {'Salary': 2300.0, 'projected_FD_points': 2.4932753579887099, 'confidence': -0.43671446219961374, 'FD_Position': 'SS'}, 'Joey Votto_batter': {'Salary': 3700.0, 'projected_FD_points': 3.2562821366062593, 'confidence': -0.21383462174090795, 'FD_Position': '1B'}}</t>
  </si>
  <si>
    <t>{'Adrian Beltre_batter': {'Salary': 3100.0, 'projected_FD_points': 2.6058282208588959, 'confidence': -0.043045007324761464, 'FD_Position': '3B'}, 'Starlin Castro_batter': {'Salary': 3100.0, 'projected_FD_points': 2.1655405405405403, 'confidence': -0.0080683419184639504, 'FD_Position': 'SS'}, 'Anthony Rizzo_batter': {'Salary': 4500.0, 'projected_FD_points': 3.3910293709030723, 'confidence': -0.10832418373608843, 'FD_Position': '1B'}, 'Dexter Fowler_batter': {'Salary': 3200.0, 'projected_FD_points': 3.721817487124822, 'confidence': -0.049563144103599299, 'FD_Position': 'OF'}, 'Delino Deshields Jr._batter': {'Salary': 3100.0, 'projected_FD_points': 3.9634330795153065, 'confidence': 0, 'FD_Position': 'OF'}, 'Jon Niese_pitcher': {'Salary': 8400.0, 'projected_FD_points': 10.268496387102335, 'confidence': -0.37294448645831046, 'FD_Position': 'P'}, 'Michael Cuddyer_batter': {'Salary': 2500.0, 'projected_FD_points': 2.6553062420509241, 'confidence': -0.031992601751021033, 'FD_Position': 'OF'}, 'Omar Infante_batter': {'Salary': 2300.0, 'projected_FD_points': 1.6129108818313336, 'confidence': -0.071991210753083346, 'FD_Position': '2B'}, 'Carlos Corporan_batter': {'Salary': 2200.0, 'projected_FD_points': 2.0196776590272618, 'confidence': 0.062693983603026915, 'FD_Position': 'C'}}</t>
  </si>
  <si>
    <t>{'Russell Martin_batter': {'Salary': 3600.0, 'projected_FD_points': 2.9763925760740033, 'confidence': -0.18760774665872648, 'FD_Position': 'C'}, 'Devon Travis_batter': {'Salary': 3300.0, 'projected_FD_points': 3.1120689655172415, 'confidence': -0.11799819454815275, 'FD_Position': '2B'}, 'Prince Fielder_batter': {'Salary': 3300.0, 'projected_FD_points': 3.3548545063405797, 'confidence': -0.86758313451604629, 'FD_Position': '1B'}, 'Daniel Santana_batter': {'Salary': 2700.0, 'projected_FD_points': 2.6959033393753487, 'confidence': -0.13767200943748192, 'FD_Position': 'SS'}, 'Luis Valbuena_batter': {'Salary': 3000.0, 'projected_FD_points': 2.6707697399492019, 'confidence': -0.8504357418060875, 'FD_Position': '3B'}, 'Dexter Fowler_batter': {'Salary': 3100.0, 'projected_FD_points': 3.8000952910164676, 'confidence': -0.0057580490809912011, 'FD_Position': 'OF'}, 'Chris Colabello_batter': {'Salary': 2300.0, 'projected_FD_points': 3.2221347138150018, 'confidence': -2.091253191836024, 'FD_Position': 'OF'}, 'Clayton Kershaw_pitcher': {'Salary': 11000.0, 'projected_FD_points': 16.09526201742608, 'confidence': -0.96239108042836374, 'FD_Position': 'P'}, 'Kyle Blanks_batter': {'Salary': 2700.0, 'projected_FD_points': 4.7414567609170444, 'confidence': -3.4804714321748191, 'FD_Position': 'OF'}}</t>
  </si>
  <si>
    <t>{'Russell Martin_batter': {'Salary': 3600.0, 'projected_FD_points': 2.9763925760740033, 'confidence': -0.18760774665872648, 'FD_Position': 'C'}, 'Delmon Young_batter': {'Salary': 2200.0, 'projected_FD_points': 2.8521920077844545, 'confidence': 0.0049807963447541237, 'FD_Position': 'OF'}, 'Justin Turner_batter': {'Salary': 2600.0, 'projected_FD_points': 2.880281690140845, 'confidence': -0.00079307038362208537, 'FD_Position': '2B'}, 'Troy Tulowitzki_batter': {'Salary': 4200.0, 'projected_FD_points': 3.2591943937246262, 'confidence': -0.2320546391222138, 'FD_Position': 'SS'}, 'Clayton Kershaw_pitcher': {'Salary': 11000.0, 'projected_FD_points': 16.09526201742608, 'confidence': -0.96239108042836374, 'FD_Position': 'P'}, 'Prince Fielder_batter': {'Salary': 3300.0, 'projected_FD_points': 3.3548545063405797, 'confidence': -0.86758313451604629, 'FD_Position': '1B'}, 'Chris Colabello_batter': {'Salary': 2300.0, 'projected_FD_points': 3.2221347138150018, 'confidence': -2.091253191836024, 'FD_Position': 'OF'}, 'Kyle Seager_batter': {'Salary': 3100.0, 'projected_FD_points': 2.7495461585036454, 'confidence': 0.026078651333690694, 'FD_Position': '3B'}, 'Kyle Blanks_batter': {'Salary': 2700.0, 'projected_FD_points': 4.7414567609170444, 'confidence': -3.4804714321748191, 'FD_Position': 'OF'}}</t>
  </si>
  <si>
    <t>{'Kris Bryant_batter': {'Salary': 3800.0, 'projected_FD_points': 3.7163845805296138, 'confidence': -0.79142406878147509, 'FD_Position': '3B'}, 'Russell Martin_batter': {'Salary': 3600.0, 'projected_FD_points': 2.8523344385356513, 'confidence': -0.023043908356698672, 'FD_Position': 'C'}, 'Delino Deshields Jr._batter': {'Salary': 3400.0, 'projected_FD_points': 3.5623484214479291, 'confidence': -3.3090160835714109, 'FD_Position': 'OF'}, 'Justin Turner_batter': {'Salary': 2600.0, 'projected_FD_points': 2.9278882833787461, 'confidence': 0.0014160170253939564, 'FD_Position': '2B'},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'Jose Pirela_batter': {'Salary': 2200.0, 'projected_FD_points': 5.3823529411764701, 'confidence': -1.1753549695740366, 'FD_Position': 'SS'},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</si>
  <si>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{'Kris Bryant_batter': {'Salary': 3800.0, 'projected_FD_points': 3.7163845805296138, 'confidence': -0.79142406878147509, 'FD_Position': '3B'}, 'Dee Gordon_batter': {'Salary': 3900.0, 'projected_FD_points': 2.6313291139240507, 'confidence': -0.034289604366023241, 'FD_Position': '2B'}, 'A.J. Pierzynski_batter': {'Salary': 2400.0, 'projected_FD_points': 1.9348725630137413, 'confidence': -0.020161009288562681, 'FD_Position': 'C'}, 'J.D. Martinez_batter': {'Salary': 3100.0, 'projected_FD_points': 3.0060288561068926, 'confidence': -0.2330558409844361, 'FD_Position': 'OF'}, 'Daniel Santana_batter': {'Salary': 2700.0, 'projected_FD_points': 2.7229258904333036, 'confidence': -0.22759343920598307, 'FD_Position': 'SS'},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</si>
  <si>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{'Russell Martin_batter': {'Salary': 3600.0, 'projected_FD_points': 2.8523344385356513, 'confidence': -0.023043908356698672, 'FD_Position': 'C'}, 'Jose Bautista_batter': {'Salary': 4600.0, 'projected_FD_points': 3.3574898189723092, 'confidence': -0.015126186083074256, 'FD_Position': 'OF'},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'Prince Fielder_batter': {'Salary': 3300.0, 'projected_FD_points': 3.199237887860642, 'confidence': -0.61090720965659018, 'FD_Position': '1B'}, 'Chris Colabello_batter': {'Salary': 2300.0, 'projected_FD_points': 2.9823641534174241, 'confidence': -0.095954547480713526, 'FD_Position': 'OF'}, 'Kyle Seager_batter': {'Salary': 3100.0, 'projected_FD_points': 2.9246628262215117, 'confidence': -0.076489382169855791, 'FD_Position': '3B'}, 'Danny Salazar_pitcher': {'Salary': 8700.0, 'projected_FD_points': 15.491560840581144, 'confidence': -0.33781223203406707, 'FD_Position': 'P'}, 'Jose Pirela_batter': {'Salary': 2200.0, 'projected_FD_points': 5.3823529411764701, 'confidence': -1.1753549695740366, 'FD_Position': 'SS'}}</t>
  </si>
  <si>
    <t>{'Russell Martin_batter': {'Salary': 3500.0, 'projected_FD_points': 2.8196469946844767, 'confidence': -0.056590373618136569, 'FD_Position': 'C'}, 'Yasmany Tomas_batter': {'Salary': 2700.0, 'projected_FD_points': 3.2257135488246691, 'confidence': -0.085713820904142812, 'FD_Position': '3B'}, 'Dexter Fowler_batter': {'Salary': 3500.0, 'projected_FD_points': 3.9874574023854676, 'confidence': -0.17690577506221405, 'FD_Position': 'OF'}, 'Eddie Rosario_batter': {'Salary': 2600.0, 'projected_FD_points': 6.7829881656804742, 'confidence': 0, 'FD_Position': 'OF'}, 'Prince Fielder_batter': {'Salary': 3500.0, 'projected_FD_points': 3.1868202334237163, 'confidence': -0.35403610963074716, 'FD_Position': '1B'}, 'Pedro Ciriaco_batter': {'Salary': 2300.0, 'projected_FD_points': 3.9639917695473246, 'confidence': -2.5611836462090807, 'FD_Position': 'SS'},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'OF'}, 'Rafael Ynoa_batter': {'Salary': 2200.0, 'projected_FD_points': 4.53668618266979, 'confidence': -3.0653414390031193, 'FD_Position': '2B'}}</t>
  </si>
  <si>
    <t>{'Russell Martin_batter': {'Salary': 3500.0, 'projected_FD_points': 2.8196469946844767, 'confidence': -0.056590373618136569, 'FD_Position': 'C'}, 'Neil Walker_batter': {'Salary': 2900.0, 'projected_FD_points': 2.5099999999999998, 'confidence': -0.0022571408440779095, 'FD_Position': '2B'}, 'Eddie Rosario_batter': {'Salary': 2600.0, 'projected_FD_points': 6.7829881656804742, 'confidence': 0, 'FD_Position': 'OF'}, 'Josh Donaldson_batter': {'Salary': 3600.0, 'projected_FD_points': 3.0828222792672024, 'confidence': -0.11715230113625186, 'FD_Position': '3B'}, 'Prince Fielder_batter': {'Salary': 3500.0, 'projected_FD_points': 3.1868202334237163, 'confidence': -0.35403610963074716, 'FD_Position': '1B'}, 'Daniel Santana_batter': {'Salary': 2800.0, 'projected_FD_points': 2.3929982086525947, 'confidence': -0.24664688712094573, 'FD_Position': 'SS'},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'Chris Colabello_batter': {'Salary': 2400.0, 'projected_FD_points': 2.5247994587333005, 'confidence': -0.11086322575036189, 'FD_Position': 'OF'}}</t>
  </si>
  <si>
    <t>{'Yasmany Tomas_batter': {'Salary': 2700.0, 'projected_FD_points': 3.2257135488246691, 'confidence': -0.085713820904142812, 'FD_Position': '3B'}, 'Pedro Ciriaco_batter': {'Salary': 2300.0, 'projected_FD_points': 3.9639917695473246, 'confidence': -2.5611836462090807, 'FD_Position': 'SS'}, 'Eddie Rosario_batter': {'Salary': 2600.0, 'projected_FD_points': 6.7829881656804742, 'confidence': 0, 'FD_Position': 'OF'}, 'Adam Rosales_batter': {'Salary': 2200.0, 'projected_FD_points': 2.2606679343634477, 'confidence': -3.7366446903126054, 'FD_Position': '2B'}, 'Russell Martin_batter': {'Salary': 3500.0, 'projected_FD_points': 2.8196469946844767, 'confidence': -0.056590373618136569, 'FD_Position': 'C'}, 'Prince Fielder_batter': {'Salary': 3500.0, 'projected_FD_points': 3.1868202334237163, 'confidence': -0.35403610963074716, 'FD_Position': '1B'},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'OF'}}</t>
  </si>
  <si>
    <t>{'J.D. Martinez_batter': {'Salary': 3300.0, 'projected_FD_points': 2.94218998295637, 'confidence': -0.015346586215109648, 'FD_Position': 'OF'}, 'Marcus Semien_batter': {'Salary': 3400.0, 'projected_FD_points': 2.5399095739948394, 'confidence': -0.27170420647257543, 'FD_Position': 'SS'}, 'Joc Pederson_batter': {'Salary': 4000.0, 'projected_FD_points': 3.0539571503287508, 'confidence': -0.14080439297340086, 'FD_Position': 'OF'}, 'Justin Upton_batter': {'Salary': 4000.0, 'projected_FD_points': 2.9597377171241188, 'confidence': -0.0065313106557767231, 'FD_Position': 'OF'}, 'Yasmani Grandal_batter': {'Salary': 2900.0, 'projected_FD_points': 2.4138259021239632, 'confidence': -0.20690676665910201, 'FD_Position': 'C'}, 'Kyle Seager_batter': {'Salary': 3000.0, 'projected_FD_points': 2.8379398948271639, 'confidence': -0.12039900965505157, 'FD_Position': '3B'}, 'Lance Lynn_pitcher': {'Salary': 8600.0, 'projected_FD_points': 13.138866923240107, 'confidence': -0.22668305734051297, 'FD_Position': 'P'}, 'Jose Abreu_batter': {'Salary': 3600.0, 'projected_FD_points': 3.3576781194371357, 'confidence': -0.12880294505191725, 'FD_Position': '1B'}, 'Rafael Ynoa_batter': {'Salary': 2200.0, 'projected_FD_points': 4.53668618266979, 'confidence': -3.0653414390031193, 'FD_Position': '2B'}}</t>
  </si>
  <si>
    <t>{'Adam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'Chris Iannetta_batter': {'Salary': 2300.0, 'projected_FD_points': 2.4455873644045858, 'confidence': 0.024807274376026478, 'FD_Position': 'C'}, 'Josh Donaldson_batter': {'Salary': 3700.0, 'projected_FD_points': 2.8353141856036848, 'confidence': -0.1899061209989068, 'FD_Position': '3B'}, 'Drew Stubbs_batter': {'Salary': 3000.0, 'projected_FD_points': 2.7348414735025299, 'confidence': -0.099418861438547168, 'FD_Position': 'OF'}, 'Troy Tulowitzki_batter': {'Salary': 4500.0, 'projected_FD_points': 3.5558603677442977, 'confidence': -1.2096340091809474, 'FD_Position': 'SS'}, 'Chris Colabello_batter': {'Salary': 2300.0, 'projected_FD_points': 2.5305003031054421, 'confidence': 0.02436982518462949, 'FD_Position': 'OF'}, 'Jose Abreu_batter': {'Salary': 3700.0, 'projected_FD_points': 3.2777631604073405, 'confidence': 0.01585297965479715, 'FD_Position': '1B'}, 'Chase Utley_batter': {'Salary': 3000.0, 'projected_FD_points': 2.1945613354614242, 'confidence': -0.019175439732402655, 'FD_Position': '2B'}}</t>
  </si>
  <si>
    <t>{'Kolten Wong_batter': {'Salary': 3100.0, 'projected_FD_points': 2.2202796157395976, 'confidence': 0.063555752148294564, 'FD_Position': '2B'}, 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'Michael Cuddyer_batter': {'Salary': 2500.0, 'projected_FD_points': 2.5925317734954549, 'confidence': -0.2437213304954633, 'FD_Position': 'OF'}, 'Drew Stubbs_batter': {'Salary': 3000.0, 'projected_FD_points': 2.7348414735025299, 'confidence': -0.099418861438547168, 'FD_Position': 'OF'}, 'Martin Prado_batter': {'Salary': 2400.0, 'projected_FD_points': 1.9727255549094886, 'confidence': -0.18640147843016575, 'FD_Position': '3B'}, 'Troy Tulowitzki_batter': {'Salary': 4500.0, 'projected_FD_points': 3.5558603677442977, 'confidence': -1.2096340091809474, 'FD_Position': 'SS'}, 'Victor Martinez_batter': {'Salary': 3300.0, 'projected_FD_points': 2.6530001804095709, 'confidence': 0.048439059960357467, 'FD_Position': 'C'}, 'Jose Abreu_batter': {'Salary': 3700.0, 'projected_FD_points': 3.2777631604073405, 'confidence': 0.01585297965479715, 'FD_Position': '1B'}}</t>
  </si>
  <si>
    <t>{'Albert Pujols_batter': {'Salary': 2900.0, 'projected_FD_points': 2.6560693641618496, 'confidence': -0.17800344031435111, 'FD_Position': '1B'}, 'Seth Smith_batter': {'Salary': 2400.0, 'projected_FD_points': 2.2979153335417237, 'confidence': -0.17863700752198985, 'FD_Position': 'OF'}, 'Kole Calhoun_batter': {'Salary': 3100.0, 'projected_FD_points': 2.8309054201163835, 'confidence': -0.084893768126614422,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1.8432175015440626, 'confidence': -0.058815920454760695, 'FD_Position': 'C'}, 'Kyle Seager_batter': {'Salary': 3000.0, 'projected_FD_points': 2.7605344634116777, 'confidence': -0.0013259291916025706, 'FD_Position': '3B'}, 'Troy Tulowitzki_batter': {'Salary': 4400.0, 'projected_FD_points': 3.3088452424426764, 'confidence': -0.23092503894746619, 'FD_Position': 'SS'}, 'Nelson Cruz_batter': {'Salary': 4800.0, 'projected_FD_points': 3.302544628706416, 'confidence': -0.31414599264151821, 'FD_Position': 'OF'}}</t>
  </si>
  <si>
    <t>{'Jimmy Paredes_batter': {'Salary': 3400.0, 'projected_FD_points': 2.9298994209082596, 'confidence': 0.18148494017231709, 'FD_Position': '2B'}, 'Alex Rodriguez_batter': {'Salary': 3300.0, 'projected_FD_points': 3.2049627830810623, 'confidence': -0.1948175864026247, 'FD_Position': '3B'}, 'Ian Kennedy_pitcher': {'Salary': 8000.0, 'projected_FD_points': 13.56893721007302, 'confidence': -0.083886688294768641, 'FD_Position': 'P'}, 'Joc Pederson_batter': {'Salary': 4300.0, 'projected_FD_points': 3.7275700116686115, 'confidence': -0.2354847022684845, 'FD_Position': 'OF'}, 'Delmon Young_batter': {'Salary': 2300.0, 'projected_FD_points': 2.8551610897886368, 'confidence': -0.14691233285385263, 'FD_Position': 'OF'}, 'Dexter Fowler_batter': {'Salary': 3300.0, 'projected_FD_points': 3.9973416647102376, 'confidence': -0.1556117668006185, 'FD_Position': 'OF'}, 'Troy Tulowitzki_batter': {'Salary': 4400.0, 'projected_FD_points': 3.3481816172496393, 'confidence': -0.14379158647643786, 'FD_Position': 'SS'}, 'Jose Abreu_batter': {'Salary': 3400.0, 'projected_FD_points': 3.1495970058796212, 'confidence': 0.021091072318110582, 'FD_Position': '1B'}, 'Martin Maldonado_batter': {'Salary': 2400.0, 'projected_FD_points': 2.3602251008706734, 'confidence': -0.13982406991588769, 'FD_Position': 'C'}}</t>
  </si>
  <si>
    <t>{'Michael Brantley_batter': {'Salary': 4300.0, 'projected_FD_points': 3.3653333423943206, 'confidence': 0.065931762256206672, 'FD_Position': 'OF'}, 'Russell Martin_batter': {'Salary': 3800.0, 'projected_FD_points': 2.8615702479338845, 'confidence': -0.09930167517923616, 'FD_Position': 'C'}, 'Mike Foltynewicz_pitcher': {'Salary': 6900.0, 'projected_FD_points': 12.1, 'confidence': 0, 'FD_Position': 'P'}, 'Alex Rodriguez_batter': {'Salary': 3300.0, 'projected_FD_points': 3.2049627830810623, 'confidence': -0.1948175864026247, 'FD_Position': '3B'}, 'Jimmy Paredes_batter': {'Salary': 3400.0, 'projected_FD_points': 2.9298994209082596, 'confidence': 0.18148494017231709, 'FD_Position': '2B'}, 'Miguel Cabrera_batter': {'Salary': 4600.0, 'projected_FD_points': 3.1300578034682083, 'confidence': -0.010540040360372371, 'FD_Position': '1B'}, 'Daniel Santana_batter': {'Salary': 2700.0, 'projected_FD_points': 2.5622574015632926, 'confidence': -0.1434635367507171, 'FD_Position': 'SS'}, 'Travis Snider_batter': {'Salary': 2200.0, 'projected_FD_points': 2.7678164282967903, 'confidence': 0.024189339622101236, 'FD_Position': 'OF'}, 'Andrew McCutchen_batter': {'Salary': 3800.0, 'projected_FD_points': 3.1556603773584904, 'confidence': -0.0068335975592526133, 'FD_Position': 'OF'}}</t>
  </si>
  <si>
    <t>{'Joc Pederson_batter': {'Salary': 4300.0, 'projected_FD_points': 3.7275700116686115, 'confidence': -0.2354847022684845, 'FD_Position': 'OF'}, 'Ian Kennedy_pitcher': {'Salary': 8000.0, 'projected_FD_points': 13.56893721007302, 'confidence': -0.083886688294768641, 'FD_Position': 'P'}, 'Matt Kemp_batter': {'Salary': 3100.0, 'projected_FD_points': 2.8332855776616417, 'confidence': -0.56259905408177358, 'FD_Position': 'OF'}, 'David Ortiz_batter': {'Salary': 2800.0, 'projected_FD_points': 2.6972789115646258, 'confidence': -0.2759685135576595, 'FD_Position': '1B'}, 'Robinson Cano_batter': {'Salary': 3400.0, 'projected_FD_points': 2.5625482872791001, 'confidence': -0.01590514235329743, 'FD_Position': '2B'}, 'Derek Norris_batter': {'Salary': 2900.0, 'projected_FD_points': 2.0603448275862069, 'confidence': -0.072155381468194557, 'FD_Position': 'C'}, 'Troy Tulowitzki_batter': {'Salary': 4400.0, 'projected_FD_points': 3.3481816172496393, 'confidence': -0.14379158647643786, 'FD_Position': 'SS'}, 'Marcell Ozuna_batter': {'Salary': 3100.0, 'projected_FD_points': 2.8679772616992918, 'confidence': -0.48419294477556951, 'FD_Position': 'OF'}, 'Kyle Seager_batter': {'Salary': 3000.0, 'projected_FD_points': 2.8485177167179074, 'confidence': -0.23422941301815126, 'FD_Position': '3B'}}</t>
  </si>
  <si>
    <t>{'Adrian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'Melky Cabrera_batter': {'Salary': 2700.0, 'projected_FD_points': 2.5251984122437792, 'confidence': -0.0036784301260486263, 'FD_Position': 'OF'}, 'Evan Gattis_batter': {'Salary': 3400.0, 'projected_FD_points': 2.7111936807188908, 'confidence': -0.97990960754958656, 'FD_Position': 'C'}, 'Jose Altuve_batter': {'Salary': 4600.0, 'projected_FD_points': 2.7489866110256718, 'confidence': -0.019402583592505573, 'FD_Position': '2B'}, 'Dexter Fowler_batter': {'Salary': 3300.0, 'projected_FD_points': 3.9973416647102376, 'confidence': -0.1556117668006185, 'FD_Position': 'OF'}, 'Brandon Crawford_batter': {'Salary': 2200.0, 'projected_FD_points': 2.0550595238095237, 'confidence': -0.022097393764208606, 'FD_Position': 'SS'}, 'Kyle Blanks_batter': {'Salary': 2700.0, 'projected_FD_points': 2.8553645970441122, 'confidence': -0.65608065470276089, 'FD_Position': 'OF'}, 'Collin McHugh_pitcher': {'Salary': 8800.0, 'projected_FD_points': 13.016798442797942, 'confidence': -1.631894781811206, 'FD_Position': 'P'}}</t>
  </si>
  <si>
    <t>{'Robinson Chirinos_batter': {'Salary': 2500.0, 'projected_FD_points': 2.3248394946218918, 'confidence': -0.21162390838528844, 'FD_Position': 'C'}, 'Delmon Young_batter': {'Salary': 2300.0, 'projected_FD_points': 2.8835741088180109, 'confidence': -1.7121107301882668, 'FD_Position': 'OF'}, 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'Devon Travis_batter': {'Salary': 3400.0, 'projected_FD_points': 5.5956958434746831, 'confidence': -0.23548976174222713, 'FD_Position': '2B'}, 'Josh Donaldson_batter': {'Salary': 3800.0, 'projected_FD_points': 3.1005653369454258, 'confidence': -0.072360346722741609, 'FD_Position': '3B'}, 'Dexter Fowler_batter': {'Salary': 3300.0, 'projected_FD_points': 3.7824300934128159, 'confidence': 0.013474756326455339, 'FD_Position': 'OF'}, 'Chris Colabello_batter': {'Salary': 2300.0, 'projected_FD_points': 3.3483248971048574, 'confidence': -0.025321991718495918, 'FD_Position': 'OF'}, 'Jose Abreu_batter': {'Salary': 3400.0, 'projected_FD_points': 3.2347344651486551, 'confidence': 0.050380961674639457, 'FD_Position': '1B'}}</t>
  </si>
  <si>
    <t>{'Ian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'David Ortiz_batter': {'Salary': 2900.0, 'projected_FD_points': 2.8732876712328768, 'confidence': -0.0075304237530564588, 'FD_Position': '1B'}, 'Justin Turner_batter': {'Salary': 2700.0, 'projected_FD_points': 2.9818475727836677, 'confidence': -0.085609789751740273, 'FD_Position': '2B'}, 'Joc Pederson_batter': {'Salary': 4300.0, 'projected_FD_points': 3.8192936662055756, 'confidence': -0.92421341286714243, 'FD_Position': 'OF'}, 'Yasmani Grandal_batter': {'Salary': 3000.0, 'projected_FD_points': 2.257174889249316, 'confidence': -0.071631651446140365, 'FD_Position': 'C'}, 'Christian Yelich_batter': {'Salary': 2700.0, 'projected_FD_points': 2.5277691159433373, 'confidence': -0.12578533709618167, 'FD_Position': 'OF'}, 'Brett Lawrie_batter': {'Salary': 2400.0, 'projected_FD_points': 2.2241428943989727, 'confidence': -0.089602917751731015, 'FD_Position': '3B'}, 'Marcell Ozuna_batter': {'Salary': 3200.0, 'projected_FD_points': 2.7520871949420469, 'confidence': -0.15127892136895116, 'FD_Position': 'OF'}}</t>
  </si>
  <si>
    <t>{'Robinson Chirinos_batter': {'Salary': 2500.0, 'projected_FD_points': 2.3248394946218918, 'confidence': -0.21162390838528844, 'FD_Position': 'C'}, 'Starlin Castro_batter': {'Salary': 3200.0, 'projected_FD_points': 2.1448275862068966, 'confidence': -0.06096525695657351, 'FD_Position': 'SS'}, 'Anthony Rizzo_batter': {'Salary': 4400.0, 'projected_FD_points': 3.2650695232198941, 'confidence': -0.0035624871343922226, 'FD_Position': '1B'}, 'Alex Gordon_batter': {'Salary': 3200.0, 'projected_FD_points': 2.6709039548022599, 'confidence': -0.14035428839764297, 'FD_Position': 'OF'}, 'Daniel Murphy_batter': {'Salary': 2700.0, 'projected_FD_points': 2.0622854380877054, 'confidence': -0.024590797294749001, 'FD_Position': '2B'}, 'Adrian Beltre_batter': {'Salary': 2700.0, 'projected_FD_points': 2.5431825681244389, 'confidence': -0.024233743838750321, 'FD_Position': '3B'}, 'Dexter Fowler_batter': {'Salary': 3300.0, 'projected_FD_points': 3.7824300934128159, 'confidence': 0.013474756326455339, 'FD_Position': 'OF'}, 'Kyle Blanks_batter': {'Salary': 2800.0, 'projected_FD_points': 2.9954600343387541, 'confidence': -0.3926415055965875, 'FD_Position': 'OF'}, 'Jacob deGrom_pitcher': {'Salary': 9200.0, 'projected_FD_points': 12.476913917669295, 'confidence': -0.091262587619323821, 'FD_Position': 'P'}}</t>
  </si>
  <si>
    <t>{'Alex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'Paul Goldschmidt_batter': {'Salary': 5400.0, 'projected_FD_points': 3.6199230999465941, 'confidence': -0.078335031681274758, 'FD_Position': '1B'}, 'Andrew Susac_batter': {'Salary': 2200.0, 'projected_FD_points': 2.7708716518846428, 'confidence': -1.7873964131948301, 'FD_Position': 'C'}, 'Dexter Fowler_batter': {'Salary': 3200.0, 'projected_FD_points': 3.9872348375017603, 'confidence': -0.032172470489429505, 'FD_Position': 'OF'}, 'Troy Tulowitzki_batter': {'Salary': 5100.0, 'projected_FD_points': 3.7837746106123284, 'confidence': -2.2933697700005049, 'FD_Position': 'SS'}, 'Chris Colabello_batter': {'Salary': 2300.0, 'projected_FD_points': 3.2558193725411857, 'confidence': -1.4604911987172819,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</si>
  <si>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{'Michael Brantley_batter': {'Salary': 4300.0, 'projected_FD_points': 3.4294922049196415, 'confidence': -0.15913562387694546, 'FD_Position': 'OF'}, 'Anthony Rizzo_batter': {'Salary': 4500.0, 'projected_FD_points': 3.2894736842105261, 'confidence': -1.4446745040253006e-06, 'FD_Position': '1B'}, 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'Devin Mesoraco_batter': {'Salary': 2400.0, 'projected_FD_points': 2.4386462530979816, 'confidence': -0.64691065989561514, 'FD_Position': 'C'}, 'Daniel Santana_batter': {'Salary': 2900.0, 'projected_FD_points': 2.489792019691313, 'confidence': -0.043317206178467016, 'FD_Position': 'SS'}, 'Dexter Fowler_batter': {'Salary': 3200.0, 'projected_FD_points': 3.9872348375017603, 'confidence': -0.032172470489429505,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</si>
  <si>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{'Brandon Belt_batter': {'Salary': 3000.0, 'projected_FD_points': 2.2277982272201236, 'confidence': -0.0046856459734971878, 'FD_Position': '1B'}, 'J.D. Martinez_batter': {'Salary': 3000.0, 'projected_FD_points': 2.7673523070783834, 'confidence': -0.15542154109329909, 'FD_Position': 'OF'}, 'Seth Smith_batter': {'Salary': 2300.0, 'projected_FD_points': 2.3340573567846294, 'confidence': -0.046847328391831367, 'FD_Position': 'OF'}, 'Clayton Kershaw_pitcher': {'Salary': 11200.0, 'projected_FD_points': 16.404346942467338, 'confidence': -1.3050064327178008, 'FD_Position': 'P'}, 'Troy Tulowitzki_batter': {'Salary': 5100.0, 'projected_FD_points': 3.7837746106123284, 'confidence': -2.2933697700005049, 'FD_Position': 'SS'}, 'Marcell Ozuna_batter': {'Salary': 3000.0, 'projected_FD_points': 2.6651586685393038, 'confidence': -0.07815778035828469, 'FD_Position': 'OF'}, 'Kyle Seager_batter': {'Salary': 3000.0, 'projected_FD_points': 2.5710644937586693, 'confidence': -0.27103250751420438,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</si>
  <si>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{'Neil Walker_batter': {'Salary': 2800.0, 'projected_FD_points': 2.6095399278037408, 'confidence': -0.15114482608120805, 'FD_Position': '2B'}, 'Johnny Cueto_pitcher': {'Salary': 10500.0, 'projected_FD_points': 15.044047839286559, 'confidence': -0.39889398758250705, 'FD_Position': 'P'}, 'Mark Canha_batter': {'Salary': 2800.0, 'projected_FD_points': 3.4216927769088072, 'confidence': -1.6820774360361566, 'FD_Position': 'OF'}, 'Marcus Semien_batter': {'Salary': 2800.0, 'projected_FD_points': 2.3658827864825023, 'confidence': 0.028992077852930453, 'FD_Position': 'SS'}, 'Buster Posey_batter': {'Salary': 3400.0, 'projected_FD_points': 2.5314371257485031, 'confidence': -0.0039935685881093974, 'FD_Position': 'C'}, 'Dexter Fowler_batter': {'Salary': 2900.0, 'projected_FD_points': 3.4802344702446772, 'confidence': 0.0005760575713806837, 'FD_Position': 'OF'}, 'Kyle Seager_batter': {'Salary': 3000.0, 'projected_FD_points': 2.638987925935897, 'confidence': -0.020993712561820033, 'FD_Position': '3B'}, 'Jose Abreu_batter': {'Salary': 3500.0, 'projected_FD_points': 3.1739244034736869, 'confidence': -0.031341920947197899, 'FD_Position': '1B'}, 'Michael Cuddyer_batter': {'Salary': 2600.0, 'projected_FD_points': 2.9767404657322425, 'confidence': -0.49002682902603278, 'FD_Position': 'OF'}}</t>
  </si>
  <si>
    <t>{'Phil Hughes_pitcher': {'Salary': 7900.0, 'projected_FD_points': 11.764544430124509, 'confidence': 0.34505386909695612, 'FD_Position': 'P'}, 'Michael Brantley_batter': {'Salary': 4200.0, 'projected_FD_points': 3.4438634529445071, 'confidence': -0.74963871941538263, 'FD_Position': 'OF'}, 'Brian Dozier_batter': {'Salary': 3200.0, 'projected_FD_points': 2.5083568147500364, 'confidence': -0.016915410988383783, 'FD_Position': '2B'}, 'Prince Fielder_batter': {'Salary': 3200.0, 'projected_FD_points': 2.9123028655482526, 'confidence': -0.20382282473145397, 'FD_Position': '1B'}, 'Daniel Santana_batter': {'Salary': 2900.0, 'projected_FD_points': 2.5185185185185186, 'confidence': -0.019453005125952938, 'FD_Position': 'SS'}, 'Robinson Chirinos_batter': {'Salary': 2400.0, 'projected_FD_points': 2.1672312385768664, 'confidence': -0.0020721145487860859, 'FD_Position': 'C'}, 'Adrian Beltre_batter': {'Salary': 2900.0, 'projected_FD_points': 2.6147798742138364, 'confidence': -0.2205182947889055, 'FD_Position': '3B'}, 'Jayson Werth_batter': {'Salary': 2900.0, 'projected_FD_points': 2.6468752743264434, 'confidence': 0.0036724303389320534, 'FD_Position': 'OF'}, 'Kyle Blanks_batter': {'Salary': 2900.0, 'projected_FD_points': 4.3650760094094014, 'confidence': -0.40751752551428466, 'FD_Position': 'OF'}}</t>
  </si>
  <si>
    <t>{'Delmon Young_batter': {'Salary': 2300.0, 'projected_FD_points': 2.8231751035723751, 'confidence': -0.17974911687935302, 'FD_Position': 'OF'}, 'Adam Warren_pitcher': {'Salary': 6900.0, 'projected_FD_points': 12.519302615193023, 'confidence': 0, 'FD_Position': 'P'}, 'Devon Travis_batter': {'Salary': 3400.0, 'projected_FD_points': 4.119966465305545, 'confidence': -0.46241757009005702, 'FD_Position': '2B'}, 'Josh Donaldson_batter': {'Salary': 3600.0, 'projected_FD_points': 3.0146659917409764, 'confidence': 0.037725841858387565, 'FD_Position': '3B'}, 'Paul Goldschmidt_batter': {'Salary': 5100.0, 'projected_FD_points': 3.6900073964046776, 'confidence': -0.51217042427930548, 'FD_Position': '1B'}, 'Chris Colabello_batter': {'Salary': 2200.0, 'projected_FD_points': 3.8045688965048492, 'confidence': -0.10429126292689195, 'FD_Position': 'OF'}, 'Troy Tulowitzki_batter': {'Salary': 5100.0, 'projected_FD_points': 3.4855922571744138, 'confidence': -0.14141016324079803, 'FD_Position': 'SS'}, 'Victor Martinez_batter': {'Salary': 3300.0, 'projected_FD_points': 2.8700814084957029, 'confidence': -0.022212398320655469, 'FD_Position': 'C'}, 'Kyle Blanks_batter': {'Salary': 2900.0, 'projected_FD_points': 4.7740391574602263, 'confidence': -4.4057739329065271, 'FD_Position': 'OF'}}</t>
  </si>
  <si>
    <t>{'Neil Walker_batter': {'Salary': 2700.0, 'projected_FD_points': 2.507042253521127, 'confidence': -0.00028578721633243376, 'FD_Position': '2B'}, 'Prince Fielder_batter': {'Salary': 3300.0, 'projected_FD_points': 3.1440660002677498, 'confidence': 0.15624063542259248, 'FD_Position': '1B'}, 'Buster Posey_batter': {'Salary': 3500.0, 'projected_FD_points': 2.4333333333333331, 'confidence': -0.02093125973004617, 'FD_Position': 'C'}, 'Giancarlo Stanton_batter': {'Salary': 4700.0, 'projected_FD_points': 3.5738906885183095, 'confidence': -0.014542963305138379, 'FD_Position': 'OF'}, 'Brandon Crawford_batter': {'Salary': 2500.0, 'projected_FD_points': 2.0700081858919761, 'confidence': -0.041127660339982608, 'FD_Position': 'SS'}, 'Josh Harrison_batter': {'Salary': 2500.0, 'projected_FD_points': 2.6825396825396823, 'confidence': -0.38459032345158262, 'FD_Position': '3B'}, 'Kyle Blanks_batter': {'Salary': 3000.0, 'projected_FD_points': 5.2131653915149574, 'confidence': -3.9772389406235948, 'FD_Position': 'OF'}, 'Collin McHugh_pitcher': {'Salary': 8400.0, 'projected_FD_points': 12.314814814814817, 'confidence': -0.018650279372852685, 'FD_Position': 'P'}, 'Starling Marte_batter': {'Salary': 4200.0, 'projected_FD_points': 3.1079156223184699, 'confidence': -0.042696321498098433, 'FD_Position': 'OF'}}</t>
  </si>
  <si>
    <t>{'Russell Martin_batter': {'Salary': 3500.0, 'projected_FD_points': 2.7115384615384617, 'confidence': -0.029144382590427176, 'FD_Position': 'C'},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'Joey Butler_batter': {'Salary': 2200.0, 'projected_FD_points': 6.9638069705093848, 'confidence': 0, 'FD_Position': 'OF'}, 'Jose Abreu_batter': {'Salary': 3600.0, 'projected_FD_points': 3.2984599622700861, 'confidence': -0.060143042236918021, 'FD_Position': '1B'}, 'Josh Harrison_batter': {'Salary': 2500.0, 'projected_FD_points': 2.6607142857142856, 'confidence': -0.61487509462528345, 'FD_Position': '3B'}, 'Kyle Blanks_batter': {'Salary': 2800.0, 'projected_FD_points': 3.6430668438785214, 'confidence': -0.74780819294924172, 'FD_Position': 'OF'}, 'Chris Sale_pitcher': {'Salary': 9800.0, 'projected_FD_points': 16.703199202070785, 'confidence': -1.0756406034048354,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</si>
  <si>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'Joc Pederson_batter': {'Salary': 3700.0, 'projected_FD_points': 3.5348446789536272, 'confidence': -0.88584282682235704, 'FD_Position': 'OF'}, 'Daniel Santana_batter': {'Salary': 2800.0, 'projected_FD_points': 2.824289368570803, 'confidence': -0.078375376940419184, 'FD_Position': 'SS'}, 'Joey Butler_batter': {'Salary': 2200.0, 'projected_FD_points': 7.5, 'confidence': 0, 'FD_Position': 'OF'}, 'Mike Trout_batter': {'Salary': 5400.0, 'projected_FD_points': 3.6876525398765527, 'confidence': -0.082248792013478234, 'FD_Position': 'OF'}, 'Danny Salazar_pitcher': {'Salary': 7700.0, 'projected_FD_points': 13.739517084818743, 'confidence': 0.0268496899918792, 'FD_Position': 'P'}, 'Jose Abreu_batter': {'Salary': 3600.0, 'projected_FD_points': 3.2251523401592741, 'confidence': -0.004736502922250585, 'FD_Position': '1B'}}</t>
  </si>
  <si>
    <t>{'Devon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'Prince Fielder_batter': {'Salary': 3400.0, 'projected_FD_points': 3.145140746262113, 'confidence': -0.15080109249016171,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16.264360070362095, 'confidence': -0.26544390153288733, 'FD_Position': 'P'}, 'Dexter Fowler_batter': {'Salary': 3300.0, 'projected_FD_points': 3.1571995455484405, 'confidence': -0.01889519374949411, 'FD_Position': 'OF'}, 'Yasmani Grandal_batter': {'Salary': 2400.0, 'projected_FD_points': 2.2485757091973415, 'confidence': -0.58950419755055039, 'FD_Position': 'C'}, 'Kyle Seager_batter': {'Salary': 2800.0, 'projected_FD_points': 2.5656878659103759, 'confidence': 0.0046072258550304834, 'FD_Position': '3B'}}</t>
  </si>
  <si>
    <t>{'Phil Hughes_pitcher': {'Salary': 7400.0, 'projected_FD_points': 9.8635596536837902, 'confidence': 0.084212914471301192, 'FD_Position': 'P'}, 'Anthony Rizzo_batter': {'Salary': 4200.0, 'projected_FD_points': 3.3150684931506849, 'confidence': -0.055508658862155613, 'FD_Position': '1B'}, 'Evan Gattis_batter': {'Salary': 3400.0, 'projected_FD_points': 2.4090645982866405, 'confidence': -0.1927269493435233, 'FD_Position': 'C'}, 'Mark Canha_batter': {'Salary': 3000.0, 'projected_FD_points': 3.8761981624037745, 'confidence': -4.7616481772998354,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'Dexter Fowler_batter': {'Salary': 3300.0, 'projected_FD_points': 3.1571995455484405, 'confidence': -0.01889519374949411, 'FD_Position': 'OF'}, 'Addison Russell_batter': {'Salary': 2900.0, 'projected_FD_points': 3.6319819819819816, 'confidence': 0, 'FD_Position': '2B'}, 'Matt Carpenter_batter': {'Salary': 4200.0, 'projected_FD_points': 2.7801522021806444, 'confidence': 0.0024570555384240134, 'FD_Position': '3B'}}</t>
  </si>
  <si>
    <t>{'Albert Pujols_batter': {'Salary': 3100.0, 'projected_FD_points': 2.6500591405677918, 'confidence': -0.05154160006410935, 'FD_Position': '1B'}, 'Madison Bumgarner_pitcher': {'Salary': 9800.0, 'projected_FD_points': 13.419093923575058, 'confidence': -0.026760471275455, 'FD_Position': 'P'}, 'Matt Kemp_batter': {'Salary': 3600.0, 'projected_FD_points': 2.9621710526315788, 'confidence': -0.12591885910454925, 'FD_Position': 'OF'}, 'Erick Aybar_batter': {'Salary': 2300.0, 'projected_FD_points': 1.944271635867818, 'confidence': -0.042607133665071961, 'FD_Position': 'SS'}, 'Kole Calhoun_batter': {'Salary': 3500.0, 'projected_FD_points': 2.8068727189399887, 'confidence': -0.02386936771982362, 'FD_Position': 'OF'}, 'Robinson Cano_batter': {'Salary': 3600.0, 'projected_FD_points': 2.5704776689030577, 'confidence': -0.025394943587103258, 'FD_Position': '2B'}, 'Kyle Seager_batter': {'Salary': 2800.0, 'projected_FD_points': 2.5656878659103759, 'confidence': 0.0046072258550304834, 'FD_Position': '3B'}, 'Chris Iannetta_batter': {'Salary': 2200.0, 'projected_FD_points': 2.1060365682630953, 'confidence': -0.028310091847740804, 'FD_Position': 'C'}, 'Justin Upton_batter': {'Salary': 4000.0, 'projected_FD_points': 2.9836515756876074, 'confidence': -0.0068196576961465638, 'FD_Position': 'OF'}}</t>
  </si>
  <si>
    <t>{'Yangervis Solarte_batter': {'Salary': 2500.0, 'projected_FD_points': 2.0693545882000541, 'confidence': 0.026953600127099464, 'FD_Position': '3B'}, 'Adam Warren_pitcher': {'Salary': 7100.0, 'projected_FD_points': 16.621152364817569, 'confidence': 0, 'FD_Position': 'P'}, 'Paul Goldschmidt_batter': {'Salary': 5100.0, 'projected_FD_points': 3.5514274919954989, 'confidence': -0.038801591153139192, 'FD_Position': '1B'}, 'Joc Pederson_batter': {'Salary': 3800.0, 'projected_FD_points': 3.6095994855778062, 'confidence': -0.31320519872792318, 'FD_Position': 'OF'}, 'A.J. Pollock_batter': {'Salary': 3200.0, 'projected_FD_points': 2.8013361095188318, 'confidence': -0.042558035593736054, 'FD_Position': 'OF'}, 'Mike Trout_batter': {'Salary': 5500.0, 'projected_FD_points': 3.7196969696969697, 'confidence': -0.038895851099631562, 'FD_Position': 'OF'}, 'Jimmy Rollins_batter': {'Salary': 2700.0, 'projected_FD_points': 1.9693453513104666, 'confidence': 0.06819887178510442, 'FD_Position': 'SS'}, 'Michael McKenry_batter': {'Salary': 2200.0, 'projected_FD_points': 2.5596279499768873, 'confidence': -6.1654090900718366, 'FD_Position': 'C'}, 'Dustin Pedroia_batter': {'Salary': 2900.0, 'projected_FD_points': 2.235132018358712, 'confidence': -0.037863900551883711, 'FD_Position': '2B'}}</t>
  </si>
  <si>
    <t>{'Yasmany Tomas_batter': {'Salary': 2700.0, 'projected_FD_points': 2.8333333333333335, 'confidence': 0, 'FD_Position': '3B'}, 'Paulo Orlando_batter': {'Salary': 3000.0, 'projected_FD_points': 3.7129283489096574, 'confidence': 0.0, 'FD_Position': 'OF'}, 'Joc Pederson_batter': {'Salary': 3600.0, 'projected_FD_points': 3.3875000000000002, 'confidence': -0.00014908256880752369, 'FD_Position': 'OF'}, 'Jake Arrieta_pitcher': {'Salary': 9800.0, 'projected_FD_points': 15.690877900545065, 'confidence': -4.7083284903919722, 'FD_Position': 'P'}, 'Troy Tulowitzki_batter': {'Salary': 4300.0, 'projected_FD_points': 3.0217449440084203, 'confidence': -0.32379600968464883, 'FD_Position': 'SS'}, 'Jose Abreu_batter': {'Salary': 4000.0, 'projected_FD_points': 3.4959124044668797, 'confidence': -1.2453157920693685, 'FD_Position': '1B'}, 'Addison Russell_batter': {'Salary': 2900.0, 'projected_FD_points': 8.2388888888888889, 'confidence': 0, 'FD_Position': '2B'}, 'Kyle Blanks_batter': {'Salary': 2400.0, 'projected_FD_points': 5.4642380987880284, 'confidence': -0.20069027882218538, 'FD_Position': 'OF'}, 'Martin Maldonado_batter': {'Salary': 2200.0, 'projected_FD_points': 2.63019340974212, 'confidence': -0.079196491791327484, 'FD_Position': 'C'}}</t>
  </si>
  <si>
    <t>{'Michael Brantley_batter': {'Salary': 3600.0, 'projected_FD_points': 3.270935385454484, 'confidence': 0.076967253770167332, 'FD_Position': 'OF'}, 'Odubel Herrera_batter': {'Salary': 3000.0, 'projected_FD_points': 3.0538886945708721, 'confidence': 0.015661040217845423, 'FD_Position': 'OF'}, 'David Ortiz_batter': {'Salary': 3300.0, 'projected_FD_points': 3.1303571428571431, 'confidence': -0.51000019529342855, 'FD_Position': '1B'}, 'Josh Donaldson_batter': {'Salary': 3900.0, 'projected_FD_points': 3.0462871103274329, 'confidence': -0.083969560806284704, 'FD_Position': '3B'}, 'Daniel Santana_batter': {'Salary': 2800.0, 'projected_FD_points': 2.6147314563867887, 'confidence': -0.023827978047172405, 'FD_Position': 'SS'}, 'Dexter Fowler_batter': {'Salary': 3500.0, 'projected_FD_points': 3.2519532496967378, 'confidence': 0.028301488658106333,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'2B'}, 'Martin Maldonado_batter': {'Salary': 2200.0, 'projected_FD_points': 2.63019340974212, 'confidence': -0.079196491791327484, 'FD_Position': 'C'}}</t>
  </si>
  <si>
    <t>{'Yasmany Tomas_batter': {'Salary': 2700.0, 'projected_FD_points': 2.8333333333333335, 'confidence': 0, 'FD_Position': '3B'}, 'Evan Gattis_batter': {'Salary': 3000.0, 'projected_FD_points': 2.7400203495665263, 'confidence': -0.85912548033539449, 'FD_Position': 'C'}, 'Paulo Orlando_batter': {'Salary': 3000.0, 'projected_FD_points': 3.7129283489096574, 'confidence': 0.0, 'FD_Position': 'OF'}, 'Justin Turner_batter': {'Salary': 2300.0, 'projected_FD_points': 2.7373977988405724, 'confidence': -0.16224986601958946, 'FD_Position': '2B'}, 'Travis Snider_batter': {'Salary': 2400.0, 'projected_FD_points': 2.9715714402049653, 'confidence': -0.57479517362347154, 'FD_Position': 'OF'}, 'David Price_pitcher': {'Salary': 10900.0, 'projected_FD_points': 13.747978773033736, 'confidence': -0.26996110077127144, 'FD_Position': 'P'}, 'Paul Goldschmidt_batter': {'Salary': 5200.0, 'projected_FD_points': 3.4936258197339578, 'confidence': 0.0094870150738310954, 'FD_Position': '1B'}, 'Kyle Blanks_batter': {'Salary': 2400.0, 'projected_FD_points': 5.4642380987880284, 'confidence': -0.20069027882218538, 'FD_Position': 'OF'}, 'Jose Iglesias_batter': {'Salary': 2600.0, 'projected_FD_points': 2.6625859395204738, 'confidence': -0.25734838816811134, 'FD_Position': 'SS'}}</t>
  </si>
  <si>
    <t>{'Michael Brantley_batter': {'Salary': 3600.0, 'projected_FD_points': 3.270935385454484, 'confidence': 0.076967253770167332, 'FD_Position': 'OF'}, 'Russell Martin_batter': {'Salary': 3200.0, 'projected_FD_points': 2.6977841347156089, 'confidence': -0.09917806369340143, 'FD_Position': 'C'}, 'Odubel Herrera_batter': {'Salary': 3000.0, 'projected_FD_points': 3.0538886945708721, 'confidence': 0.015661040217845423, 'FD_Position': 'OF'}, 'Brandon Belt_batter': {'Salary': 2900.0, 'projected_FD_points': 2.2377976248177034, 'confidence': -0.8936209947115874, 'FD_Position': '1B'}, 'Devon Travis_batter': {'Salary': 3400.0, 'projected_FD_points': 4.9800623404996864, 'confidence': -0.44069562919663463, 'FD_Position': '2B'}, 'Josh Donaldson_batter': {'Salary': 3900.0, 'projected_FD_points': 3.0462871103274329, 'confidence': -0.083969560806284704, 'FD_Position': '3B'}, 'Marcell Ozuna_batter': {'Salary': 2800.0, 'projected_FD_points': 2.8132732205023387, 'confidence': -0.26615798014405012, 'FD_Position': 'OF'}, 'Brandon Crawford_batter': {'Salary': 2500.0, 'projected_FD_points': 2.1211180124223601, 'confidence': -0.02366282954150889, 'FD_Position': 'SS'}, 'Cole Hamels_pitcher': {'Salary': 9700.0, 'projected_FD_points': 14.247871931029614, 'confidence': -0.82926518512660197, 'FD_Position': 'P'}}</t>
  </si>
  <si>
    <t>{'Michael Brantley_batter': {'Salary': 3500.0, 'projected_FD_points': 3.2392051431911164, 'confidence': -0.1146023302669732, 'FD_Position': 'OF'}, 'Russell Martin_batter': {'Salary': 3100.0, 'projected_FD_points': 2.751458408187033, 'confidence': 0.016207858662247943, 'FD_Position': 'C'}, 'Odubel Herrera_batter': {'Salary': 3000.0, 'projected_FD_points': 3.695702224651833, 'confidence': -1.2249908050857119, 'FD_Position': 'OF'}, 'Brian Dozier_batter': {'Salary': 2900.0, 'projected_FD_points': 2.7199367088607596, 'confidence': -0.0068089838223346355, 'FD_Position': '2B'}, 'CC Sabathia_pitcher': {'Salary': 7600.0, 'projected_FD_points': 18.067700178813794, 'confidence': 0, 'FD_Position': 'P'}, 'Josh Donaldson_batter': {'Salary': 4000.0, 'projected_FD_points': 2.98842203245382, 'confidence': 0.022241786238490269, 'FD_Position': '3B'}, 'Troy Tulowitzki_batter': {'Salary': 4300.0, 'projected_FD_points': 3.3912046338402471, 'confidence': 0.10716771923011792, 'FD_Position': 'SS'}, 'Jose Abreu_batter': {'Salary': 4000.0, 'projected_FD_points': 3.2720903397239978, 'confidence': 0.04430877789670018, 'FD_Position': '1B'}, 'Kyle Blanks_batter': {'Salary': 2400.0, 'projected_FD_points': 5.1244935502980278, 'confidence': -0.58071277664485854, 'FD_Position': 'OF'}}</t>
  </si>
  <si>
    <t>{'Starling Marte_batter': {'Salary': 4200.0, 'projected_FD_points': 3.1987032713971599, 'confidence': -0.16104907819072301, 'FD_Position': 'OF'}, 'Brian Dozier_batter': {'Salary': 2900.0, 'projected_FD_points': 2.7199367088607596, 'confidence': -0.0068089838223346355, 'FD_Position': '2B'}, 'Jose Abreu_batter': {'Salary': 4000.0, 'projected_FD_points': 3.2720903397239978, 'confidence': 0.04430877789670018, 'FD_Position': '1B'}, 'Victor Martinez_batter': {'Salary': 3400.0, 'projected_FD_points': 2.4117738414809722, 'confidence': -0.25681098271882719, 'FD_Position': 'C'}, 'Kyle Seager_batter': {'Salary': 3000.0, 'projected_FD_points': 2.7639791491277474, 'confidence': -0.012067510801405001, 'FD_Position': '3B'}, 'Lance Lynn_pitcher': {'Salary': 8100.0, 'projected_FD_points': 11.283235368646993, 'confidence': -0.043113418417619176, 'FD_Position': 'P'}, 'Andrew McCutchen_batter': {'Salary': 4100.0, 'projected_FD_points': 3.0699181134060707, 'confidence': -0.15711750903971744, 'FD_Position': 'OF'}, 'Kyle Blanks_batter': {'Salary': 2400.0, 'projected_FD_points': 5.1244935502980278, 'confidence': -0.58071277664485854, 'FD_Position': 'OF'}, 'Jose Iglesias_batter': {'Salary': 2600.0, 'projected_FD_points': 2.7703766773380556, 'confidence': -0.58099541774154306, 'FD_Position': 'SS'}}</t>
  </si>
  <si>
    <t>{'Kris Bryant_batter': {'Salary': 3800.0, 'projected_FD_points': 3.1192467590204105, 'confidence': 0, 'FD_Position': '3B'}, 'Odubel Herrera_batter': {'Salary': 3000.0, 'projected_FD_points': 3.0726539123814902, 'confidence': -4.7142306543041412, 'FD_Position': 'OF'}, 'Justin Maxwell_batter': {'Salary': 2800.0, 'projected_FD_points': 2.7262756396243226, 'confidence': 0.24945871468450487, 'FD_Position': 'OF'}, 'Matt Adams_batter': {'Salary': 2700.0, 'projected_FD_points': 2.3678571428571429, 'confidence': -0.039707934857291516, 'FD_Position': '1B'}, 'Jacob Realmuto_batter': {'Salary': 2200.0, 'projected_FD_points': 2.1335297977817009, 'confidence': -3.1875096877645435, 'FD_Position': 'C'}, 'Dexter Fowler_batter': {'Salary': 3400.0, 'projected_FD_points': 3.5221038885664537, 'confidence': 0.13310577624865361, 'FD_Position': 'OF'}, 'Zack Greinke_pitcher': {'Salary': 10000.0, 'projected_FD_points': 13.170289126083592, 'confidence': -0.20925298859757469, 'FD_Position': 'P'}, 'Troy Tulowitzki_batter': {'Salary': 4600.0, 'projected_FD_points': 3.4838112489021609, 'confidence': 0.0029418792754541956, 'FD_Position': 'SS'}, 'Chase Utley_batter': {'Salary': 2500.0, 'projected_FD_points': 2.2187233341022896, 'confidence': -0.012424361365818593, 'FD_Position': '2B'}}</t>
  </si>
  <si>
    <t>{'Michael Brantley_batter': {'Salary': 3600.0, 'projected_FD_points': 3.1244254424706384, 'confidence': 0.0086039141720030132, 'FD_Position': 'OF'}, 'Jose Bautista_batter': {'Salary': 4800.0, 'projected_FD_points': 3.4030417142560481, 'confidence': -0.074714788185769931, 'FD_Position': 'OF'}, 'Devon Travis_batter': {'Salary': 3400.0, 'projected_FD_points': 4.9248136225008476, 'confidence': -0.6642001164826683, 'FD_Position': '2B'}, 'Josh Donaldson_batter': {'Salary': 4000.0, 'projected_FD_points': 3.2095823595246271, 'confidence': -0.56300077947335603, 'FD_Position': '3B'}, 'Xander Bogaerts_batter': {'Salary': 3000.0, 'projected_FD_points': 1.9340240370300192, 'confidence': -0.35247341678270083, 'FD_Position': 'SS'}, 'Salvador Perez_batter': {'Salary': 2800.0, 'projected_FD_points': 1.9213189399229249, 'confidence': -0.010323032747832084, 'FD_Position': 'C'}, 'David Ortiz_batter': {'Salary': 3300.0, 'projected_FD_points': 3.0326086956521738, 'confidence': -0.016209252006685215, 'FD_Position': '1B'}, 'Danny Salazar_pitcher': {'Salary': 7700.0, 'projected_FD_points': 10.974733112092011, 'confidence': -2.0752355334537156, 'FD_Position': 'P'}, 'Chris Carter_batter': {'Salary': 2400.0, 'projected_FD_points': 2.73951873215618, 'confidence': -0.94079916820308562, 'FD_Position': 'OF'}}</t>
  </si>
  <si>
    <t>{'Kris Bryant_batter': {'Salary': 3500.0, 'projected_FD_points': 3.8431966386672443, 'confidence': 0, 'FD_Position': '3B'}, 'Alexander Guerrero_batter': {'Salary': 3000.0, 'projected_FD_points': 2.9968511334500576, 'confidence': 0, 'FD_Position': '2B'}, 'Steve Souza_batter': {'Salary': 3500.0, 'projected_FD_points': 3.4858576278865954, 'confidence': -2.8200021563441777, 'FD_Position': 'OF'}, 'Prince Fielder_batter': {'Salary': 3300.0, 'projected_FD_points': 3.1289261834715161, 'confidence': -0.21858287105573493, 'FD_Position': '1B'}, 'Rafael Montero_pitcher': {'Salary': 5800.0, 'projected_FD_points': 15.183332004260624, 'confidence': 0, 'FD_Position': 'P'}, 'Dexter Fowler_batter': {'Salary': 3300.0, 'projected_FD_points': 3.6649774727059592, 'confidence': -0.25712484136666203, 'FD_Position': 'OF'}, 'Troy Tulowitzki_batter': {'Salary': 4300.0, 'projected_FD_points': 3.5271275768306785, 'confidence': 0.051670651860778127, 'FD_Position': 'SS'}, 'Victor Martinez_batter': {'Salary': 3400.0, 'projected_FD_points': 2.9311567525872424, 'confidence': -0.012562102768292061, 'FD_Position': 'C'}, 'Giancarlo Stanton_batter': {'Salary': 4900.0, 'projected_FD_points': 3.6836734693877551, 'confidence': -0.23236709808826128, 'FD_Position': 'OF'}}</t>
  </si>
  <si>
    <t>{'Russell Martin_batter': {'Salary': 3100.0, 'projected_FD_points': 2.8817659896026036, 'confidence': -0.1580211086744634, 'FD_Position': 'C'}, 'Jose Bautista_batter': {'Salary': 4700.0, 'projected_FD_points': 3.4269812643371336, 'confidence': -0.26908617921728184, 'FD_Position': 'OF'}, 'Steve Souza_batter': {'Salary': 3500.0, 'projected_FD_points': 3.4858576278865954, 'confidence': -2.8200021563441777, 'FD_Position': 'OF'}, 'David Ortiz_batter': {'Salary': 3300.0, 'projected_FD_points': 2.8905109489051095, 'confidence': -0.03781250442710582, 'FD_Position': '1B'}, 'Josh Donaldson_batter': {'Salary': 4100.0, 'projected_FD_points': 3.112121834316814, 'confidence': -0.23561333165731702, 'FD_Position': '3B'}, 'Rafael Montero_pitcher': {'Salary': 5800.0, 'projected_FD_points': 15.183332004260624, 'confidence': 0, 'FD_Position': 'P'}, 'Daniel Murphy_batter': {'Salary': 2900.0, 'projected_FD_points': 2.244251924052167, 'confidence': -0.051503996896911541, 'FD_Position': '2B'}, 'Hector Gomez_batter': {'Salary': 2200.0, 'projected_FD_points': 2.1554051680415061, 'confidence': 0, 'FD_Position': 'SS'}, 'Giancarlo Stanton_batter': {'Salary': 4900.0, 'projected_FD_points': 3.6836734693877551, 'confidence': -0.23236709808826128, 'FD_Position': 'OF'}}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</si>
  <si>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'A.J. Pollock_batter': {'Salary': 3100.0, 'projected_FD_points': 2.988691732259972, 'confidence': -0.02962224309273509, 'FD_Position': 'OF'},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</si>
  <si>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'Robinson Cano_batter': {'Salary': 3800.0, 'projected_FD_points': 2.6787123507616304, 'confidence': -0.55844038380536531, 'FD_Position': '2B'},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'Josh Harrison_batter': {'Salary': 2800.0, 'projected_FD_points': 2.615702479338843, 'confidence': -0.046287669322902403, 'FD_Position': '3B'},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'C'}, 'Andrew McCutchen_batter': {'Salary': 3800.0, 'projected_FD_points': 3.1969745119885657, 'confidence': -0.026107403517459327, 'FD_Position': 'OF'}}</t>
  </si>
  <si>
    <t>{'Corey Kluber_pitcher': {'Salary': 9800.0, 'projected_FD_points': 13.663956112410524, 'confidence': -0.0030241179032957088,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'Michael Saunders_batter': {'Salary': 2600.0, 'projected_FD_points': 2.5992612901328944, 'confidence': -0.13412618550063748, 'FD_Position': 'OF'}, 'Tim Beckham_batter': {'Salary': 2400.0, 'projected_FD_points': 2.1602941176470587, 'confidence': 0, 'FD_Position': 'SS'}, 'Jacob Realmuto_batter': {'Salary': 2200.0, 'projected_FD_points': 2.4833972892500253, 'confidence': -3.0787082549168616, 'FD_Position': 'C'}, 'Dalton Pompey_batter': {'Salary': 2600.0, 'projected_FD_points': 2.6422836435981241, 'confidence': -2.4545054207452455, 'FD_Position': 'OF'}, 'Joey Votto_batter': {'Salary': 4200.0, 'projected_FD_points': 3.4283616765266753, 'confidence': -1.6285224312826241, 'FD_Position': '1B'}}</t>
  </si>
  <si>
    <t>{'Kris Bryant_batter': {'Salary': 3600.0, 'projected_FD_points': 4.3944444444444439, 'confidence': 0, 'FD_Position': '3B'}, 'Michael Brantley_batter': {'Salary': 3600.0, 'projected_FD_points': 3.2919113806354288, 'confidence': -0.014571846029185043, 'FD_Position': 'OF'}, 'Alexander Guerrero_batter': {'Salary': 2800.0, 'projected_FD_points': 8.1819526627218835, 'confidence': 0, 'FD_Position': '2B'}, 'Francisco Liriano_pitcher': {'Salary': 8000.0, 'projected_FD_points': 13.005022897058623, 'confidence': -2.043745692709058, 'FD_Position': 'P'}, 'Paulo Orlando_batter': {'Salary': 3000.0, 'projected_FD_points': 11.123829034429811, 'confidence': 0, 'FD_Position': 'OF'}, 'Daniel Santana_batter': {'Salary': 2500.0, 'projected_FD_points': 2.8245675896990257, 'confidence': -0.71724099624355642, 'FD_Position': 'SS'}, 'Dexter Fowler_batter': {'Salary': 3400.0, 'projected_FD_points': 3.4239223274084107, 'confidence': -0.28393695295422039, 'FD_Position': 'OF'}, 'Victor Martinez_batter': {'Salary': 3300.0, 'projected_FD_points': 2.9117474963218477, 'confidence': -0.050884670662839859, 'FD_Position': 'C'}, 'Joey Votto_batter': {'Salary': 4200.0, 'projected_FD_points': 3.4274976314971868, 'confidence': -0.14939184134350914, 'FD_Position': '1B'}}</t>
  </si>
  <si>
    <t>{'Alexander Guerrero_batter': {'Salary': 2800.0, 'projected_FD_points': 8.1819526627218835, 'confidence': 0, 'FD_Position': '2B'}, 'Evan Gattis_batter': {'Salary': 2300.0, 'projected_FD_points': 2.3990510477606684, 'confidence': 0.01049629455571699, 'FD_Position': 'C'}, 'Francisco Liriano_pitcher': {'Salary': 8000.0, 'projected_FD_points': 13.005022897058623, 'confidence': -2.043745692709058, 'FD_Position': 'P'}, 'Paul Goldschmidt_batter': {'Salary': 4700.0, 'projected_FD_points': 3.3352845462691025, 'confidence': 0.0010400351840358368, 'FD_Position': '1B'}, 'A.J. Pollock_batter': {'Salary': 3100.0, 'projected_FD_points': 3.0032033805888769, 'confidence': 0.055013721318067033, 'FD_Position': 'OF'}, 'Daniel Santana_batter': {'Salary': 2500.0, 'projected_FD_points': 2.8245675896990257, 'confidence': -0.71724099624355642, 'FD_Position': 'SS'}, 'Justin Upton_batter': {'Salary': 3400.0, 'projected_FD_points': 2.993949099404694, 'confidence': -0.068872252243802778, 'FD_Position': 'OF'}, 'Josh Harrison_batter': {'Salary': 2900.0, 'projected_FD_points': 2.6812499999999999, 'confidence': -0.0022788971604332797, 'FD_Position': '3B'}, 'Andrew McCutchen_batter': {'Salary': 4000.0, 'projected_FD_points': 3.1310517116455077, 'confidence': -0.084311003327361078, 'FD_Position': 'OF'}}</t>
  </si>
  <si>
    <t>{'Ian Kennedy_pitcher': {'Salary': 7800.0, 'projected_FD_points': 12.435017352580132, 'confidence': -0.3885156955692739, 'FD_Position': 'P'}, 'David Ortiz_batter': {'Salary': 3200.0, 'projected_FD_points': 2.8843621125448986, 'confidence': -0.075307672388725821, 'FD_Position': '1B'}, 'Robinson Cano_batter': {'Salary': 3800.0, 'projected_FD_points': 2.7016536078717199, 'confidence': -0.04266105978818957, 'FD_Position': '2B'}, 'Corey Dickerson_batter': {'Salary': 4800.0, 'projected_FD_points': 3.887185553447901, 'confidence': -0.82443651929772832, 'FD_Position': 'OF'}, 'A.J. Pollock_batter': {'Salary': 3200.0, 'projected_FD_points': 3.1193608374269446, 'confidence': -0.068178964429901123, 'FD_Position': 'OF'}, 'Troy Tulowitzki_batter': {'Salary': 4700.0, 'projected_FD_points': 3.713100264538205, 'confidence': -0.1602632231792287, 'FD_Position': 'SS'}, 'Josh Harrison_batter': {'Salary': 2800.0, 'projected_FD_points': 2.6470588235294117, 'confidence': -0.02171617604043985, 'FD_Position': '3B'}, 'Travis Snider_batter': {'Salary': 2500.0, 'projected_FD_points': 2.8444830314037759, 'confidence': -0.62630125228112776, 'FD_Position': 'OF'}, 'Andrew Susac_batter': {'Salary': 2200.0, 'projected_FD_points': 3.1770929463673134, 'confidence': -0.56911163427194311, 'FD_Position': 'C'}}</t>
  </si>
  <si>
    <t>{'Russell Martin_batter': {'Salary': 3100.0, 'projected_FD_points': 2.8669414989307214, 'confidence': -0.16148458824814083, 'FD_Position': 'C'}, 'Chris Young_batter': {'Salary': 2900.0, 'projected_FD_points': 3.2343789307789077, 'confidence': -1.8339939672537096, 'FD_Position': 'OF'}, 'Dee Gordon_batter': {'Salary': 3500.0, 'projected_FD_points': 2.5225694444444446, 'confidence': -0.014271720510081964, 'FD_Position': '2B'}, 'Steve Souza_batter': {'Salary': 3700.0, 'projected_FD_points': 4.1536725267521319, 'confidence': -3.9539403154923543, 'FD_Position': 'OF'}, 'Edwin Encarnacion_batter': {'Salary': 3700.0, 'projected_FD_points': 2.9959819649214219, 'confidence': -0.43246132726948683, 'FD_Position': '1B'}, 'Luis Valbuena_batter': {'Salary': 3100.0, 'projected_FD_points': 2.4140591855035716, 'confidence': 0.020573551466986362, 'FD_Position': '3B'}, 'Stephen Strasburg_pitcher': {'Salary': 9600.0, 'projected_FD_points': 13.025491958196437, 'confidence': -0.054821795636291526, 'FD_Position': 'P'}, 'Michael Cuddyer_batter': {'Salary': 3000.0, 'projected_FD_points': 3.1970083717295346, 'confidence': 0.06136006390000448, 'FD_Position': 'OF'}, 'Asdrubal Cabrera_batter': {'Salary': 2200.0, 'projected_FD_points': 1.9680763761628663, 'confidence': -0.043903002688556514, 'FD_Position': 'SS'}}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</si>
  <si>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3.2575346888077603, 'confidence': -0.03710716863790875, 'FD_Position': 'OF'}, 'A.J. Pollock_batter': {'Salary': 3500.0, 'projected_FD_points': 3.2851271028769506, 'confidence': -0.083293146660106787,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'Jose Abreu_batter': {'Salary': 4400.0, 'projected_FD_points': 3.3765180144631546, 'confidence': 0.012833904945643293, 'FD_Position': '1B'}, 'Michael Pineda_pitcher': {'Salary': 8700.0, 'projected_FD_points': 13.963084112149524, 'confidence': -3.1355623122716914, 'FD_Position': 'P'}}</t>
  </si>
  <si>
    <t>{'Albert Pujols_batter': {'Salary': 3500.0, 'projected_FD_points': 2.7084602644481124, 'confidence': -0.1267194334365338, 'FD_Position': '1B'}, 'Gerrit Cole_pitcher': {'Salary': 8700.0, 'projected_FD_points': 12.631123074251095, 'confidence': -0.18348815864698942, 'FD_Position': 'P'}, 'Brian Dozier_batter': {'Salary': 3100.0, 'projected_FD_points': 2.508350980993395, 'confidence': -0.0064394656102590986, 'FD_Position': '2B'}, 'Evan Gattis_batter': {'Salary': 2600.0, 'projected_FD_points': 2.3097633405425815, 'confidence': -0.016963167030149773, 'FD_Position': 'C'}, 'Robbie Grossman_batter': {'Salary': 2500.0, 'projected_FD_points': 2.5487785568875818, 'confidence': -0.20220494126185162, 'FD_Position': 'OF'}, 'A.J. Pollock_batter': {'Salary': 3500.0, 'projected_FD_points': 3.2851271028769506, 'confidence': -0.083293146660106787, 'FD_Position': 'OF'}, 'Daniel Santana_batter': {'Salary': 2900.0, 'projected_FD_points': 3.0106881007126716, 'confidence': -1.4662271165126546, 'FD_Position': 'SS'}, 'Kyle Seager_batter': {'Salary': 3700.0, 'projected_FD_points': 2.9949347258485641, 'confidence': -0.047281690908441032, 'FD_Position': '3B'}, 'Andrew McCutchen_batter': {'Salary': 4300.0, 'projected_FD_points': 3.4307182359396937, 'confidence': -0.18300119469267351, 'FD_Position': 'OF'}}</t>
  </si>
  <si>
    <t>{'Kolten Wong_batter': {'Salary': 3200.0, 'projected_FD_points': 2.2645821970936502, 'confidence': -0.58667532125792299, 'FD_Position': '2B'}, 'Corey Dickerson_batter': {'Salary': 4900.0, 'projected_FD_points': 3.8522580888606845, 'confidence': -0.17065957243040164, 'FD_Position': 'OF'}, 'Melky Cabrera_batter': {'Salary': 2700.0, 'projected_FD_points': 2.6638881749734797, 'confidence': -0.11242741678937218, 'FD_Position': 'OF'}, 'Paulo Orlando_batter': {'Salary': 3000.0, 'projected_FD_points': 4.2333333333333334, 'confidence': 0, 'FD_Position': 'OF'}, 'Jhonny Peralta_batter': {'Salary': 2800.0, 'projected_FD_points': 2.0865384615384617, 'confidence': -0.098795128587585435, 'FD_Position': 'SS'}, 'Martin Maldonado_batter': {'Salary': 2300.0, 'projected_FD_points': 2.9702296819787986, 'confidence': -0.20551722008825113, 'FD_Position': 'C'}, 'Jose Abreu_batter': {'Salary': 4400.0, 'projected_FD_points': 3.3765180144631546, 'confidence': 0.012833904945643293, 'FD_Position': '1B'}, 'Matt Garza_pitcher': {'Salary': 7300.0, 'projected_FD_points': 11.848200570860415, 'confidence': -1.1658996705028444, 'FD_Position': 'P'}, 'Matt Carpenter_batter': {'Salary': 4400.0, 'projected_FD_points': 2.7917144846548001, 'confidence': -0.17561947939318223, 'FD_Position': '3B'}}</t>
  </si>
  <si>
    <t>{'Wil Nieves_batter': {'Salary': 2200.0, 'projected_FD_points': 2.5352542372881359, 'confidence': -4.4667444497433646, 'FD_Position': 'C'}, 'Corey Dickerson_batter': {'Salary': 4600.0, 'projected_FD_points': 3.5719129263072098, 'confidence': 0.21008264790806885, 'FD_Position': 'OF'}, 'Casey McGehee_batter': {'Salary': 2400.0, 'projected_FD_points': 2.0246710526315788, 'confidence': -0.19203419558822277, 'FD_Position': '3B'}, 'Matt Holliday_batter': {'Salary': 3600.0, 'projected_FD_points': 2.768455147429675, 'confidence': -0.09178165716855391, 'FD_Position': 'OF'}, 'Justin Turner_batter': {'Salary': 2500.0, 'projected_FD_points': 2.6130682935048162, 'confidence': -0.18647060707442709, 'FD_Position': '2B'}, 'Denard Span_batter': {'Salary': 3100.0, 'projected_FD_points': 2.5186567164179103, 'confidence': -0.28303027944116721, 'FD_Position': 'OF'}, 'Matt Adams_batter': {'Salary': 3000.0, 'projected_FD_points': 2.4314814814814816, 'confidence': -0.43661252082642399, 'FD_Position': '1B'}, 'Troy Tulowitzki_batter': {'Salary': 5200.0, 'projected_FD_points': 3.4051568612270078, 'confidence': -0.078730120978573348, 'FD_Position': 'SS'}, 'Tyson Ross_pitcher': {'Salary': 8400.0, 'projected_FD_points': 13.254552230250503, 'confidence': -0.100201135702505, 'FD_Position': 'P'}}</t>
  </si>
  <si>
    <t>{'Ryan Lavarnway_batter': {'Salary': 2200.0, 'projected_FD_points': 2.242969821673523, 'confidence': 0, 'FD_Position': 'C'}, 'Kole Calhoun_batter': {'Salary': 3700.0, 'projected_FD_points': 2.9287530361818241, 'confidence': -0.035817575817083336, 'FD_Position': 'OF'}, 'Paulo Orlando_batter': {'Salary': 3000.0, 'projected_FD_points': 2.8722222222222218, 'confidence': 0, 'FD_Position': 'OF'}, 'Marcus Semien_batter': {'Salary': 2900.0, 'projected_FD_points': 2.4728066639795783, 'confidence': -0.49418111212674543, 'FD_Position': 'SS'}, 'Delmon Young_batter': {'Salary': 2700.0, 'projected_FD_points': 2.8170881815559197, 'confidence': -0.37137973433215876, 'FD_Position': 'OF'}, 'Brett Lawrie_batter': {'Salary': 2700.0, 'projected_FD_points': 2.1883720477233988, 'confidence': -1.3348110938835092, 'FD_Position': '3B'}, 'Jose Abreu_batter': {'Salary': 4400.0, 'projected_FD_points': 3.461107960020926, 'confidence': -0.052794456774197585, 'FD_Position': '1B'}, 'Chris Sale_pitcher': {'Salary': 10200.0, 'projected_FD_points': 15.401163927939496, 'confidence': -3.5714973819489515e-05, 'FD_Position': 'P'}, 'Dustin Pedroia_batter': {'Salary': 3200.0, 'projected_FD_points': 2.4090909090909092, 'confidence': -0.29553145423031602, 'FD_Position': '2B'}}</t>
  </si>
  <si>
    <t>{'Johnny Cueto_pitcher': {'Salary': 10600.0, 'projected_FD_points': 15.934382657344578, 'confidence': -0.10925601476852864, 'FD_Position': 'P'}, 'Paulo Orlando_batter': {'Salary': 3000.0, 'projected_FD_points': 3.375, 'confidence': 0, 'FD_Position': 'OF'}, 'Justin Turner_batter': {'Salary': 2600.0, 'projected_FD_points': 2.6698954555152552, 'confidence': -0.094651570210898539, 'FD_Position': '2B'}, 'Brandon Moss_batter': {'Salary': 3500.0, 'projected_FD_points': 3.0630511236570701, 'confidence': -0.22317273603639576, 'FD_Position': '1B'}, 'Daniel Santana_batter': {'Salary': 3000.0, 'projected_FD_points': 2.988704262797405, 'confidence': -1.2312330737895625, 'FD_Position': 'SS'}, 'Dexter Fowler_batter': {'Salary': 3700.0, 'projected_FD_points': 3.763125004213324, 'confidence': -0.38886579780264308, 'FD_Position': 'OF'}, 'Michael Cuddyer_batter': {'Salary': 3400.0, 'projected_FD_points': 3.125486890336663, 'confidence': 0.083631650519749967, 'FD_Position': 'OF'}, 'Josh Harrison_batter': {'Salary': 3000.0, 'projected_FD_points': 2.482905982905983, 'confidence': -0.32032170483069522, 'FD_Position': '3B'}, 'Martin Maldonado_batter': {'Salary': 2200.0, 'projected_FD_points': 2.3362068965517242, 'confidence': -0.52452188469433181, 'FD_Position': 'C'}}</t>
  </si>
  <si>
    <t>{'Adrian Beltre_batter': {'Salary': 3400.0, 'projected_FD_points': 2.5789348059431672, 'confidence': -0.080988200207912975, 'FD_Position': '3B'}, 'Johnny Cueto_pitcher': {'Salary': 10600.0, 'projected_FD_points': 15.934382657344578, 'confidence': -0.10925601476852864,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2.988704262797405, 'confidence': -1.2312330737895625, 'FD_Position': 'SS'}, 'Justin Turner_batter': {'Salary': 2600.0, 'projected_FD_points': 2.6698954555152552, 'confidence': -0.094651570210898539, 'FD_Position': '2B'}, 'Dexter Fowler_batter': {'Salary': 3700.0, 'projected_FD_points': 3.763125004213324, 'confidence': -0.38886579780264308, 'FD_Position': 'OF'}, 'Travis Snider_batter': {'Salary': 2900.0, 'projected_FD_points': 2.8645271777156514, 'confidence': -0.099930848668534189, 'FD_Position': 'OF'}, 'Martin Maldonado_batter': {'Salary': 2200.0, 'projected_FD_points': 2.3362068965517242, 'confidence': -0.52452188469433181, 'FD_Position': 'C'}}</t>
  </si>
  <si>
    <t>{'Seth Smith_batter': {'Salary': 2400.0, 'projected_FD_points': 2.3716754769629849, 'confidence': -0.057751474488556109, 'FD_Position': 'OF'}, 'Kole Calhoun_batter': {'Salary': 3400.0, 'projected_FD_points': 2.9009285406999252, 'confidence': -0.016905722365470721, 'FD_Position': 'OF'}, 'Justin Turner_batter': {'Salary': 2600.0, 'projected_FD_points': 2.6698954555152552, 'confidence': -0.094651570210898539, 'FD_Position': '2B'}, 'Marcus Semien_batter': {'Salary': 3000.0, 'projected_FD_points': 2.1457132349274426, 'confidence': -0.20515392369153185, 'FD_Position': 'SS'}, 'Juan Uribe_batter': {'Salary': 2300.0, 'projected_FD_points': 2.0410544295871214, 'confidence': -0.61459312510458508, 'FD_Position': '3B'}, 'Clayton Kershaw_pitcher': {'Salary': 12000.0, 'projected_FD_points': 16.144990857677428, 'confidence': -0.24381358366348316, 'FD_Position': 'P'}, 'Prince Fielder_batter': {'Salary': 3600.0, 'projected_FD_points': 3.0693729807347134, 'confidence': -0.1350162950515037, 'FD_Position': '1B'}, 'Chris Iannetta_batter': {'Salary': 2200.0, 'projected_FD_points': 2.3221144689945796, 'confidence': -0.38151642601865565, 'FD_Position': 'C'}, 'A.J. Pollock_batter': {'Salary': 3500.0, 'projected_FD_points': 2.9517936781609198, 'confidence': -0.044123390146802777, 'FD_Position': 'OF'}}</t>
  </si>
  <si>
    <t>{'Corey Dickerson_batter': {'Salary': 4700.0, 'projected_FD_points': 3.5623317062232744, 'confidence': 0.042993535907926317, 'FD_Position': 'OF'}, 'Brian Dozier_batter': {'Salary': 3000.0, 'projected_FD_points': 2.6172629205557154, 'confidence': -0.16391259676961045, 'FD_Position': '2B'}, 'Trevor Plouffe_batter': {'Salary': 2600.0, 'projected_FD_points': 2.2600201028160809, 'confidence': -0.17810357276761568, 'FD_Position': '3B'}, 'Johnny Cueto_pitcher': {'Salary': 10600.0, 'projected_FD_points': 15.934382657344578, 'confidence': -0.10925601476852864, 'FD_Position': 'P'}, 'Torii Hunter_batter': {'Salary': 3000.0, 'projected_FD_points': 2.6190459088852704, 'confidence': -0.24568659821195538, 'FD_Position': 'OF'},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2.988704262797405, 'confidence': -1.2312330737895625, 'FD_Position': 'SS'}, 'Martin Maldonado_batter': {'Salary': 2200.0, 'projected_FD_points': 2.3362068965517242, 'confidence': -0.52452188469433181, 'FD_Position': 'C'}}</t>
  </si>
  <si>
    <t>{'Alex Rodriguez_batter': {'Salary': 3800.0, 'projected_FD_points': 6.6158523456333365, 'confidence': -0.58322284125919532, 'FD_Position': '3B'}, 'Evan Gattis_batter': {'Salary': 2800.0, 'projected_FD_points': 2.6326310198300287, 'confidence': -0.10106542980060462, 'FD_Position': 'C'}, 'David Ortiz_batter': {'Salary': 3700.0, 'projected_FD_points': 3.106060606060606, 'confidence': -0.27890298987082818, 'FD_Position': '1B'}, 'Paulo Orlando_batter': {'Salary': 3000.0, 'projected_FD_points': 3.5, 'confidence': 0, 'FD_Position': 'OF'}, 'Freddy Galvis_batter': {'Salary': 2300.0, 'projected_FD_points': 2.7721301509511607, 'confidence': -2.2593139265729718, 'FD_Position': 'SS'}, 'Jorge Soler_batter': {'Salary': 3800.0, 'projected_FD_points': 3.9953445348584409, 'confidence': -0.084802107393113779, 'FD_Position': 'OF'}, 'Dexter Fowler_batter': {'Salary': 3800.0, 'projected_FD_points': 3.5212958785594868, 'confidence': -0.028296664034829888, 'FD_Position': 'OF'}, 'Collin McHugh_pitcher': {'Salary': 8900.0, 'projected_FD_points': 14.191116448190572, 'confidence': -0.460804939384581, 'FD_Position': 'P'}, 'Rafael Ynoa_batter': {'Salary': 2800.0, 'projected_FD_points': 2.4895161290322583, 'confidence': -0.35921572860847428, 'FD_Position': '2B'}}</t>
  </si>
  <si>
    <t>{'Michael Brantley_batter': {'Salary': 3800.0, 'projected_FD_points': 3.0573802705615845, 'confidence': 0.075400522392410241, 'FD_Position': 'OF'}, 'Melky Cabrera_batter': {'Salary': 2700.0, 'projected_FD_points': 2.7498872117683417, 'confidence': -0.083859574257343583, 'FD_Position': 'OF'}, 'Paulo Orlando_batter': {'Salary': 3000.0, 'projected_FD_points': 3.5, 'confidence': 0, 'FD_Position': 'OF'}, 'Todd Frazier_batter': {'Salary': 3400.0, 'projected_FD_points': 2.7330489441687273, 'confidence': -0.46482200994852141, 'FD_Position': '3B'}, 'Troy Tulowitzki_batter': {'Salary': 5300.0, 'projected_FD_points': 3.2342712966198146, 'confidence': -0.26241527764193484, 'FD_Position': 'SS'}, 'Jose Abreu_batter': {'Salary': 4400.0, 'projected_FD_points': 3.2270056240700109, 'confidence': -0.00080418634397161348, 'FD_Position': '1B'}, 'Tyler Matzek_pitcher': {'Salary': 6100.0, 'projected_FD_points': 11.03989639126158, 'confidence': -0.093535545246966167, 'FD_Position': 'P'}, 'Martin Maldonado_batter': {'Salary': 2200.0, 'projected_FD_points': 2.2691499191499189, 'confidence': -0.41839984182564827, 'FD_Position': 'C'}, 'Rafael Ynoa_batter': {'Salary': 2800.0, 'projected_FD_points': 2.4895161290322583, 'confidence': -0.35921572860847428, 'FD_Position': '2B'}}</t>
  </si>
  <si>
    <t>{'Michael Brantley_batter': {'Salary': 3900.0, 'projected_FD_points': 3.186246199298862, 'confidence': 0.086415836849826011, 'FD_Position': 'OF'}, 'Alex Rodriguez_batter': {'Salary': 3700.0, 'projected_FD_points': 5.4578998109404147, 'confidence': 0, 'FD_Position': '3B'}, 'Melky Cabrera_batter': {'Salary': 2700.0, 'projected_FD_points': 2.6607057505342526, 'confidence': -0.09038767601025044, 'FD_Position': 'OF'}, 'Jake Arrieta_pitcher': {'Salary': 9200.0, 'projected_FD_points': 14.631589487068071, 'confidence': 0.0061121633673568709, 'FD_Position': 'P'}, 'Marlon Byrd_batter': {'Salary': 2200.0, 'projected_FD_points': 2.3188450966263692, 'confidence': -0.16605131122257211, 'FD_Position': 'OF'}, 'Hector Gomez_batter': {'Salary': 2200.0, 'projected_FD_points': 2.9003538365226209, 'confidence': 0, 'FD_Position': 'SS'}, 'Victor Martinez_batter': {'Salary': 3900.0, 'projected_FD_points': 3.1996536686311843, 'confidence': -0.079906158803049188, 'FD_Position': 'C'},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</si>
  <si>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{'Michael Brantley_batter': {'Salary': 3900.0, 'projected_FD_points': 3.186246199298862, 'confidence': 0.086415836849826011, 'FD_Position': 'OF'}, 'Melky Cabrera_batter': {'Salary': 2700.0, 'projected_FD_points': 2.6607057505342526, 'confidence': -0.09038767601025044, 'FD_Position': 'OF'}, 'Corey Dickerson_batter': {'Salary': 4900.0, 'projected_FD_points': 3.47025434122554, 'confidence': -0.06437154987949345, 'FD_Position': 'OF'}, 'Mike Moustakas_batter': {'Salary': 3100.0, 'projected_FD_points': 2.6578475336322867, 'confidence': -0.06021919800802511, 'FD_Position': '3B'}, 'Derek Norris_batter': {'Salary': 2800.0, 'projected_FD_points': 2.1311881188118811, 'confidence': -0.67431631947344339, 'FD_Position': 'C'}, 'Jorge De La Rosa_pitcher': {'Salary': 6800.0, 'projected_FD_points': 11.385177689378555, 'confidence': -0.29983934423386183, 'FD_Position': 'P'}, 'Daniel Santana_batter': {'Salary': 3100.0, 'projected_FD_points': 3.0943683612301167, 'confidence': -3.4887336105384277,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</si>
  <si>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4.25, 'confidence': 0, 'FD_Position': '3B'}, 'Justin Turner_batter': {'Salary': 2500.0, 'projected_FD_points': 2.6829434830177528, 'confidence': -0.10792682592660952, 'FD_Position': '2B'}, 'Jacob Realmuto_batter': {'Salary': 2300.0, 'projected_FD_points': 3.2054384313522579, 'confidence': 0, 'FD_Position': 'C'},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'Andrew McCutchen_batter': {'Salary': 4600.0, 'projected_FD_points': 3.3456615501080749, 'confidence': -0.014600931836257436, 'FD_Position': 'OF'},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</si>
  <si>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{'Odubel Herrera_batter': {'Salary': 3000.0, 'projected_FD_points': 3.5641349759907563, 'confidence': 0, 'FD_Position': 'OF'}, 'Alex Rodriguez_batter': {'Salary': 3700.0, 'projected_FD_points': 4.25, 'confidence': 0, 'FD_Position': '3B'}, 'Neil Walker_batter': {'Salary': 3400.0, 'projected_FD_points': 2.68359375, 'confidence': -0.14183596494885742, 'FD_Position': '2B'}, 'Jacob Realmuto_batter': {'Salary': 2300.0, 'projected_FD_points': 3.2054384313522579, 'confidence': 0, 'FD_Position': 'C'}, 'Dexter Fowler_batter': {'Salary': 3800.0, 'projected_FD_points': 3.2781357444952697, 'confidence': 0.051500815911955655, 'FD_Position': 'OF'},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</si>
  <si>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{'Scott Van Slyke_batter': {'Salary': 2600.0, 'projected_FD_points': 2.6285508289709858, 'confidence': -0.71729779128121041, 'FD_Position': 'OF'}, 'Brandon McCarthy_pitcher': {'Salary': 7900.0, 'projected_FD_points': 11.829618563339773, 'confidence': -0.080137913526703963, 'FD_Position': 'P'}, 'Justin Turner_batter': {'Salary': 2500.0, 'projected_FD_points': 2.6829434830177528, 'confidence': -0.10792682592660952, 'FD_Position': '2B'}, 'A.J. Pollock_batter': {'Salary': 3500.0, 'projected_FD_points': 3.0410200457892134, 'confidence': -0.12653807953065233, 'FD_Position': 'OF'}, 'Paul Goldschmidt_batter': {'Salary': 5200.0, 'projected_FD_points': 3.5055971051736519, 'confidence': -0.18717035640540147, 'FD_Position': '1B'}, 'Willie Bloomquist_batter': {'Salary': 2300.0, 'projected_FD_points': 2.5954385403329066, 'confidence': -2.3798100204726875, 'FD_Position': 'SS'}, 'Kyle Seager_batter': {'Salary': 3400.0, 'projected_FD_points': 2.8292449844511105, 'confidence': -0.13852533058817618, 'FD_Position': '3B'}, 'Nelson Cruz_batter': {'Salary': 4800.0, 'projected_FD_points': 3.0897666837386604, 'confidence': -0.066630873029910775, 'FD_Position': 'OF'}, 'Michael McKenry_batter': {'Salary': 2200.0, 'projected_FD_points': 2.3591136380942714, 'confidence': -0.75803265842379219, 'FD_Position': 'C'}}</t>
  </si>
  <si>
    <t>{'Alex Rodriguez_batter': {'Salary': 3300.0, 'projected_FD_points': 13.666666666666666, 'confidence': 0, 'FD_Position': '3B'}, 'Neil Walker_batter': {'Salary': 3500.0, 'projected_FD_points': 2.7224409448818898, 'confidence': -0.55044626333309732, 'FD_Position': '2B'}, 'Carlos Peguero_batter': {'Salary': 2400.0, 'projected_FD_points': 3.2488888888888887, 'confidence': 0, 'FD_Position': 'OF'}, 'Allan Dykstra_batter': {'Salary': 3000.0, 'projected_FD_points': 7.5, 'confidence': 0, 'FD_Position': '1B'}, 'Marcell Ozuna_batter': {'Salary': 3100.0, 'projected_FD_points': 2.6777300682236942, 'confidence': -0.12016821958633828, 'FD_Position': 'OF'}, 'Troy Tulowitzki_batter': {'Salary': 4800.0, 'projected_FD_points': 3.4603718371013659, 'confidence': -0.19480839898532043, 'FD_Position': 'SS'}, 'Michael Cuddyer_batter': {'Salary': 3300.0, 'projected_FD_points': 3.0475106031476891, 'confidence': -0.68237164020627938, 'FD_Position': 'OF'}, 'Martin Maldonado_batter': {'Salary': 2200.0, 'projected_FD_points': 2.2712599833114795, 'confidence': -0.10528044749844057, 'FD_Position': 'C'}, 'Jacob deGrom_pitcher': {'Salary': 9400.0, 'projected_FD_points': 12.991518901685595, 'confidence': -0.19778811298175558, 'FD_Position': 'P'}}</t>
  </si>
  <si>
    <t>{'Alex Rodriguez_batter': {'Salary': 3300.0, 'projected_FD_points': 12.434615384615384,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2.8769933349790175, 'confidence': -0.63276922964963012, 'FD_Position': 'OF'}, 'Jacob Realmuto_batter': {'Salary': 2400.0, 'projected_FD_points': 2.71875, 'confidence': 0, 'FD_Position': 'C'}, 'Daniel Santana_batter': {'Salary': 3300.0, 'projected_FD_points': 3.1522683644086831, 'confidence': -0.064866282765758454, 'FD_Position': 'SS'}, 'Clayton Kershaw_pitcher': {'Salary': 11800.0, 'projected_FD_points': 16.513167613535863, 'confidence': -0.39382313928188584, 'FD_Position': 'P'}, 'Michael Cuddyer_batter': {'Salary': 3000.0, 'projected_FD_points': 3.0720418424984945, 'confidence': 0.20104962439558793, 'FD_Position': 'OF'}, 'Travis Snider_batter': {'Salary': 3000.0, 'projected_FD_points': 2.8731394181169669, 'confidence': 0.29621298261162898, 'FD_Position': 'OF'}}</t>
  </si>
  <si>
    <t>{'Seth Smith_batter': {'Salary': 2600.0, 'projected_FD_points': 2.3378046587779377, 'confidence': -0.0464428512496875, 'FD_Position': 'OF'}, 'Adam Rosales_batter': {'Salary': 2400.0, 'projected_FD_points': 2.0353932281460301, 'confidence': -0.0064649637630449508, 'FD_Position': '2B'}, 'Prince Fielder_batter': {'Salary': 3600.0, 'projected_FD_points': 3.2581978166567298, 'confidence': -0.85667558289196122, 'FD_Position': '1B'}, 'A.J. Pollock_batter': {'Salary': 3000.0, 'projected_FD_points': 2.8769933349790175, 'confidence': -0.63276922964963012, 'FD_Position': 'OF'}, 'Clayton Kershaw_pitcher': {'Salary': 11800.0, 'projected_FD_points': 16.513167613535863, 'confidence': -0.39382313928188584, 'FD_Position': 'P'}, 'Carl Crawford_batter': {'Salary': 2900.0, 'projected_FD_points': 2.5898740874249437, 'confidence': -0.00181891471437301, 'FD_Position': 'OF'}, 'Yasmani Grandal_batter': {'Salary': 2900.0, 'projected_FD_points': 2.3371204668236985, 'confidence': -0.48893262595732589, 'FD_Position': 'C'}, 'Kyle Seager_batter': {'Salary': 3500.0, 'projected_FD_points': 2.7403151318591807, 'confidence': -0.067905985533065705, 'FD_Position': '3B'}, 'Brandon Crawford_batter': {'Salary': 2300.0, 'projected_FD_points': 2.1192052980132452, 'confidence': -0.21645837556841263, 'FD_Position': 'SS'}}</t>
  </si>
  <si>
    <t>{'Michael Brantley_batter': {'Salary': 4100.0, 'projected_FD_points': 3.0754264704009335, 'confidence': 0.0011290248902154909, 'FD_Position': 'OF'}, 'Brian Dozier_batter': {'Salary': 3100.0, 'projected_FD_points': 2.2609443225925796, 'confidence': -0.12481118462666219, 'FD_Position': '2B'}, 'Johnny Cueto_pitcher': {'Salary': 10600.0, 'projected_FD_points': 14.393581565059092, 'confidence': -0.13911500420107248, 'FD_Position': 'P'}, 'Chris Iannetta_batter': {'Salary': 2500.0, 'projected_FD_points': 2.4419779277299729, 'confidence': -0.13593304258693073, 'FD_Position': 'C'},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'Mike Moustakas_batter': {'Salary': 3100.0, 'projected_FD_points': 2.632429420505201, 'confidence': -0.036938944575157118, 'FD_Position': '3B'}, 'Daniel Santana_batter': {'Salary': 3300.0, 'projected_FD_points': 3.1522683644086831, 'confidence': -0.064866282765758454, 'FD_Position': 'SS'}, 'Marlon Byrd_batter': {'Salary': 2400.0, 'projected_FD_points': 2.1382978723404253, 'confidence': -0.1656807474457882, 'FD_Position': 'OF'}}</t>
  </si>
  <si>
    <t>{'Kris Bryant_batter': {'Salary': 4000.0, 'projected_FD_points': 3.7793034371768055, 'confidence': -0.21027840308532664, 'FD_Position': '3B'}, 'Russell Martin_batter': {'Salary': 3600.0, 'projected_FD_points': 2.8783092417050868, 'confidence': -0.031373315901177534, 'FD_Position': 'C'}, 'Kyle Blanks_batter': {'Salary': 2700.0, 'projected_FD_points': 4.3194414410431063, 'confidence': -0.18440960149498009, 'FD_Position': 'OF'}, 'Preston Tucker_batter': {'Salary': 3000.0, 'projected_FD_points': 3.5, 'confidence': 0, 'FD_Position': 'OF'}, 'Chris Colabello_batter': {'Salary': 2300.0, 'projected_FD_points': 3.2600107985790934, 'confidence': -0.47346799411150764, 'FD_Position': 'OF'}, 'Troy Tulowitzki_batter': {'Salary': 4500.0, 'projected_FD_points': 3.232436731359082, 'confidence': 0.058523122074111145, 'FD_Position': 'SS'}, 'Carlos Frias_pitcher': {'Salary': 6600.0, 'projected_FD_points': 25.716882759220496, 'confidence': 0, 'FD_Position': 'P'}, 'Miguel Cabrera_batter': {'Salary': 5300.0, 'projected_FD_points': 3.7620925186568495, 'confidence': -0.016989064456481184, 'FD_Position': '1B'},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</si>
  <si>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'Josh Donaldson_batter': {'Salary': 3700.0, 'projected_FD_points': 2.9561063863413843, 'confidence': -0.02121342587634989, 'FD_Position': '3B'}, 'Prince Fielder_batter': {'Salary': 3400.0, 'projected_FD_points': 3.4154220779220785, 'confidence': -0.12266698083460303, 'FD_Position': '1B'}, 'Steve Pearce_batter': {'Salary': 2800.0, 'projected_FD_points': 3.0472895525579151, 'confidence': -0.066611742275469066, 'FD_Position': 'OF'}, 'Joc Pederson_batter': {'Salary': 3700.0, 'projected_FD_points': 3.4852941176470589, 'confidence': -0.86411870163618687, 'FD_Position': 'OF'}, 'Andrew Susac_batter': {'Salary': 2200.0, 'projected_FD_points': 3.1605970803337327, 'confidence': -6.3934930607042713, 'FD_Position': 'C'}, 'Dexter Fowler_batter': {'Salary': 3400.0, 'projected_FD_points': 3.4570343743920109, 'confidence': -0.25856580765835813, 'FD_Position': 'OF'}, 'Troy Tulowitzki_batter': {'Salary': 4400.0, 'projected_FD_points': 3.1161946766761282, 'confidence': -0.22488055511839367, 'FD_Position': 'SS'}, 'Tyson Ross_pitcher': {'Salary': 8900.0, 'projected_FD_points': 12.154767428385883, 'confidence': -0.18213588826910621, 'FD_Position': 'P'}}</t>
  </si>
  <si>
    <t>{'Madison Bumgarner_pitcher': {'Salary': 10100.0, 'projected_FD_points': 13.986190439677234, 'confidence': -0.22382209546036491, 'FD_Position': 'P'}, 'Delino Deshields Jr._batter': {'Salary': 3300.0, 'projected_FD_points': 3.1142734190976622, 'confidence': -0.54876769005333315, 'FD_Position': 'OF'}, 'Chris Iannetta_batter': {'Salary': 2700.0, 'projected_FD_points': 2.5074081329035458, 'confidence': 0.092271282240415475, 'FD_Position': 'C'}, 'Cliff Pennington_batter': {'Salary': 2200.0, 'projected_FD_points': 2.2471312683116307, 'confidence': -0.14933476547737334, 'FD_Position': 'SS'}, 'Justin Turner_batter': {'Salary': 2700.0, 'projected_FD_points': 2.8682448446952931, 'confidence': -0.0023239831717976056, 'FD_Position': '2B'}, 'Dexter Fowler_batter': {'Salary': 3500.0, 'projected_FD_points': 3.7664094944274096, 'confidence': -0.25251403946564777, 'FD_Position': 'OF'}, 'Brett Lawrie_batter': {'Salary': 2300.0, 'projected_FD_points': 2.4524181797803184, 'confidence': -0.063659419519944915, 'FD_Position': '3B'}, 'Jose Abreu_batter': {'Salary': 3600.0, 'projected_FD_points': 3.3265056823869359, 'confidence': -0.044348529361812439, 'FD_Position': '1B'}, 'Giancarlo Stanton_batter': {'Salary': 4600.0, 'projected_FD_points': 3.6590909090909092, 'confidence': -0.52056838168787856, 'FD_Position': 'OF'}}</t>
  </si>
  <si>
    <t>{'Madison Bumgarner_pitcher': {'Salary': 10100.0, 'projected_FD_points': 13.986190439677234, 'confidence': -0.22382209546036491, 'FD_Position': 'P'}, 'J.D. Martinez_batter': {'Salary': 3200.0, 'projected_FD_points': 2.8460226868757394, 'confidence': -0.0218016722017913, 'FD_Position': 'OF'}, 'Evan Gattis_batter': {'Salary': 3300.0, 'projected_FD_points': 2.5628986149779496, 'confidence': -0.13448995181284218, 'FD_Position': 'C'}, 'Justin Turner_batter': {'Salary': 2700.0, 'projected_FD_points': 2.8682448446952931, 'confidence': -0.0023239831717976056, 'FD_Position': '2B'}, 'Steve Pearce_batter': {'Salary': 2800.0, 'projected_FD_points': 2.8602271232516334, 'confidence': 0.0029605463560562484, 'FD_Position': 'OF'}, 'Troy Tulowitzki_batter': {'Salary': 4500.0, 'projected_FD_points': 3.3769112773708643, 'confidence': -0.33434660166547503, 'FD_Position': 'SS'}, 'Kyle Seager_batter': {'Salary': 3000.0, 'projected_FD_points': 2.6879118569362062, 'confidence': -0.14567259207809524, 'FD_Position': '3B'}, 'Michael Cuddyer_batter': {'Salary': 2400.0, 'projected_FD_points': 2.6855717368507515, 'confidence': -0.013624199523323277, 'FD_Position': 'OF'}, 'Chris Carter_batter': {'Salary': 3000.0, 'projected_FD_points': 2.5981012658227849, 'confidence': -0.12815324353937907, 'FD_Position': '1B'}}</t>
  </si>
  <si>
    <t>{'Ben Paulsen_batter': {'Salary': 2200.0, 'projected_FD_points': 2.1127407704654897, 'confidence': -1.4090565033790319, 'FD_Position': '1B'}, 'Madison Bumgarner_pitcher': {'Salary': 10100.0, 'projected_FD_points': 13.986190439677234, 'confidence': -0.22382209546036491, 'FD_Position': 'P'}, 'Charlie Blackmon_batter': {'Salary': 3800.0, 'projected_FD_points': 2.50530331488909, 'confidence': -0.09377968385055846, 'FD_Position': 'OF'}, 'Casey McGehee_batter': {'Salary': 2200.0, 'projected_FD_points': 1.9211309523809523, 'confidence': -0.33269140329647118, 'FD_Position': '3B'}, 'Justin Turner_batter': {'Salary': 2700.0, 'projected_FD_points': 2.8682448446952931, 'confidence': -0.0023239831717976056, 'FD_Position': '2B'}, 'Joc Pederson_batter': {'Salary': 3700.0, 'projected_FD_points': 3.1592226170327771, 'confidence': -0.17706709602746806, 'FD_Position': 'OF'}, 'Angel Pagan_batter': {'Salary': 2700.0, 'projected_FD_points': 2.2149122807017543, 'confidence': -0.055503497752394937, 'FD_Position': 'OF'}, 'Troy Tulowitzki_batter': {'Salary': 4500.0, 'projected_FD_points': 3.3769112773708643, 'confidence': -0.33434660166547503, 'FD_Position': 'SS'}, 'Michael McKenry_batter': {'Salary': 2700.0, 'projected_FD_points': 2.2099086757990869, 'confidence': -0.66287087262592381, 'FD_Position': 'C'}}</t>
  </si>
  <si>
    <t>{'Adrian Beltre_batter': {'Salary': 3100.0, 'projected_FD_points': 2.619048357953683, 'confidence': -0.033143751054731441, 'FD_Position': '3B'}, 'Adam Rosales_batter': {'Salary': 2200.0, 'projected_FD_points': 2.1174317970445387, 'confidence': -1.2576489118144578, 'FD_Position': '2B'}, 'Chris Iannetta_batter': {'Salary': 2700.0, 'projected_FD_points': 2.5074081329035458, 'confidence': 0.092271282240415475, 'FD_Position': 'C'}, 'Julio Teheran_pitcher': {'Salary': 8200.0, 'projected_FD_points': 10.471389227450942, 'confidence': -0.30317726852153593, 'FD_Position': 'P'}, 'Marcus Semien_batter': {'Salary': 3400.0, 'projected_FD_points': 2.6847980575624781, 'confidence': -0.51616321470086346, 'FD_Position': 'SS'}, 'Delino Deshields Jr._batter': {'Salary': 3300.0, 'projected_FD_points': 3.1142734190976622, 'confidence': -0.54876769005333315, 'FD_Position': 'OF'}, 'Dexter Fowler_batter': {'Salary': 3500.0, 'projected_FD_points': 3.7664094944274096, 'confidence': -0.25251403946564777, 'FD_Position': 'OF'}, 'Mike Trout_batter': {'Salary': 5000.0, 'projected_FD_points': 3.3989704125663298, 'confidence': 0.0016538874588778452, 'FD_Position': 'OF'}, 'Jose Abreu_batter': {'Salary': 3600.0, 'projected_FD_points': 3.3265056823869359, 'confidence': -0.044348529361812439, 'FD_Position': '1B'}}</t>
  </si>
  <si>
    <t>{'Kris Bryant_batter': {'Salary': 4000.0, 'projected_FD_points': 3.7824590280907202, 'confidence': -2.9903175260698895, 'FD_Position': '3B'}, 'Robinson Chirinos_batter': {'Salary': 2600.0, 'projected_FD_points': 2.3226393060217152, 'confidence': -0.32400916807061031, 'FD_Position': 'C'}, 'Albert Pujols_batter': {'Salary': 2800.0, 'projected_FD_points': 2.6172493919911388, 'confidence': -0.11194993021198307, 'FD_Position': '1B'}, 'Max Scherzer_pitcher': {'Salary': 11700.0, 'projected_FD_points': 15.020472229224437, 'confidence': -0.7280315312475798, 'FD_Position': 'P'}, 'Justin Turner_batter': {'Salary': 2700.0, 'projected_FD_points': 2.9247327324179855, 'confidence': -0.16670301000015852, 'FD_Position': '2B'}, 'Joey Butler_batter': {'Salary': 2200.0, 'projected_FD_points': 3.2999251497005986, 'confidence': 0.60146401246907366, 'FD_Position': 'OF'}, 'Troy Tulowitzki_batter': {'Salary': 4500.0, 'projected_FD_points': 3.6634110652255418, 'confidence': -1.9041214826492379, 'FD_Position': 'SS'}, 'Michael Cuddyer_batter': {'Salary': 2300.0, 'projected_FD_points': 2.6892660844676355, 'confidence': -0.19474704602254556, 'FD_Position': 'OF'}, 'Travis Snider_batter': {'Salary': 2200.0, 'projected_FD_points': 2.9054884516886963, 'confidence': -0.35745760169292429, 'FD_Position': 'OF'}}</t>
  </si>
  <si>
    <t>{'Phil Hughes_pitcher': {'Salary': 7800.0, 'projected_FD_points': 12.069735996857281, 'confidence': -0.81701309825289714, 'FD_Position': 'P'}, 'Brian Dozier_batter': {'Salary': 3800.0, 'projected_FD_points': 2.6160044466390522, 'confidence': -0.1011551919487772, 'FD_Position': '2B'}, 'Hunter Pence_batter': {'Salary': 3300.0, 'projected_FD_points': 2.7593979736464886, 'confidence': 0.000469980912557455, 'FD_Position': 'OF'}, 'Matt Holliday_batter': {'Salary': 3500.0, 'projected_FD_points': 2.6895604395604398, 'confidence': -0.0040542450781639872, 'FD_Position': 'OF'}, 'Nolan Arenado_batter': {'Salary': 3900.0, 'projected_FD_points': 2.916843638431637, 'confidence': -0.20519411839801882, 'FD_Position': '3B'}, 'Troy Tulowitzki_batter': {'Salary': 4500.0, 'projected_FD_points': 3.6634110652255418, 'confidence': -1.9041214826492379, 'FD_Position': 'SS'}, 'Jose Abreu_batter': {'Salary': 3500.0, 'projected_FD_points': 3.1736587481479153, 'confidence': 0.035381235017252322, 'FD_Position': '1B'}, 'Yadier Molina_batter': {'Salary': 2300.0, 'projected_FD_points': 1.7, 'confidence': -0.001356506310738359, 'FD_Position': 'C'}, 'Melky Cabrera_batter': {'Salary': 2400.0, 'projected_FD_points': 2.6028481012658227, 'confidence': -1.4888070093662145, 'FD_Position': 'OF'}}</t>
  </si>
  <si>
    <t>{'David Hale_pitcher': {'Salary': 5900.0, 'projected_FD_points': 46.63360861475865, 'confidence': 0, 'FD_Position': 'P'}, 'Paul Goldschmidt_batter': {'Salary': 4800.0, 'projected_FD_points': 3.5213794637630254, 'confidence': 0.0028584078647387878, 'FD_Position': '1B'}, 'Joc Pederson_batter': {'Salary': 3500.0, 'projected_FD_points': 3.2122904749442305, 'confidence': -0.004420736262067182, 'FD_Position': 'OF'}, 'Mike Trout_batter': {'Salary': 5300.0, 'projected_FD_points': 3.6864640883977899, 'confidence': -0.084811661028879382, 'FD_Position': 'OF'}, 'Justin Turner_batter': {'Salary': 2600.0, 'projected_FD_points': 2.702059296713399, 'confidence': -0.096602072287855556, 'FD_Position': '2B'}, 'Dexter Fowler_batter': {'Salary': 3600.0, 'projected_FD_points': 3.214130323363654, 'confidence': 0.023374987572352568, 'FD_Position': 'OF'}, 'Brock Holt_batter': {'Salary': 2200.0, 'projected_FD_points': 2.2543478260869567, 'confidence': -0.0038756303903924039, 'FD_Position': '3B'},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</si>
  <si>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{'Kris Bryant_batter': {'Salary': 4100.0, 'projected_FD_points': 2.7916188398235553, 'confidence': -0.56295236265249615, 'FD_Position': '3B'}, 'Hunter Pence_batter': {'Salary': 3300.0, 'projected_FD_points': 3.0614437708023012, 'confidence': 0.058013937786135394, 'FD_Position': 'OF'}, 'David Hale_pitcher': {'Salary': 5900.0, 'projected_FD_points': 46.63360861475865, 'confidence': 0, 'FD_Position': 'P'},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</si>
  <si>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{'Starlin Castro_batter': {'Salary': 3000.0, 'projected_FD_points': 2.1148328914820689, 'confidence': -0.20363562878526986, 'FD_Position': 'SS'}, 'Yangervis Solarte_batter': {'Salary': 2200.0, 'projected_FD_points': 1.9729563014387659, 'confidence': -0.00958753089788833, 'FD_Position': '3B'}, 'Matt Kemp_batter': {'Salary': 2500.0, 'projected_FD_points': 2.5627430163606491, 'confidence': -0.026635834712960049, 'FD_Position': 'OF'},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'Jake Arrieta_pitcher': {'Salary': 9900.0, 'projected_FD_points': 14.970213266329651, 'confidence': 0.020447171987291068, 'FD_Position': 'P'}, 'Miguel Montero_batter': {'Salary': 2900.0, 'projected_FD_points': 2.1438848920863309, 'confidence': -0.0030113254066466144, 'FD_Position': 'C'}}</t>
  </si>
  <si>
    <t>{'Sonny Gray_pitcher': {'Salary': 10200.0, 'projected_FD_points': 12.481797089753616, 'confidence': 0.11704325707400609, 'FD_Position': 'P'}, 'Kris Bryant_batter': {'Salary': 4000.0, 'projected_FD_points': 3.9708540226517748, 'confidence': -3.095492527098, 'FD_Position': '3B'}, 'Russell Martin_batter': {'Salary': 3400.0, 'projected_FD_points': 2.7604787677181872, 'confidence': 0.00046974573695723887, 'FD_Position': 'C'}, 'Kole Calhoun_batter': {'Salary': 2900.0, 'projected_FD_points': 2.8278985507246377, 'confidence': -0.34788951593592765, 'FD_Position': 'OF'},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'OF'}, 'Rafael Ynoa_batter': {'Salary': 2700.0, 'projected_FD_points': 4.6128767532079973, 'confidence': 0.26023872778316215, 'FD_Position': '2B'}}</t>
  </si>
  <si>
    <t>{'Sonny Gray_pitcher': {'Salary': 10200.0, 'projected_FD_points': 12.481797089753616, 'confidence': 0.11704325707400609, 'FD_Position': 'P'}, 'Russell Martin_batter': {'Salary': 3400.0, 'projected_FD_points': 2.7604787677181872, 'confidence': 0.00046974573695723887, 'FD_Position': 'C'}, 'Taylor Featherston_batter': {'Salary': 2200.0, 'projected_FD_points': 2.6619999999999995, 'confidence': 0, 'FD_Position': '2B'},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'Kyle Seager_batter': {'Salary': 2900.0, 'projected_FD_points': 2.6190057420948292, 'confidence': -0.0095155123797268093, 'FD_Position': '3B'}, 'Giancarlo Stanton_batter': {'Salary': 4400.0, 'projected_FD_points': 3.4211309523809526, 'confidence': -0.018703068742015327,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</si>
  <si>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1.886637695969164, 'confidence': -0.22694596237737752, 'FD_Position': 'C'}, 'Brandon Belt_batter': {'Salary': 4100.0, 'projected_FD_points': 3.2958020374896702, 'confidence': -0.28441163463980312, 'FD_Position': '1B'}, 'Chris Young_batter': {'Salary': 2300.0, 'projected_FD_points': 2.6435039391542317, 'confidence': -0.40902787322737466, 'FD_Position': 'OF'}, 'Hunter Pence_batter': {'Salary': 3400.0, 'projected_FD_points': 3.0844296991375137, 'confidence': 0.050265569879374028, 'FD_Position': 'OF'}, 'Chris Coghlan_batter': {'Salary': 2300.0, 'projected_FD_points': 2.5425629773252028, 'confidence': -0.30086774176119069, 'FD_Position': 'OF'}, 'James Shields_pitcher': {'Salary': 9200.0, 'projected_FD_points': 11.29250875575628, 'confidence': -0.79850806741541391, 'FD_Position': 'P'}, 'Troy Tulowitzki_batter': {'Salary': 4400.0, 'projected_FD_points': 3.2199543061736584, 'confidence': -0.063938614972886443,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</si>
  <si>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'Justin Turner_batter': {'Salary': 2600.0, 'projected_FD_points': 2.7403952851418074, 'confidence': -0.076795871760048318, 'FD_Position': '2B'}, 'Mike Trout_batter': {'Salary': 5300.0, 'projected_FD_points': 3.4645511271541225, 'confidence': -0.03765516357658294, 'FD_Position': 'OF'}, 'Tanner Roark_pitcher': {'Salary': 4600.0, 'projected_FD_points': 11.318720788412405, 'confidence': -0.38408512480980628, 'FD_Position': 'P'}, 'Giancarlo Stanton_batter': {'Salary': 4300.0, 'projected_FD_points': 3.3757396449704142, 'confidence': -0.087392105525924801, 'FD_Position': 'OF'}, 'Andrew Susac_batter': {'Salary': 2600.0, 'projected_FD_points': 2.9070609898801982, 'confidence': -0.15764821069310453, 'FD_Position': 'C'}}</t>
  </si>
  <si>
    <t>{'Russell Martin_batter': {'Salary': 3300.0, 'projected_FD_points': 2.4657478891625573, 'confidence': -0.1832584692286805, 'FD_Position': 'C'}, 'Justin Turner_batter': {'Salary': 2600.0, 'projected_FD_points': 2.7403952851418074, 'confidence': -0.076795871760048318, 'FD_Position': '2B'}, 'Tyson Ross_pitcher': {'Salary': 9000.0, 'projected_FD_points': 11.876414697538033, 'confidence': -0.23591133121836649, 'FD_Position': 'P'}, 'Chris Colabello_batter': {'Salary': 2700.0, 'projected_FD_points': 3.0732951239703592, 'confidence': 0.29535156075065105, 'FD_Position': 'OF'}, 'Kyle Seager_batter': {'Salary': 3000.0, 'projected_FD_points': 2.8304490551587995, 'confidence': 0.027868400972502871, 'FD_Position': '3B'}, 'Giancarlo Stanton_batter': {'Salary': 4300.0, 'projected_FD_points': 3.3757396449704142, 'confidence': -0.087392105525924801, 'FD_Position': 'OF'}, 'Jose Abreu_batter': {'Salary': 3200.0, 'projected_FD_points': 3.2315858533574073, 'confidence': -0.057949943568850415, 'FD_Position': '1B'}, 'Alexei Ramirez_batter': {'Salary': 2500.0, 'projected_FD_points': 2.1165730337078652, 'confidence': -0.01440516642083689, 'FD_Position': 'SS'}, 'Andrew McCutchen_batter': {'Salary': 4300.0, 'projected_FD_points': 3.317812978418774, 'confidence': -0.015682600927222623, 'FD_Position': 'OF'}}</t>
  </si>
  <si>
    <t>{'Michael Brantley_batter': {'Salary': 4500.0, 'projected_FD_points': 3.3221225663418883, 'confidence': 8.434175220739526e-05, 'FD_Position': 'OF'}, 'Kris Bryant_batter': {'Salary': 4100.0, 'projected_FD_points': 3.5405666504302649, 'confidence': -3.924373398945284, 'FD_Position': '3B'}, 'Brian Dozier_batter': {'Salary': 3700.0, 'projected_FD_points': 2.8082339076614997, 'confidence': -0.00044981867090299055, 'FD_Position': '2B'},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'Dexter Fowler_batter': {'Salary': 3800.0, 'projected_FD_points': 3.1570053384058423, 'confidence': 0.01790509607427071, 'FD_Position': 'OF'}, 'Tanner Roark_pitcher': {'Salary': 4600.0, 'projected_FD_points': 11.318720788412405, 'confidence': -0.38408512480980628, 'FD_Position': 'P'}, 'Andrew Susac_batter': {'Salary': 2600.0, 'projected_FD_points': 2.9070609898801982, 'confidence': -0.15764821069310453, 'FD_Position': 'C'}}</t>
  </si>
  <si>
    <t>{'Hunter Pence_batter': {'Salary': 3000.0, 'projected_FD_points': 3.0514008607604346, 'confidence': -0.0027882795424523099, 'FD_Position': 'OF'}, 'Nolan Arenado_batter': {'Salary': 3200.0, 'projected_FD_points': 3.3100541156459635, 'confidence': -0.042650954490367265, 'FD_Position': '3B'}, 'Derek Norris_batter': {'Salary': 2800.0, 'projected_FD_points': 2.3105896238926316, 'confidence': -0.45538351113706144, 'FD_Position': 'C'}, 'Clayton Kershaw_pitcher': {'Salary': 11000.0, 'projected_FD_points': 16.109467968740862, 'confidence': -0.2138455731162463, 'FD_Position': 'P'}, 'Troy Tulowitzki_batter': {'Salary': 3900.0, 'projected_FD_points': 3.251822991237558, 'confidence': -0.12907864907838063, 'FD_Position': 'SS'}, 'Chris Colabello_batter': {'Salary': 2800.0, 'projected_FD_points': 3.5562799623279719, 'confidence': -0.36138344799241096, 'FD_Position': 'OF'}, 'Jose Abreu_batter': {'Salary': 3300.0, 'projected_FD_points': 3.2009652066286187, 'confidence': -0.18536939113074813, 'FD_Position': '1B'}, 'Chase Utley_batter': {'Salary': 2800.0, 'projected_FD_points': 2.4688445382718931, 'confidence': -0.031403124952924744, 'FD_Position': '2B'}, 'Michael Cuddyer_batter': {'Salary': 2200.0, 'projected_FD_points': 2.6952897201633226, 'confidence': -0.060549436145617808, 'FD_Position': 'OF'}}</t>
  </si>
  <si>
    <t>{'Nolan Arenado_batter': {'Salary': 3200.0, 'projected_FD_points': 3.3908989703093999, 'confidence': -0.13766447658912995, 'FD_Position': '3B'},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'Michael McKenry_batter': {'Salary': 2500.0, 'projected_FD_points': 2.3104039093231679, 'confidence': -0.30035205113288987, 'FD_Position': 'C'}, 'Chris Colabello_batter': {'Salary': 2800.0, 'projected_FD_points': 3.2832521557912813, 'confidence': -0.11573531387865965, 'FD_Position': 'OF'}, 'Preston Tucker_batter': {'Salary': 3000.0, 'projected_FD_points': 3.3267309064953601, 'confidence': 0.60400493468054983,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'Giancarlo Stanton_batter': {'Salary': 4300.0, 'projected_FD_points': 3.5701754385964914, 'confidence': -0.052782362087631762, 'FD_Position': 'OF'}}</t>
  </si>
  <si>
    <t>{'Russell Martin_batter': {'Salary': 3200.0, 'projected_FD_points': 2.7405303030303032, 'confidence': -0.016629232684554296, 'FD_Position': 'C'},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'Chris Colabello_batter': {'Salary': 2800.0, 'projected_FD_points': 3.2832521557912813, 'confidence': -0.11573531387865965, 'FD_Position': 'OF'}, 'Christian Yelich_batter': {'Salary': 2300.0, 'projected_FD_points': 2.4720394736842106, 'confidence': -0.051446929870363034, 'FD_Position': 'OF'}, 'Giancarlo Stanton_batter': {'Salary': 4300.0, 'projected_FD_points': 3.5701754385964914, 'confidence': -0.052782362087631762,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'Nolan Arenado_batter': {'Salary': 3200.0, 'projected_FD_points': 3.3908989703093999, 'confidence': -0.13766447658912995, 'FD_Position': '3B'}}</t>
  </si>
  <si>
    <t>{'Starlin Castro_batter': {'Salary': 2700.0, 'projected_FD_points': 2.1364117468063952, 'confidence': -0.03104920513841769, 'FD_Position': 'SS'}, 'Matt Kemp_batter': {'Salary': 2300.0, 'projected_FD_points': 2.6290350151130748, 'confidence': 0.0080385744909745593, 'FD_Position': 'OF'}, 'Max Scherzer_pitcher': {'Salary': 11800.0, 'projected_FD_points': 14.32915661377525, 'confidence': -2.8208562597211149, 'FD_Position': 'P'}, 'A.J. Pierzynski_batter': {'Salary': 2300.0, 'projected_FD_points': 2.043787811798059, 'confidence': -0.4793659248475346, 'FD_Position': 'C'}, 'Howie Kendrick_batter': {'Salary': 2900.0, 'projected_FD_points': 2.2581395669921669, 'confidence': 0.0075346306666086438, 'FD_Position': '2B'}, 'Justin Turner_batter': {'Salary': 2600.0, 'projected_FD_points': 2.8009714317624446, 'confidence': -0.024300933764355381, 'FD_Position': '3B'}, 'Joc Pederson_batter': {'Salary': 3700.0, 'projected_FD_points': 3.1528637719145753, 'confidence': -0.1138279381498386, 'FD_Position': 'OF'}, 'Adrian Gonzalez_batter': {'Salary': 3800.0, 'projected_FD_points': 2.9532360372079061, 'confidence': -0.0078273040144911654, 'FD_Position': '1B'}, 'Kole Calhoun_batter': {'Salary': 2900.0, 'projected_FD_points': 2.6578014184397163, 'confidence': -0.0052605287098055342, 'FD_Position': 'OF'}}</t>
  </si>
  <si>
    <t>{'Hunter Pence_batter': {'Salary': 3000.0, 'projected_FD_points': 2.794461332339222, 'confidence': -0.0099202348728602008, 'FD_Position': 'OF'}, 'David Ortiz_batter': {'Salary': 2700.0, 'projected_FD_points': 2.7832571866456801, 'confidence': -0.047380524777813404, 'FD_Position': '1B'}, 'Michael Cuddyer_batter': {'Salary': 2400.0, 'projected_FD_points': 2.8800925541380686, 'confidence': -0.7114325960518153, 'FD_Position': 'OF'}, 'Buster Posey_batter': {'Salary': 4000.0, 'projected_FD_points': 2.5499999999999998, 'confidence': -0.00081640813742311913, 'FD_Position': 'C'}, 'Michael Pineda_pitcher': {'Salary': 9400.0, 'projected_FD_points': 13.335784762446401, 'confidence': -2.3197707312963916, 'FD_Position': 'P'}, 'Kyle Seager_batter': {'Salary': 3200.0, 'projected_FD_points': 2.9195872531128151, 'confidence': 0.041881518990916744, 'FD_Position': '3B'}, 'Nelson Cruz_batter': {'Salary': 4500.0, 'projected_FD_points': 3.2335573792603927, 'confidence': -0.038224024525013611, 'FD_Position': 'OF'}, 'Chase Utley_batter': {'Salary': 2900.0, 'projected_FD_points': 2.4991674400693009, 'confidence': 0.016344745176265496, 'FD_Position': '2B'}, 'Brandon Crawford_batter': {'Salary': 2900.0, 'projected_FD_points': 2.6204978594592609, 'confidence': -0.1220338854068892, 'FD_Position': 'SS'}}</t>
  </si>
  <si>
    <t>{'Jimmy Paredes_batter': {'Salary': 3200.0, 'projected_FD_points': 2.6403040989984685, 'confidence': -0.0086173314696640357, 'FD_Position': '2B'}, 'Delmon Young_batter': {'Salary': 2200.0, 'projected_FD_points': 2.7445695782033974, 'confidence': -0.043480608237834062, 'FD_Position': 'OF'},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'Alex Rodriguez_batter': {'Salary': 3300.0, 'projected_FD_points': 3.1270350143444743, 'confidence': 0.043742031309001672, 'FD_Position': '3B'},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</si>
  <si>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{'Jimmy Paredes_batter': {'Salary': 3200.0, 'projected_FD_points': 2.6403040989984685, 'confidence': -0.0086173314696640357, 'FD_Position': '2B'},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'Delmon Young_batter': {'Salary': 2200.0, 'projected_FD_points': 2.7445695782033974, 'confidence': -0.043480608237834062, 'FD_Position': 'OF'},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</si>
  <si>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{'Albert Pujols_batter': {'Salary': 2800.0, 'projected_FD_points': 2.5310810810810809, 'confidence': -2.2528093520657322e-05, 'FD_Position': '1B'},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'Kole Calhoun_batter': {'Salary': 2900.0, 'projected_FD_points': 2.7482394366197185, 'confidence': -0.079559526774069633, 'FD_Position': 'OF'}, 'James McCann_batter': {'Salary': 2400.0, 'projected_FD_points': 1.9705290415628687, 'confidence': -4.455286705771818, 'FD_Position': 'C'}, 'Marcus Semien_batter': {'Salary': 2800.0, 'projected_FD_points': 2.5565242664568659, 'confidence': -0.23881872904214707, 'FD_Position': 'SS'}, 'Neil Walker_batter': {'Salary': 2800.0, 'projected_FD_points': 2.3751562992107478, 'confidence': -0.036026087415131025, 'FD_Position': '2B'}, 'Andrew McCutchen_batter': {'Salary': 4300.0, 'projected_FD_points': 3.4463821966503638, 'confidence': -0.98647105650395939, 'FD_Position': 'OF'}}</t>
  </si>
  <si>
    <t>{'Russell Martin_batter': {'Salary': 3100.0, 'projected_FD_points': 2.5926583781980956, 'confidence': -0.11256158453948872, 'FD_Position': 'C'}, 'Mike Foltynewicz_pitcher': {'Salary': 7300.0, 'projected_FD_points': 20.335288172880833, 'confidence': 0, 'FD_Position': 'P'}, 'Melky Cabrera_batter': {'Salary': 2200.0, 'projected_FD_points': 2.6470621806749617, 'confidence': -0.31247765927636806, 'FD_Position': 'OF'}, 'Miguel Cabrera_batter': {'Salary': 4900.0, 'projected_FD_points': 3.6389455741937251, 'confidence': -0.070965906581733407, 'FD_Position': '1B'}, 'Joc Pederson_batter': {'Salary': 3500.0, 'projected_FD_points': 3.0700250692959279, 'confidence': 0.01396071067166238, 'FD_Position': 'OF'}, 'Troy Tulowitzki_batter': {'Salary': 3900.0, 'projected_FD_points': 3.2335214836742017, 'confidence': -0.090321207040403806, 'FD_Position': 'SS'}, 'Giancarlo Stanton_batter': {'Salary': 4400.0, 'projected_FD_points': 3.5313004819447293, 'confidence': -0.0108125275661064, 'FD_Position': 'OF'}, 'Nolan Arenado_batter': {'Salary': 3200.0, 'projected_FD_points': 3.1375804583072475, 'confidence': -0.017022751413997561, 'FD_Position': '3B'}, 'Rafael Ynoa_batter': {'Salary': 2400.0, 'projected_FD_points': 2.5367088607594939, 'confidence': -0.060393075411812269, 'FD_Position': '2B'}}</t>
  </si>
  <si>
    <t>{'Russell Martin_batter': {'Salary': 3100.0, 'projected_FD_points': 2.7746221188540834, 'confidence': -0.037535953865487359, 'FD_Position': 'C'}, 'David Ortiz_batter': {'Salary': 2600.0, 'projected_FD_points': 2.9343750000000002, 'confidence': -0.32964978063652617, 'FD_Position': '1B'}, 'Jose Altuve_batter': {'Salary': 3800.0, 'projected_FD_points': 2.8192934782608696, 'confidence': -0.1224616850241611, 'FD_Position': '2B'}, 'Charlie Blackmon_batter': {'Salary': 3500.0, 'projected_FD_points': 3.0614469040394345, 'confidence': -0.0084541738611185746, 'FD_Position': 'OF'}, 'Justin Turner_batter': {'Salary': 2600.0, 'projected_FD_points': 2.9029583177595968, 'confidence': -0.52265550054704657, 'FD_Position': '3B'},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'OF'}}</t>
  </si>
  <si>
    <t>{'Michael Brantley_batter': {'Salary': 4300.0, 'projected_FD_points': 3.2158886546703171, 'confidence': 0.048023203638494771, 'FD_Position': 'OF'}, 'Neil Walker_batter': {'Salary': 2800.0, 'projected_FD_points': 2.492804262911132, 'confidence': 0.0013428391299818987, 'FD_Position': '2B'}, 'J.D. Martinez_batter': {'Salary': 3000.0, 'projected_FD_points': 2.840927999018692, 'confidence': -0.019689894647287876, 'FD_Position': 'OF'}, 'David Ortiz_batter': {'Salary': 2600.0, 'projected_FD_points': 2.9343750000000002, 'confidence': -0.32964978063652617, 'FD_Position': '1B'}, 'Justin Turner_batter': {'Salary': 2600.0, 'projected_FD_points': 2.9029583177595968, 'confidence': -0.52265550054704657, 'FD_Position': '3B'}, 'Andrew Susac_batter': {'Salary': 2600.0, 'projected_FD_points': 2.6563265041233368, 'confidence': -0.056842104180695463, 'FD_Position': 'C'}, 'Brandon Crawford_batter': {'Salary': 2900.0, 'projected_FD_points': 2.5004750790118684, 'confidence': -0.019473055954611018, 'FD_Position': 'SS'}, 'Tyson Ross_pitcher': {'Salary': 9000.0, 'projected_FD_points': 12.084784474632009, 'confidence': -0.2775704385512352, 'FD_Position': 'P'}, 'Andrew McCutchen_batter': {'Salary': 4800.0, 'projected_FD_points': 3.395829066233143, 'confidence': -0.27519306045438308, 'FD_Position': 'OF'}}</t>
  </si>
  <si>
    <t>{'Russell Martin_batter': {'Salary': 3100.0, 'projected_FD_points': 2.7746221188540834, 'confidence': -0.037535953865487359, 'FD_Position': 'C'}, 'Jose Altuve_batter': {'Salary': 3800.0, 'projected_FD_points': 2.8192934782608696, 'confidence': -0.1224616850241611, 'FD_Position': '2B'}, 'Joey Votto_batter': {'Salary': 3200.0, 'projected_FD_points': 2.8749454540411112, 'confidence': -0.13381270743759743, 'FD_Position': '1B'}, 'Joey Butler_batter': {'Salary': 2300.0, 'projected_FD_points': 2.7399311711335903, 'confidence': 0.0, 'FD_Position': 'OF'},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'OF'}, 'Nolan Arenado_batter': {'Salary': 3200.0, 'projected_FD_points': 2.7869359413376484, 'confidence': -0.15140625851476908, 'FD_Position': '3B'}}</t>
  </si>
  <si>
    <t>{'Jose Altuve_batter': {'Salary': 3800.0, 'projected_FD_points': 2.8192934782608696, 'confidence': -0.1224616850241611, 'FD_Position': '2B'}, 'Justin Turner_batter': {'Salary': 2600.0, 'projected_FD_points': 2.9029583177595968, 'confidence': -0.52265550054704657, 'FD_Position': '3B'}, 'Jhonny Peralta_batter': {'Salary': 3300.0, 'projected_FD_points': 2.2810810810810809, 'confidence': -0.02303297001265725, 'FD_Position': 'SS'}, 'Paul Goldschmidt_batter': {'Salary': 5100.0, 'projected_FD_points': 3.3267643494215955, 'confidence': -0.18058559270035768, 'FD_Position': '1B'}, 'Preston Tucker_batter': {'Salary': 3000.0, 'projected_FD_points': 7.0743902439024406, 'confidence': -6.1340751981935009, 'FD_Position': 'OF'}, 'Yasmani Grandal_batter': {'Salary': 2700.0, 'projected_FD_points': 2.2262931034482758, 'confidence': -0.034909305791026135, 'FD_Position': 'C'}, 'Giancarlo Stanton_batter': {'Salary': 4400.0, 'projected_FD_points': 3.3806242338553023, 'confidence': -0.28020200703131137, 'FD_Position': 'OF'}, 'Wei-Yin Chen_pitcher': {'Salary': 7400.0, 'projected_FD_points': 10.574911888296036, 'confidence': -0.28984998500400394, 'FD_Position': 'P'}, 'Michael Cuddyer_batter': {'Salary': 2700.0, 'projected_FD_points': 2.8855421686746987, 'confidence': -0.25464078080752661, 'FD_Position': 'OF'}}</t>
  </si>
  <si>
    <t>{'Michael Brantley_batter': {'Salary': 4100.0, 'projected_FD_points': 3.2394248398375369, 'confidence': 0.036070991938311425, 'FD_Position': 'OF'}, 'Kris Bryant_batter': {'Salary': 4600.0, 'projected_FD_points': 3.7089674914264661, 'confidence': -1.6820279685511141, 'FD_Position': '3B'}, 'Brian Dozier_batter': {'Salary': 3900.0, 'projected_FD_points': 2.8287292817679557, 'confidence': -0.0014283702864721359, 'FD_Position': '2B'}, 'Adam Warren_pitcher': {'Salary': 6900.0, 'projected_FD_points': 15.438337028824838, 'confidence': 0, 'FD_Position': 'P'}, 'Russell Martin_batter': {'Salary': 3100.0, 'projected_FD_points': 2.826854222580804, 'confidence': -0.061255946310038389, 'FD_Position': 'C'}, 'Marcus Semien_batter': {'Salary': 2800.0, 'projected_FD_points': 2.5375752384791079, 'confidence': -0.20666646455886406, 'FD_Position': 'SS'}, 'Giancarlo Stanton_batter': {'Salary': 4200.0, 'projected_FD_points': 3.5262526069929927, 'confidence': -0.10070736347521825, 'FD_Position': 'OF'}, 'Steve Pearce_batter': {'Salary': 2800.0, 'projected_FD_points': 2.9305240431693647, 'confidence': 0.018497665325441393, 'FD_Position': 'OF'}, 'Justin Bour_batter': {'Salary': 2600.0, 'projected_FD_points': 2.7524000000000002, 'confidence': -3.1453481202366875, 'FD_Position': '1B'}}</t>
  </si>
  <si>
    <t>{'Michael Brantley_batter': {'Salary': 4100.0, 'projected_FD_points': 3.2394248398375369, 'confidence': 0.036070991938311425, 'FD_Position': 'OF'}, 'Adam Warren_pitcher': {'Salary': 6900.0, 'projected_FD_points': 15.438337028824838, 'confidence': 0, 'FD_Position': 'P'}, 'Robinson Cano_batter': {'Salary': 2600.0, 'projected_FD_points': 2.4043715846994536, 'confidence': -0.0059468401492557277, 'FD_Position': '2B'}, 'J.D. Martinez_batter': {'Salary': 3000.0, 'projected_FD_points': 2.7577976548375434, 'confidence': -0.029037376550885563, 'FD_Position': 'OF'}, 'Marcus Semien_batter': {'Salary': 2800.0, 'projected_FD_points': 2.5375752384791079, 'confidence': -0.20666646455886406, 'FD_Position': 'SS'}, 'Derek Norris_batter': {'Salary': 2800.0, 'projected_FD_points': 2.4235369989256035, 'confidence': -2.220433440704269, 'FD_Position': 'C'}, 'Kyle Seager_batter': {'Salary': 3500.0, 'projected_FD_points': 2.8868747798520609, 'confidence': 0.0068269227129627019, 'FD_Position': '3B'}, 'Nelson Cruz_batter': {'Salary': 4400.0, 'projected_FD_points': 3.2531074727207239, 'confidence': -0.14229039325380244, 'FD_Position': 'OF'}, 'Miguel Cabrera_batter': {'Salary': 4900.0, 'projected_FD_points': 3.3689386042663827, 'confidence': -0.027682595122976439,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</si>
  <si>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'Steve Pearce_batter': {'Salary': 2800.0, 'projected_FD_points': 2.9305240431693647, 'confidence': 0.018497665325441393, 'FD_Position': 'OF'}, 'Daniel Santana_batter': {'Salary': 2400.0, 'projected_FD_points': 2.4077868852459017, 'confidence': -0.0065302031541789596, 'FD_Position': 'SS'}, 'Tanner Roark_pitcher': {'Salary': 5700.0, 'projected_FD_points': 10.727882546665665, 'confidence': -0.77167694938834286, 'FD_Position': 'P'}, 'Giancarlo Stanton_batter': {'Salary': 4200.0, 'projected_FD_points': 3.5262526069929927, 'confidence': -0.10070736347521825, 'FD_Position': 'OF'}, 'Joey Votto_batter': {'Salary': 3300.0, 'projected_FD_points': 3.0625937399490626, 'confidence': -0.048170035624777396,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</si>
  <si>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'Brett Anderson_pitcher': {'Salary': 6700.0, 'projected_FD_points': 10.263605442176873, 'confidence': -1.1572168164163625, 'FD_Position': 'P'}, 'Chris Coghlan_batter': {'Salary': 2200.0, 'projected_FD_points': 2.4956140350877192, 'confidence': -0.31429792656652333, 'FD_Position': 'OF'}, 'Paul Goldschmidt_batter': {'Salary': 5200.0, 'projected_FD_points': 3.6914551781651204, 'confidence': -0.1578658917534197, 'FD_Position': '1B'}, 'Daniel Santana_batter': {'Salary': 2400.0, 'projected_FD_points': 2.4077868852459017, 'confidence': -0.0065302031541789596, 'FD_Position': 'SS'}, 'Melky Cabrera_batter': {'Salary': 2200.0, 'projected_FD_points': 2.370194440048766, 'confidence': -0.024264915699981238, 'FD_Position': 'OF'}}</t>
  </si>
  <si>
    <t>{'Anthony Rizzo_batter': {'Salary': 4100.0, 'projected_FD_points': 3.1564099855187822, 'confidence': -0.090738516081017462, 'FD_Position': '1B'}, 'Delmon Young_batter': {'Salary': 2200.0, 'projected_FD_points': 2.5692289570477551, 'confidence': -0.016035034359690892, 'FD_Position': 'OF'}, 'Kole Calhoun_batter': {'Salary': 2700.0, 'projected_FD_points': 2.6957646521559355, 'confidence': -0.011476320293831499, 'FD_Position': 'OF'}, 'Robinson Cano_batter': {'Salary': 2600.0, 'projected_FD_points': 2.3627717391304346, 'confidence': -0.002125194164583899, 'FD_Position': '2B'}, 'Jacob Realmuto_batter': {'Salary': 2200.0, 'projected_FD_points': 2.0056628597021611, 'confidence': -1.2130178641977425, 'FD_Position': 'C'}, 'Clayton Kershaw_pitcher': {'Salary': 11800.0, 'projected_FD_points': 16.835855965879741, 'confidence': -8.5547968201006768, 'FD_Position': 'P'}, 'Christian Yelich_batter': {'Salary': 2300.0, 'projected_FD_points': 2.4070692939635667, 'confidence': -0.0068196844815984203, 'FD_Position': 'OF'}, 'Troy Tulowitzki_batter': {'Salary': 3900.0, 'projected_FD_points': 3.3939803419623207, 'confidence': 0.050468075124722622, 'FD_Position': 'SS'}, 'Nolan Arenado_batter': {'Salary': 3200.0, 'projected_FD_points': 2.9987035632134553, 'confidence': -0.10543620645550189, 'FD_Position': '3B'}}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</si>
  <si>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'David Ortiz_batter': {'Salary': 2600.0, 'projected_FD_points': 2.7299382716049383, 'confidence': -0.014969631480159507, 'FD_Position': '1B'},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'Jose Altuve_batter': {'Salary': 3900.0, 'projected_FD_points': 2.7901069518716577, 'confidence': -0.090163763713972722, 'FD_Position': '2B'},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</si>
  <si>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'Jose Altuve_batter': {'Salary': 3900.0, 'projected_FD_points': 2.7901069518716577, 'confidence': -0.090163763713972722, 'FD_Position': '2B'},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'David Ortiz_batter': {'Salary': 2600.0, 'projected_FD_points': 2.7299382716049383, 'confidence': -0.014969631480159507, 'FD_Position': '1B'},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</si>
  <si>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'Jimmy Paredes_batter': {'Salary': 2900.0, 'projected_FD_points': 2.4672446690104763, 'confidence': 0.078081161799340437, 'FD_Position': '2B'}, 'Evan Gattis_batter': {'Salary': 4000.0, 'projected_FD_points': 2.6911964213014725, 'confidence': -0.35027068224727609, 'FD_Position': 'C'}, 'David Hale_pitcher': {'Salary': 5900.0, 'projected_FD_points': 26.716879002134167, 'confidence': 0, 'FD_Position': 'P'}, 'Justin Turner_batter': {'Salary': 2800.0, 'projected_FD_points': 2.9019375468693389, 'confidence': -0.20537883376369925, 'FD_Position': '3B'}, 'Steve Pearce_batter': {'Salary': 2700.0, 'projected_FD_points': 2.7239946178416039, 'confidence': -0.034285632852690373, 'FD_Position': 'OF'}, 'Joc Pederson_batter': {'Salary': 4000.0, 'projected_FD_points': 3.5145433096705592, 'confidence': -7.4762682914411513, 'FD_Position': 'OF'}, 'Adrian Gonzalez_batter': {'Salary': 4300.0, 'projected_FD_points': 3.01903915531526, 'confidence': -0.0053972615152484416, 'FD_Position': '1B'}, 'Troy Tulowitzki_batter': {'Salary': 4500.0, 'projected_FD_points': 3.2566523502209548, 'confidence': 0.020284205531683641, 'FD_Position': 'SS'}}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</si>
  <si>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'Kirk Nieuwenhuis_batter': {'Salary': 2200.0, 'projected_FD_points': 2.1140228931152345, 'confidence': 0.37488392402740489, 'FD_Position': 'OF'},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'Andrew Susac_batter': {'Salary': 2600.0, 'projected_FD_points': 4.0184414534618202, 'confidence': -9.5380828267176554, 'FD_Position': 'C'}, 'Neil Walker_batter': {'Salary': 2800.0, 'projected_FD_points': 2.5709542636915823, 'confidence': -0.091333260926357962, 'FD_Position': '2B'}}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</si>
  <si>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'Daniel Santana_batter': {'Salary': 2200.0, 'projected_FD_points': 2.280241935483871, 'confidence': -0.030272062192458815, 'FD_Position': 'SS'}, 'Nick Markakis_batter': {'Salary': 2300.0, 'projected_FD_points': 2.1697368421052632, 'confidence': -0.044350505298683673, 'FD_Position': 'OF'}, 'Kyle Seager_batter': {'Salary': 3500.0, 'projected_FD_points': 2.6940029268133099, 'confidence': -0.021439838874310668, 'FD_Position': '3B'}, 'Nelson Cruz_batter': {'Salary': 4200.0, 'projected_FD_points': 3.2961692274548353, 'confidence': -0.31921059164245102, 'FD_Position': 'OF'},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</si>
  <si>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'Nick Markakis_batter': {'Salary': 2300.0, 'projected_FD_points': 2.1697368421052632, 'confidence': -0.044350505298683673, 'FD_Position': 'OF'}, 'Nelson Cruz_batter': {'Salary': 4200.0, 'projected_FD_points': 3.2961692274548353, 'confidence': -0.31921059164245102, 'FD_Position': 'OF'}, 'Josh Harrison_batter': {'Salary': 3400.0, 'projected_FD_points': 2.6298615486571095, 'confidence': -0.0040355809986685198, 'FD_Position': '3B'}, 'Jordy Mercer_batter': {'Salary': 2300.0, 'projected_FD_points': 1.6949023205403051, 'confidence': -0.028719158099131503, 'FD_Position': 'SS'},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</si>
  <si>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'Steve Pearce_batter': {'Salary': 2700.0, 'projected_FD_points': 2.8410049848041581, 'confidence': -0.19954914805783353, 'FD_Position': 'OF'},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'Ben Zobrist_batter': {'Salary': 2800.0, 'projected_FD_points': 2.5396551724137932, 'confidence': -0.20355487486141977, 'FD_Position': '2B'}, 'Jason Castro_batter': {'Salary': 2300.0, 'projected_FD_points': 2.0139617906712384, 'confidence': -0.052969115122548427, 'FD_Position': 'C'}}</t>
  </si>
  <si>
    <t>{'Delmon Young_batter': {'Salary': 2600.0, 'projected_FD_points': 2.7322301998929479, 'confidence': -0.080336710255460186, 'FD_Position': 'OF'},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'Yasmani Grandal_batter': {'Salary': 3100.0, 'projected_FD_points': 2.3291666666666666, 'confidence': -0.054333486084379601, 'FD_Position': 'C'}, 'Jose Abreu_batter': {'Salary': 3500.0, 'projected_FD_points': 3.1445484058293727, 'confidence': 0.050790699313632448, 'FD_Position': '1B'}, 'Alexei Ramirez_batter': {'Salary': 2300.0, 'projected_FD_points': 2.035135135135135, 'confidence': -0.003060786288693329, 'FD_Position': 'SS'}}</t>
  </si>
  <si>
    <t>{'Jarrod Saltalamacchia_batter': {'Salary': 2200.0, 'projected_FD_points': 1.9574153446240239, 'confidence': -0.24099956074185469, 'FD_Position': 'C'},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'Jose Abreu_batter': {'Salary': 3500.0, 'projected_FD_points': 3.1445484058293727, 'confidence': 0.050790699313632448, 'FD_Position': '1B'}, 'Michael Cuddyer_batter': {'Salary': 2700.0, 'projected_FD_points': 2.6874550065068457, 'confidence': -0.074438021174597635, 'FD_Position': 'OF'}, 'Ian Desmond_batter': {'Salary': 3100.0, 'projected_FD_points': 2.239241765236792, 'confidence': 0.013028341143332178, 'FD_Position': 'SS'}}</t>
  </si>
  <si>
    <t>{'Evan Gattis_batter': {'Salary': 4200.0, 'projected_FD_points': 2.4999576715933052, 'confidence': -0.11926766710536829, 'FD_Position': 'C'}, 'David Ortiz_batter': {'Salary': 2500.0, 'projected_FD_points': 2.7665469433550602, 'confidence': -0.060831193296204233, 'FD_Position': '1B'}, 'J.D. Martinez_batter': {'Salary': 3100.0, 'projected_FD_points': 2.8297708290824746, 'confidence': -0.09050988252694192, 'FD_Position': 'OF'}, 'Steve Pearce_batter': {'Salary': 2700.0, 'projected_FD_points': 2.8376442925284779, 'confidence': -0.0082862204808904494, 'FD_Position': 'OF'}, 'Luis Valbuena_batter': {'Salary': 2900.0, 'projected_FD_points': 2.3885978580669716, 'confidence': -0.17567794467816489, 'FD_Position': '3B'}, 'Jose Altuve_batter': {'Salary': 3800.0, 'projected_FD_points': 2.7288359788359786, 'confidence': -0.028077303745376758, 'FD_Position': '2B'}, 'Dallas Keuchel_pitcher': {'Salary': 9800.0, 'projected_FD_points': 10.971262118534295, 'confidence': -4.4057884610620617, 'FD_Position': 'P'}, 'Hanley Ramirez_batter': {'Salary': 3600.0, 'projected_FD_points': 2.7548701298701297, 'confidence': -0.060909359405835417, 'FD_Position': 'OF'}, 'Jose Iglesias_batter': {'Salary': 2200.0, 'projected_FD_points': 1.8680869074492101, 'confidence': -0.4455595719389609, 'FD_Position': 'SS'}}</t>
  </si>
  <si>
    <t>{'Robinson Cano_batter': {'Salary': 2500.0, 'projected_FD_points': 2.356584734258703, 'confidence': -0.051819234924876056, 'FD_Position': '2B'}, 'Gregor Blanco_batter': {'Salary': 2600.0, 'projected_FD_points': 3.1182646460985048, 'confidence': -0.031202745194501391, 'FD_Position': 'OF'}, 'Chris Colabello_batter': {'Salary': 2800.0, 'projected_FD_points': 2.8260688497732818, 'confidence': 0.013406622933708978, 'FD_Position': 'OF'}, 'Dexter Fowler_batter': {'Salary': 3400.0, 'projected_FD_points': 3.4068244702843016, 'confidence': 0.053855752122187295, 'FD_Position': 'OF'}, 'Troy Tulowitzki_batter': {'Salary': 4800.0, 'projected_FD_points': 3.4680768936978796, 'confidence': 0.056475941255181517, 'FD_Position': 'SS'}, 'Kyle Seager_batter': {'Salary': 3300.0, 'projected_FD_points': 2.9206041548461035, 'confidence': -0.014140384913808646, 'FD_Position': '3B'}, 'Jose Abreu_batter': {'Salary': 3700.0, 'projected_FD_points': 3.3055283074236135, 'confidence': -0.13328368412394931, 'FD_Position': '1B'},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</si>
  <si>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{'Robinson Cano_batter': {'Salary': 2500.0, 'projected_FD_points': 2.356584734258703, 'confidence': -0.051819234924876056, 'FD_Position': '2B'}, 'Lucas Duda_batter': {'Salary': 3800.0, 'projected_FD_points': 2.795011723886343, 'confidence': -0.068322426188367702, 'FD_Position': '1B'}, 'Joc Pederson_batter': {'Salary': 4300.0, 'projected_FD_points': 3.6555424328666652, 'confidence': -0.27504596675089932, 'FD_Position': 'OF'}, 'Jake Odorizzi_pitcher': {'Salary': 8600.0, 'projected_FD_points': 11.611390236875176, 'confidence': 0.10447198980481098, 'FD_Position': 'P'}, 'Yasmani Grandal_batter': {'Salary': 3100.0, 'projected_FD_points': 2.3477784921082985, 'confidence': -0.24735242988787642, 'FD_Position': 'C'}, 'Michael Cuddyer_batter': {'Salary': 2700.0, 'projected_FD_points': 2.6688038760457946, 'confidence': -0.097523102962447039, 'FD_Position': 'OF'}, 'Asdrubal Cabrera_batter': {'Salary': 2200.0, 'projected_FD_points': 1.8522606029414279, 'confidence': 0.0030614046421129082, 'FD_Position': 'SS'}, 'Nelson Cruz_batter': {'Salary': 4000.0, 'projected_FD_points': 3.1476971403397886, 'confidence': -0.016628546041023373, 'FD_Position': 'OF'}, 'Matt Carpenter_batter': {'Salary': 3800.0, 'projected_FD_points': 2.984170638593957, 'confidence': -0.12818678466486455, 'FD_Position': '3B'}}</t>
  </si>
  <si>
    <t>{'Avisail Garcia_batter': {'Salary': 2500.0, 'projected_FD_points': 2.2314814814814814, 'confidence': -0.0091343752230073072, 'FD_Position': 'OF'}, 'Brian Dozier_batter': {'Salary': 4200.0, 'projected_FD_points': 2.7647476447857366, 'confidence': -0.0061849243262217524, 'FD_Position': '2B'}, 'Jonathan Lucroy_batter': {'Salary': 2800.0, 'projected_FD_points': 2.2623227123288974, 'confidence': -0.10908902391012187, 'FD_Position': 'C'}, 'J.D. Martinez_batter': {'Salary': 3000.0, 'projected_FD_points': 2.7891242829740537, 'confidence': -0.011425988032893297, 'FD_Position': 'OF'}, 'Jose Quintana_pitcher': {'Salary': 7600.0, 'projected_FD_points': 9.3361154604702712, 'confidence': -3.1851695035277299, 'FD_Position': 'P'}, 'Troy Tulowitzki_batter': {'Salary': 4800.0, 'projected_FD_points': 3.4680768936978796, 'confidence': 0.056475941255181517, 'FD_Position': 'SS'}, 'Jose Abreu_batter': {'Salary': 3700.0, 'projected_FD_points': 3.3055283074236135, 'confidence': -0.13328368412394931, 'FD_Position': '1B'}, 'Nolan Arenado_batter': {'Salary': 4200.0, 'projected_FD_points': 3.0289464257158221, 'confidence': -0.089784361623672426, 'FD_Position': '3B'}, 'Melky Cabrera_batter': {'Salary': 2200.0, 'projected_FD_points': 2.326146990813323, 'confidence': -0.036494903310245297, 'FD_Position': 'OF'}}</t>
  </si>
  <si>
    <t>{'Neil Walker_batter': {'Salary': 2700.0, 'projected_FD_points': 2.5331450016778643, 'confidence': -0.029182169772707711, 'FD_Position': '2B'}, 'Matt Wieters_batter': {'Salary': 2900.0, 'projected_FD_points': 3.0766975128178173, 'confidence': -7.4838791934480717, 'FD_Position': 'C'}, 'Adam Warren_pitcher': {'Salary': 6700.0, 'projected_FD_points': 14.970893549524149, 'confidence': 0, 'FD_Position': 'P'}, 'Miguel Cabrera_batter': {'Salary': 4900.0, 'projected_FD_points': 3.5289088034700917, 'confidence': -0.067936393640468662, 'FD_Position': '1B'}, 'Giancarlo Stanton_batter': {'Salary': 5300.0, 'projected_FD_points': 3.5229599419073394, 'confidence': 0.0034614478905246049, 'FD_Position': 'OF'}, 'Steve Pearce_batter': {'Salary': 2600.0, 'projected_FD_points': 2.8620032054943296, 'confidence': -0.097160441641789497, 'FD_Position': 'OF'}, 'Nolan Arenado_batter': {'Salary': 4200.0, 'projected_FD_points': 3.074872879636819, 'confidence': -0.087450862510207061, 'FD_Position': '3B'}, 'Alexei Ramirez_batter': {'Salary': 2200.0, 'projected_FD_points': 2.0716762408978591, 'confidence': -0.0032999778150679671, 'FD_Position': 'SS'}, 'Starling Marte_batter': {'Salary': 3500.0, 'projected_FD_points': 3.0602222581027823, 'confidence': 0.008019587104910797, 'FD_Position': 'OF'}}</t>
  </si>
  <si>
    <t>{'Neil Walker_batter': {'Salary': 2700.0, 'projected_FD_points': 2.5331450016778643, 'confidence': -0.029182169772707711, 'FD_Position': '2B'}, 'J.D. Martinez_batter': {'Salary': 3100.0, 'projected_FD_points': 2.9270485500511514, 'confidence': -0.66776867299041842, 'FD_Position': 'OF'}, 'Kole Calhoun_batter': {'Salary': 2600.0, 'projected_FD_points': 2.6867993956525975, 'confidence': -0.007724799987803399, 'FD_Position': 'OF'}, 'Justin Turner_batter': {'Salary': 2800.0, 'projected_FD_points': 2.9273948865881612, 'confidence': -0.42455604887735365, 'FD_Position': '3B'}, 'Clayton Kershaw_pitcher': {'Salary': 11700.0, 'projected_FD_points': 16.769761562182357, 'confidence': -0.35938346905649343, 'FD_Position': 'P'}, 'Brian McCann_batter': {'Salary': 3500.0, 'projected_FD_points': 2.4226351706036748, 'confidence': -0.19992894877669354, 'FD_Position': 'C'}, 'Jose Abreu_batter': {'Salary': 3600.0, 'projected_FD_points': 3.2388431135023446, 'confidence': 0.066945143577068822, 'FD_Position': '1B'}, 'Michael Cuddyer_batter': {'Salary': 2600.0, 'projected_FD_points': 2.7249654341509499, 'confidence': -0.030542933613485257, 'FD_Position': 'OF'}, 'Alexei Ramirez_batter': {'Salary': 2200.0, 'projected_FD_points': 2.0716762408978591, 'confidence': -0.0032999778150679671, 'FD_Position': 'SS'}}</t>
  </si>
  <si>
    <t>{'Matt Duffy_batter': {'Salary': 2600.0, 'projected_FD_points': 3.8659304756578576, 'confidence': -0.72644635916697808, 'FD_Position': '3B'}, 'Madison Bumgarner_pitcher': {'Salary': 10200.0, 'projected_FD_points': 14.197432431291535, 'confidence': -0.13269732367222353, 'FD_Position': 'P'}, 'Jose Bautista_batter': {'Salary': 4700.0, 'projected_FD_points': 3.369502173645349, 'confidence': -0.11309293300199807, 'FD_Position': 'OF'}, 'Jose Altuve_batter': {'Salary': 3700.0, 'projected_FD_points': 2.7092105263157893, 'confidence': -0.033452104309330766, 'FD_Position': '2B'}, 'Steve Pearce_batter': {'Salary': 2600.0, 'projected_FD_points': 2.8620032054943296, 'confidence': -0.097160441641789497, 'FD_Position': 'OF'}, 'Adam Lind_batter': {'Salary': 2500.0, 'projected_FD_points': 2.5021896297911779, 'confidence': -0.13402948759747568, 'FD_Position': '1B'}, 'Chris Colabello_batter': {'Salary': 2800.0, 'projected_FD_points': 3.1125603306536442, 'confidence': 0.099436697182940015, 'FD_Position': 'OF'}, 'Brandon Crawford_batter': {'Salary': 3000.0, 'projected_FD_points': 2.4005731389042921, 'confidence': -0.0069255121682818555, 'FD_Position': 'SS'}, 'Matt Wieters_batter': {'Salary': 2900.0, 'projected_FD_points': 3.0766975128178173, 'confidence': -7.4838791934480717, 'FD_Position': 'C'}}</t>
  </si>
  <si>
    <t>{'Starlin Castro_batter': {'Salary': 2700.0, 'projected_FD_points': 2.177710843373494, 'confidence': -0.014534513496590185, 'FD_Position': 'SS'}, 'Anthony Rizzo_batter': {'Salary': 4400.0, 'projected_FD_points': 3.4525862068965516, 'confidence': -0.21764570376050463, 'FD_Position': '1B'}, 'Jarrod Saltalamacchia_batter': {'Salary': 2300.0, 'projected_FD_points': 1.8725961538461537, 'confidence': -0.0091007471406274743, 'FD_Position': 'C'}, 'Dexter Fowler_batter': {'Salary': 3300.0, 'projected_FD_points': 3.9835648366420786, 'confidence': -0.06700208375150285, 'FD_Position': 'OF'}, 'Kolten Wong_batter': {'Salary': 3200.0, 'projected_FD_points': 2.3419095934435985, 'confidence': -0.034419992333312388, 'FD_Position': '2B'}, 'Justin Turner_batter': {'Salary': 2700.0, 'projected_FD_points': 2.708504210004953, 'confidence': -0.069709258109768024, 'FD_Position': '3B'}, 'Joey Butler_batter': {'Salary': 3200.0, 'projected_FD_points': 3.3152730872248743, 'confidence': -1.1252540580094519, 'FD_Position': 'OF'}, 'Michael Cuddyer_batter': {'Salary': 2700.0, 'projected_FD_points': 2.6858675292250238, 'confidence': -0.042995932801693115, 'FD_Position': 'OF'}, 'Jacob deGrom_pitcher': {'Salary': 10400.0, 'projected_FD_points': 14.550319520963296, 'confidence': -1.182114087828257, 'FD_Position': 'P'}}</t>
  </si>
  <si>
    <t>{'Russell Martin_batter': {'Salary': 3000.0, 'projected_FD_points': 2.7661870503597124, 'confidence': -0.095186739622932892, 'FD_Position': 'C'}, 'Neil Walker_batter': {'Salary': 2800.0, 'projected_FD_points': 2.5495210240498896, 'confidence': -0.074489903632428689, 'FD_Position': '2B'}, 'David Hale_pitcher': {'Salary': 5900.0, 'projected_FD_points': 19.131984719511944, 'confidence': 0, 'FD_Position': 'P'}, 'Joc Pederson_batter': {'Salary': 4000.0, 'projected_FD_points': 3.2637548211879093, 'confidence': -0.022676310975518588, 'FD_Position': 'OF'}, 'Maikel Franco_batter': {'Salary': 2900.0, 'projected_FD_points': 2.8038652284288199, 'confidence': -0.2720052448567829, 'FD_Position': '3B'}, 'Chris Colabello_batter': {'Salary': 2900.0, 'projected_FD_points': 3.0185380730682629, 'confidence': -0.066705227324849847, 'FD_Position': 'OF'}, 'Troy Tulowitzki_batter': {'Salary': 4800.0, 'projected_FD_points': 3.4999865673630963, 'confidence': -0.0032598900606815029, 'FD_Position': 'SS'}, 'Giancarlo Stanton_batter': {'Salary': 4900.0, 'projected_FD_points': 3.575305979798566, 'confidence': -0.013615469577255457, 'FD_Position': 'OF'}, 'Jose Abreu_batter': {'Salary': 3500.0, 'projected_FD_points': 3.0942181086801455, 'confidence': -0.020207212173960487, 'FD_Position': '1B'}}</t>
  </si>
  <si>
    <t>{'Melky Cabrera_batter': {'Salary': 2200.0, 'projected_FD_points': 2.5789513884921265, 'confidence': -0.062948600259618681, 'FD_Position': 'OF'}, 'Max Scherzer_pitcher': {'Salary': 11600.0, 'projected_FD_points': 15.108297446513811, 'confidence': -0.049647220638237233, 'FD_Position': 'P'}, 'David Ortiz_batter': {'Salary': 2500.0, 'projected_FD_points': 2.470778610616581, 'confidence': -0.21382154607859882, 'FD_Position': '1B'}, 'Robinson Cano_batter': {'Salary': 2300.0, 'projected_FD_points': 2.3862433862433861, 'confidence': -0.1464618352812499, 'FD_Position': '2B'}, 'Luis Valbuena_batter': {'Salary': 2400.0, 'projected_FD_points': 2.4666140475226892, 'confidence': -0.12388775890998049, 'FD_Position': '3B'}, 'Dexter Fowler_batter': {'Salary': 3300.0, 'projected_FD_points': 3.7821634045930015, 'confidence': -0.014501714456571335, 'FD_Position': 'OF'}, 'Chris Colabello_batter': {'Salary': 2900.0, 'projected_FD_points': 3.1738858292224545, 'confidence': -0.037387586307358722, 'FD_Position': 'OF'}, 'Troy Tulowitzki_batter': {'Salary': 4700.0, 'projected_FD_points': 3.7379309226859303, 'confidence': -0.20898919704543273, 'FD_Position': 'SS'}, 'Matt Wieters_batter': {'Salary': 3100.0, 'projected_FD_points': 3.0310304355605564, 'confidence': -0.35951584901460865, 'FD_Position': 'C'}}</t>
  </si>
  <si>
    <t>{'Matt Duffy_batter': {'Salary': 2900.0, 'projected_FD_points': 2.651665140718654, 'confidence': -0.34676649171412577, 'FD_Position': '3B'}, 'Jimmy Paredes_batter': {'Salary': 2600.0, 'projected_FD_points': 2.4671068461758807, 'confidence': 0.016632272459840225,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'Michael Brantley_batter': {'Salary': 3800.0, 'projected_FD_points': 3.3498937248759049, 'confidence': -0.24586497904666871,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'Joey Votto_batter': {'Salary': 4000.0, 'projected_FD_points': 3.467039972803927, 'confidence': -0.070331257398059011, 'FD_Position': '1B'}, 'Jason Castro_batter': {'Salary': 2200.0, 'projected_FD_points': 2.3280706716538009, 'confidence': -0.39191899425988463, 'FD_Position': 'C'}}</t>
  </si>
  <si>
    <t>{'Matt Duffy_batter': {'Salary': 2900.0, 'projected_FD_points': 2.651665140718654, 'confidence': -0.34676649171412577, 'FD_Position': '3B'}, 'Michael Brantley_batter': {'Salary': 3800.0, 'projected_FD_points': 3.3498937248759049, 'confidence': -0.24586497904666871, 'FD_Position': 'OF'}, 'Neil Walker_batter': {'Salary': 2900.0, 'projected_FD_points': 2.5284431137724552, 'confidence': -0.04239878783299722,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'Jose Abreu_batter': {'Salary': 3400.0, 'projected_FD_points': 3.3042248957367635, 'confidence': -0.24078278852679125, 'FD_Position': '1B'}, 'Jason Castro_batter': {'Salary': 2200.0, 'projected_FD_points': 2.3280706716538009, 'confidence': -0.39191899425988463, 'FD_Position': 'C'}}</t>
  </si>
  <si>
    <t>{'Russell Martin_batter': {'Salary': 3300.0, 'projected_FD_points': 2.6559621006555956, 'confidence': -0.03742360297350289, 'FD_Position': 'C'}, 'Ian Desmond_batter': {'Salary': 3000.0, 'projected_FD_points': 2.2110956672567146, 'confidence': 0.0057936461753973489, 'FD_Position': 'SS'}, 'Dee Gordon_batter': {'Salary': 3400.0, 'projected_FD_points': 2.511173184357542, 'confidence': -0.052079595698027559, 'FD_Position': '2B'}, 'Nathan Eovaldi_pitcher': {'Salary': 7500.0, 'projected_FD_points': 8.561516117422233, 'confidence': -0.026681779477209844, 'FD_Position': 'P'}, 'Maikel Franco_batter': {'Salary': 3100.0, 'projected_FD_points': 2.6484242755996132, 'confidence': -0.46989098972646581, 'FD_Position': '3B'}, 'Christian Yelich_batter': {'Salary': 2400.0, 'projected_FD_points': 2.4069303310723922, 'confidence': -0.0048170078457525634, 'FD_Position': 'OF'}, 'Marcell Ozuna_batter': {'Salary': 3200.0, 'projected_FD_points': 2.480088745158501, 'confidence': 0.041870209080703047, 'FD_Position': 'OF'}, 'Giancarlo Stanton_batter': {'Salary': 5000.0, 'projected_FD_points': 3.6104972375690609, 'confidence': -0.044121324155776076, 'FD_Position': 'OF'}, 'Joey Votto_batter': {'Salary': 4000.0, 'projected_FD_points': 3.467039972803927, 'confidence': -0.070331257398059011, 'FD_Position': '1B'}}</t>
  </si>
  <si>
    <t>{'Matt Duffy_batter': {'Salary': 3100.0, 'projected_FD_points': 2.6238041386130146, 'confidence': -1.8870860640701701, 'FD_Position': '3B'}, 'Anthony Rizzo_batter': {'Salary': 4400.0, 'projected_FD_points': 3.3107344632768361, 'confidence': -0.0029861194505316213, 'FD_Position': '1B'}, 'Steve Pearce_batter': {'Salary': 2600.0, 'projected_FD_points': 3.056192384140946, 'confidence': -0.10842240770599165, 'FD_Position': 'OF'}, 'Dexter Fowler_batter': {'Salary': 3200.0, 'projected_FD_points': 3.5803005080190289, 'confidence': -0.013692885340613747, 'FD_Position': 'OF'}, 'Garrett Richards_pitcher': {'Salary': 8600.0, 'projected_FD_points': 11.624857046810376, 'confidence': -0.22189721831707976, 'FD_Position': 'P'}, 'Brandon Crawford_batter': {'Salary': 2900.0, 'projected_FD_points': 2.5676306325768166, 'confidence': -1.0294633939317297, 'FD_Position': 'SS'}, 'Scooter Gennett_batter': {'Salary': 2200.0, 'projected_FD_points': 2.1589096528103688, 'confidence': -0.75093468589768997, 'FD_Position': '2B'}, 'Giancarlo Stanton_batter': {'Salary': 5300.0, 'projected_FD_points': 3.6936874926824461, 'confidence': -0.092744971297682222, 'FD_Position': 'OF'}, 'Andrew Susac_batter': {'Salary': 2400.0, 'projected_FD_points': 3.2555693205240619, 'confidence': -2.059040137839844, 'FD_Position': 'C'}}</t>
  </si>
  <si>
    <t>{'Starlin Castro_batter': {'Salary': 2700.0, 'projected_FD_points': 2.1005917159763312, 'confidence': -0.014502826631760168, 'FD_Position': 'SS'}, 'Anthony Rizzo_batter': {'Salary': 4400.0, 'projected_FD_points': 3.3107344632768361, 'confidence': -0.0029861194505316213, 'FD_Position': '1B'}, 'Jonathan Lucroy_batter': {'Salary': 2700.0, 'projected_FD_points': 2.2346099974742257, 'confidence': -0.20115586030543531, 'FD_Position': 'C'}, 'Ryan Braun_batter': {'Salary': 4000.0, 'projected_FD_points': 2.847117822612705, 'confidence': -0.040702284172432046, 'FD_Position': 'OF'}, 'Anthony Rendon_batter': {'Salary': 3500.0, 'projected_FD_points': 2.7562034744209942, 'confidence': -0.012570896658109287, 'FD_Position': '3B'}, 'Bryce Harper_batter': {'Salary': 5600.0, 'projected_FD_points': 2.7813111085153257, 'confidence': 0.0067354368849595891, 'FD_Position': 'OF'}, 'Dexter Fowler_batter': {'Salary': 3200.0, 'projected_FD_points': 3.5803005080190289, 'confidence': -0.013692885340613747, 'FD_Position': 'OF'}, 'Tanner Roark_pitcher': {'Salary': 5800.0, 'projected_FD_points': 10.510652747766571, 'confidence': -0.79376730867959733, 'FD_Position': 'P'}, 'Scooter Gennett_batter': {'Salary': 2200.0, 'projected_FD_points': 2.1589096528103688, 'confidence': -0.75093468589768997, 'FD_Position': '2B'}}</t>
  </si>
  <si>
    <t>{'Russell Martin_batter': {'Salary': 3500.0, 'projected_FD_points': 2.7358156028368796, 'confidence': -0.0059172541190517514, 'FD_Position': 'C'}, 'Neil Walker_batter': {'Salary': 2700.0, 'projected_FD_points': 2.5907738095238093, 'confidence': -0.16944663931253934, 'FD_Position': '2B'}, 'David Ortiz_batter': {'Salary': 2400.0, 'projected_FD_points': 2.7352071005917158, 'confidence': -0.00056283528489520229, 'FD_Position': '1B'}, 'Mikie Mahtook_batter': {'Salary': 2200.0, 'projected_FD_points': 3.8166666666666664, 'confidence': 0, 'FD_Position': 'OF'}, 'Justin Turner_batter': {'Salary': 2800.0, 'projected_FD_points': 2.7529069767441858, 'confidence': -0.029548756205633131, 'FD_Position': '3B'},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'Clayton Kershaw_pitcher': {'Salary': 12000.0, 'projected_FD_points': 16.398506714139529, 'confidence': -0.019354222708211299, 'FD_Position': 'P'}, 'Dexter Fowler_batter': {'Salary': 3300.0, 'projected_FD_points': 3.4030247483302318, 'confidence': 0.025710248022484228, 'FD_Position': 'OF'}}</t>
  </si>
  <si>
    <t>{'Michael Brantley_batter': {'Salary': 3600.0, 'projected_FD_points': 3.1617080065452279, 'confidence': 0.060610326786895485, 'FD_Position': 'OF'}, 'Neil Walker_batter': {'Salary': 2700.0, 'projected_FD_points': 2.5907738095238093, 'confidence': -0.16944663931253934, 'FD_Position': '2B'}, 'Jonathan Lucroy_batter': {'Salary': 2600.0, 'projected_FD_points': 2.3328099895214809, 'confidence': 0.0062792601433651063, 'FD_Position': 'C'}, 'David Ortiz_batter': {'Salary': 2400.0, 'projected_FD_points': 2.7352071005917158, 'confidence': -0.00056283528489520229, 'FD_Position': '1B'}, 'Mikie Mahtook_batter': {'Salary': 2200.0, 'projected_FD_points': 3.8166666666666664, 'confidence': 0, 'FD_Position': 'OF'},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'Anthony Rendon_batter': {'Salary': 3400.0, 'projected_FD_points': 3.0503472222222223, 'confidence': -1.3672114474137369, 'FD_Position': '3B'}, 'Clayton Kershaw_pitcher': {'Salary': 12000.0, 'projected_FD_points': 16.398506714139529, 'confidence': -0.019354222708211299, 'FD_Position': 'P'}}</t>
  </si>
  <si>
    <t>FD Median/HR Factors (2014/2015 Season) (should replicate 32.88 score from before)</t>
  </si>
  <si>
    <t>{'Dexter Fowler_batter': {'Salary': 3200.0, 'projected_FD_points': 3.6477946355068225, 'confidence': -0.0067329637569513157, 'FD_Position': 'OF'}, 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'Lucas Duda_batter': {'Salary': 3100.0, 'projected_FD_points': 2.9717174874765204, 'confidence': -0.43643231790909875, 'FD_Position': '1B'},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'Josh Donaldson_batter': {'Salary': 3900.0, 'projected_FD_points': 3.0430424381008643, 'confidence': -0.046331843589660249, 'FD_Position': '3B'}, 'Michael Cuddyer_batter': {'Salary': 2500.0, 'projected_FD_points': 2.7846599626655757, 'confidence': -2.1060961700504581, 'FD_Position': 'OF'}}</t>
  </si>
  <si>
    <t>{'Michael Brantley_batter': {'Salary': 4400.0, 'projected_FD_points': 3.2110753200650812, 'confidence': -0.11062785196930203,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2.7675408736210416, 'confidence': -0.0025159578294886575, 'FD_Position': '2B'}}</t>
  </si>
  <si>
    <t>{'Johnny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'Kyle Seager_batter': {'Salary': 3200.0, 'projected_FD_points': 2.827223307801876, 'confidence': -0.0025711724482051501, 'FD_Position': '3B'}, 'Blake Swihart_batter': {'Salary': 2200.0, 'projected_FD_points': 3.1614883401920428, 'confidence': 0, 'FD_Position': 'C'}, 'Chris Colabello_batter': {'Salary': 2400.0, 'projected_FD_points': 2.5882403909611686, 'confidence': 0.15858324165751569, 'FD_Position': 'OF'}, 'Mookie Betts_batter': {'Salary': 3400.0, 'projected_FD_points': 2.6893706378221593, 'confidence': -0.35052546458525025, 'FD_Position': 'OF'}, 'David Ortiz_batter': {'Salary': 2700.0, 'projected_FD_points': 2.5647903472026963, 'confidence': -0.03856247351483133, 'FD_Position': '1B'}, 'Troy Tulowitzki_batter': {'Salary': 4300.0, 'projected_FD_points': 3.0507139472372202, 'confidence': -0.069183996162637706, 'FD_Position': 'SS'}, 'Jayson Werth_batter': {'Salary': 2900.0, 'projected_FD_points': 2.6540998926303736, 'confidence': -0.011972469817856268, 'FD_Position': 'OF'}}</t>
  </si>
  <si>
    <t>{'Adrian Beltre_batter': {'Salary': 3100.0, 'projected_FD_points': 2.6058282208588959, 'confidence': -0.043045007324761464, 'FD_Position': '3B'}, 'Starlin Castro_batter': {'Salary': 3100.0, 'projected_FD_points': 2.2508713216365006, 'confidence': -0.023492626007624695, 'FD_Position': 'SS'}, 'Anthony Rizzo_batter': {'Salary': 4500.0, 'projected_FD_points': 3.3910293709030723, 'confidence': -0.10832418373608843,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1.6692454713881559, 'confidence': 0.011809124346899735, 'FD_Position': '2B'}, 'Carlos Corporan_batter': {'Salary': 2200.0, 'projected_FD_points': 2.1613552671854857, 'confidence': -7.2230173454150854, 'FD_Position': 'C'}}</t>
  </si>
  <si>
    <t>{'Ian Desmond_batter': {'Salary': 2600.0, 'projected_FD_points': 2.2682323676844449, 'confidence': -0.0027170614674705273, 'FD_Position': 'SS'}, 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'Dexter Fowler_batter': {'Salary': 3100.0, 'projected_FD_points': 3.882107794698701, 'confidence': -0.0052660425580599579, 'FD_Position': 'OF'}, 'Kyle Seager_batter': {'Salary': 3100.0, 'projected_FD_points': 2.9021421434390247, 'confidence': -0.06532543897853893, 'FD_Position': '3B'}}</t>
  </si>
  <si>
    <t>{'J.D.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'Brett Lawrie_batter': {'Salary': 2200.0, 'projected_FD_points': 2.2737956377742883, 'confidence': -0.21327915877925618, 'FD_Position': '3B'},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'Troy Tulowitzki_batter': {'Salary': 4200.0, 'projected_FD_points': 3.2801322204620833, 'confidence': -0.53057098018294435, 'FD_Position': 'SS'}, 'Chris Colabello_batter': {'Salary': 2300.0, 'projected_FD_points': 2.5186253295472287, 'confidence': 0.15201317345275467, 'FD_Position': 'OF'}}</t>
  </si>
  <si>
    <t>{'Kris Bryant_batter': {'Salary': 3800.0, 'projected_FD_points': 3.7163845805296138, 'confidence': -0.79142406878147509, 'FD_Position': '3B'}, 'Jimmy Paredes_batter': {'Salary': 3500.0, 'projected_FD_points': 3.4307963699186144, 'confidence': -0.075533172665657622, 'FD_Position': '2B'}, 'Chris Iannetta_batter': {'Salary': 2200.0, 'projected_FD_points': 2.0898385541988613, 'confidence': -0.69132480035814226, 'FD_Position': 'C'},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'Daniel Santana_batter': {'Salary': 2700.0, 'projected_FD_points': 2.5298326392379313, 'confidence': -0.004003756353295751, 'FD_Position': 'SS'}, 'Dexter Fowler_batter': {'Salary': 3400.0, 'projected_FD_points': 3.8733622456220731, 'confidence': -0.13882959395201833, 'FD_Position': 'OF'}, 'Danny Salazar_pitcher': {'Salary': 8700.0, 'projected_FD_points': 15.491560840581144, 'confidence': -0.33781223203406707, 'FD_Position': 'P'}, 'Giancarlo Stanton_batter': {'Salary': 4600.0, 'projected_FD_points': 3.6388572199716065, 'confidence': -0.071057802996346453, 'FD_Position': 'OF'}}</t>
  </si>
  <si>
    <t>{'Yoenis Cespedes_batter': {'Salary': 2800.0, 'projected_FD_points': 2.5710059171597632, 'confidence': -0.0016348453648360461, 'FD_Position': 'OF'}, 'Kris Bryant_batter': {'Salary': 3800.0, 'projected_FD_points': 3.7163845805296138, 'confidence': -0.79142406878147509, 'FD_Position': '3B'}, 'Anthony Rizzo_batter': {'Salary': 4500.0, 'projected_FD_points': 3.4108044711229368, 'confidence': -0.043588990995125698, 'FD_Position': '1B'}, 'Gerrit Cole_pitcher': {'Salary': 9300.0, 'projected_FD_points': 14.808239277652373, 'confidence': -1.2484743499664561, 'FD_Position': 'P'}, 'Neil Walker_batter': {'Salary': 2900.0, 'projected_FD_points': 2.5547336768066828, 'confidence': -0.24061496973616459, 'FD_Position': '2B'},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1.8645674413555273, 'confidence': -0.94440699222759306, 'FD_Position': 'C'}, 'Dexter Fowler_batter': {'Salary': 3400.0, 'projected_FD_points': 3.8733622456220731, 'confidence': -0.13882959395201833, 'FD_Position': 'OF'}}</t>
  </si>
  <si>
    <t>{'Michael Brantley_batter': {'Salary': 4700.0, 'projected_FD_points': 3.3631449406499812, 'confidence': 0.016962533394829449, 'FD_Position': 'OF'}, 'Jimmy Paredes_batter': {'Salary': 3500.0, 'projected_FD_points': 3.4307963699186144, 'confidence': -0.075533172665657622, 'FD_Position': '2B'}, 'Ian Desmond_batter': {'Salary': 2500.0, 'projected_FD_points': 2.3167977601583734, 'confidence': -0.019010341208013593, 'FD_Position': 'SS'}, 'Russell Martin_batter': {'Salary': 3600.0, 'projected_FD_points': 2.6742947560160828, 'confidence': -0.010039541376537064, 'FD_Position': 'C'}, 'Josh Donaldson_batter': {'Salary': 3700.0, 'projected_FD_points': 3.0222119810858912, 'confidence': -0.067298564331321531, 'FD_Position': '3B'},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'Chris Colabello_batter': {'Salary': 2300.0, 'projected_FD_points': 2.7893275880924815, 'confidence': -0.1698727805496778, 'FD_Position': 'OF'}, 'Danny Salazar_pitcher': {'Salary': 8700.0, 'projected_FD_points': 15.491560840581144, 'confidence': -0.33781223203406707, 'FD_Position': 'P'}}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</si>
  <si>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'Eddie Rosario_batter': {'Salary': 2600.0, 'projected_FD_points': 6.6428007889546343, 'confidence': 0, 'FD_Position': 'OF'}, 'Prince Fielder_batter': {'Salary': 3500.0, 'projected_FD_points': 3.1868202334237163, 'confidence': -0.35403610963074716, 'FD_Position': '1B'},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</si>
  <si>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'Neil Walker_batter': {'Salary': 2900.0, 'projected_FD_points': 2.4873999963767517, 'confidence': -0.21580159065973037, 'FD_Position': '2B'}, 'Eddie Rosario_batter': {'Salary': 2600.0, 'projected_FD_points': 6.6428007889546343, 'confidence': 0, 'FD_Position': 'OF'},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</si>
  <si>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2.7177868684631683, 'confidence': -0.0072698392895338415, 'FD_Position': 'C'},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</si>
  <si>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{'Adam Eaton_batter': {'Salary': 2700.0, 'projected_FD_points': 2.7788641446106999, 'confidence': -0.69830479790342159, 'FD_Position': 'OF'}, 'J.D. Martinez_batter': {'Salary': 3300.0, 'projected_FD_points': 3.0807376732268739, 'confidence': -0.0092821508232703298, 'FD_Position': 'OF'}, 'Robinson Cano_batter': {'Salary': 3200.0, 'projected_FD_points': 2.4754335260115607, 'confidence': -0.042367503659227701, 'FD_Position': '2B'}, 'Wilin Rosario_batter': {'Salary': 2900.0, 'projected_FD_points': 2.0845229174940245, 'confidence': -0.10570746447739632, 'FD_Position': 'C'}, 'Matt Carpenter_batter': {'Salary': 4200.0, 'projected_FD_points': 3.1060598498652183, 'confidence': -1.1495192262177105, 'FD_Position': '3B'}, 'Justin Upton_batter': {'Salary': 4000.0, 'projected_FD_points': 3.0806679435961986, 'confidence': -0.16436326068028961, 'FD_Position': 'OF'}, 'Lance Lynn_pitcher': {'Salary': 8600.0, 'projected_FD_points': 13.138866923240107, 'confidence': -0.22668305734051297, 'FD_Position': 'P'}, 'Jose Abreu_batter': {'Salary': 3600.0, 'projected_FD_points': 3.3259018981878801, 'confidence': -0.1042163075309801, 'FD_Position': '1B'}, 'Alexei Ramirez_batter': {'Salary': 2500.0, 'projected_FD_points': 2.1578947368421053, 'confidence': -0.02632685618552566, 'FD_Position': 'SS'}}</t>
  </si>
  <si>
    <t>{'Kolten Wong_batter': {'Salary': 3100.0, 'projected_FD_points': 2.135910624813659, 'confidence': -0.03727588541830773, 'FD_Position': '2B'}, 'J.D. Martinez_batter': {'Salary': 3300.0, 'projected_FD_points': 2.8440096243312101, 'confidence': -0.028526274256548412, 'FD_Position': 'OF'}, 'Chris Iannetta_batter': {'Salary': 2300.0, 'projected_FD_points': 2.3717287912544589, 'confidence': -0.075862850178556318, 'FD_Position': 'C'}, 'Lucas Duda_batter': {'Salary': 3000.0, 'projected_FD_points': 2.9412482111929621, 'confidence': -0.056395236633940193, 'FD_Position': '1B'}, 'Chris Sale_pitcher': {'Salary': 10000.0, 'projected_FD_points': 16.846570256897913, 'confidence': -0.55299518325964403, 'FD_Position': 'P'}, 'Josh Donaldson_batter': {'Salary': 3700.0, 'projected_FD_points': 2.8295008509297652, 'confidence': -0.082603877621929556, 'FD_Position': '3B'}, 'Chris Colabello_batter': {'Salary': 2300.0, 'projected_FD_points': 2.5341652154923819, 'confidence': -0.12203053274601738, 'FD_Position': 'OF'},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</si>
  <si>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{'Kolten Wong_batter': {'Salary': 3100.0, 'projected_FD_points': 2.135910624813659, 'confidence': -0.03727588541830773, 'FD_Position': '2B'}, 'Ben Revere_batter': {'Salary': 3000.0, 'projected_FD_points': 2.6555282155043805, 'confidence': -0.00029517468002127067, 'FD_Position': 'OF'}, 'Michael Cuddyer_batter': {'Salary': 2500.0, 'projected_FD_points': 2.5164536422512178, 'confidence': -1.0762501076515596, 'FD_Position': 'OF'}, 'Lucas Duda_batter': {'Salary': 3000.0, 'projected_FD_points': 2.9412482111929621, 'confidence': -0.056395236633940193, 'FD_Position': '1B'}, 'Aramis Ramirez_batter': {'Salary': 2900.0, 'projected_FD_points': 2.3195714352399985, 'confidence': -2.112485966300484, 'FD_Position': '3B'}, 'Chris Sale_pitcher': {'Salary': 10000.0, 'projected_FD_points': 16.846570256897913, 'confidence': -0.55299518325964403, 'FD_Position': 'P'}, 'Victor Martinez_batter': {'Salary': 3300.0, 'projected_FD_points': 2.4733686444635721, 'confidence': -0.086771285426661127, 'FD_Position': 'C'},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</si>
  <si>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{'Albert Pujols_batter': {'Salary': 2900.0, 'projected_FD_points': 2.6560693641618496, 'confidence': -0.17800344031435111, 'FD_Position': '1B'}, 'Matt Kemp_batter': {'Salary': 3100.0, 'projected_FD_points': 2.4522653312226725, 'confidence': -0.0059515384057422516, 'FD_Position': 'OF'}, 'Seth Smith_batter': {'Salary': 2400.0, 'projected_FD_points': 1.9775862068965517, 'confidence': -0.047598964127218313,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1.5972222222222223, 'confidence': -0.14022627245077635, 'FD_Position': 'C'}, 'Kyle Seager_batter': {'Salary': 3000.0, 'projected_FD_points': 2.7573001645055752, 'confidence': 0.034940998456308381, 'FD_Position': '3B'}, 'Troy Tulowitzki_batter': {'Salary': 4400.0, 'projected_FD_points': 2.9439179784273932, 'confidence': -0.032090654208281721, 'FD_Position': 'SS'}, 'Nelson Cruz_batter': {'Salary': 4800.0, 'projected_FD_points': 3.302544628706416, 'confidence': -0.31414599264151821,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</si>
  <si>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'Ian Kennedy_pitcher': {'Salary': 8000.0, 'projected_FD_points': 13.671510048241956, 'confidence': -2.517765893649925, 'FD_Position': 'P'}, 'J.D. Martinez_batter': {'Salary': 3000.0, 'projected_FD_points': 2.9031093519222426, 'confidence': -0.027420460454168349, 'FD_Position': 'OF'}, 'Victor Martinez_batter': {'Salary': 3500.0, 'projected_FD_points': 2.7913728170115135, 'confidence': 0.12983603293777102, 'FD_Position': 'C'}, 'Joey Votto_batter': {'Salary': 3800.0, 'projected_FD_points': 3.4040138292574653, 'confidence': -1.3430493324273272, 'FD_Position': '1B'}, 'Dexter Fowler_batter': {'Salary': 3300.0, 'projected_FD_points': 3.8739555906887468, 'confidence': -0.0975485654409185, 'FD_Position': 'OF'}, 'Brandon Crawford_batter': {'Salary': 2200.0, 'projected_FD_points': 2.2398325721783743, 'confidence': -0.27238152489064626, 'FD_Position': 'SS'}, 'Giancarlo Stanton_batter': {'Salary': 4500.0, 'projected_FD_points': 3.4119496855345912, 'confidence': -0.0081952361433581533,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</si>
  <si>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'J.D. Martinez_batter': {'Salary': 3000.0, 'projected_FD_points': 2.9031093519222426, 'confidence': -0.027420460454168349, 'FD_Position': 'OF'},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2.7913728170115135, 'confidence': 0.12983603293777102, 'FD_Position': 'C'}, 'Lance Lynn_pitcher': {'Salary': 8200.0, 'projected_FD_points': 12.123577408623346, 'confidence': -0.21041335983077047, 'FD_Position': 'P'}, 'Joey Votto_batter': {'Salary': 3800.0, 'projected_FD_points': 3.4040138292574653, 'confidence': -1.3430493324273272, 'FD_Position': '1B'}, 'Andrew McCutchen_batter': {'Salary': 3800.0, 'projected_FD_points': 3.1012450566525813, 'confidence': -0.029060234091846215, 'FD_Position': 'OF'}}</t>
  </si>
  <si>
    <t>{'Albert Pujols_batter': {'Salary': 2900.0, 'projected_FD_points': 2.5944767441860463, 'confidence': -0.013323537950364894, 'FD_Position': '1B'},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'Robinson Cano_batter': {'Salary': 3400.0, 'projected_FD_points': 2.5625482872791001, 'confidence': -0.01590514235329743, 'FD_Position': '2B'}, 'Marcus Semien_batter': {'Salary': 3300.0, 'projected_FD_points': 2.5596897971184944, 'confidence': -0.94613971298365707, 'FD_Position': 'SS'}, 'Marcell Ozuna_batter': {'Salary': 3100.0, 'projected_FD_points': 2.6297976575106814, 'confidence': -0.065218129593163976, 'FD_Position': 'OF'}, 'Kyle Seager_batter': {'Salary': 3000.0, 'projected_FD_points': 2.5397512049158095, 'confidence': -0.077040704893663436, 'FD_Position': '3B'}, 'Giancarlo Stanton_batter': {'Salary': 4500.0, 'projected_FD_points': 3.4119496855345912, 'confidence': -0.0081952361433581533, 'FD_Position': 'OF'}}</t>
  </si>
  <si>
    <t>{'Robinson Chirinos_batter': {'Salary': 2500.0, 'projected_FD_points': 2.3076247759253543, 'confidence': -0.65586840715152439, 'FD_Position': 'C'}, 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'Jose Altuve_batter': {'Salary': 4600.0, 'projected_FD_points': 2.6948284678286738, 'confidence': -0.047331763622079359, 'FD_Position': '2B'}, 'Carlos Gomez_batter': {'Salary': 3700.0, 'projected_FD_points': 2.7935269114603263, 'confidence': -0.023330954743343346, 'FD_Position': 'OF'}, 'Dexter Fowler_batter': {'Salary': 3300.0, 'projected_FD_points': 3.8739555906887468, 'confidence': -0.0975485654409185, 'FD_Position': 'OF'}, 'Michael Cuddyer_batter': {'Salary': 2600.0, 'projected_FD_points': 2.5601956117367042, 'confidence': 0.00090007416936888074, 'FD_Position': 'OF'}, 'Brandon Crawford_batter': {'Salary': 2200.0, 'projected_FD_points': 2.2398325721783743, 'confidence': -0.27238152489064626, 'FD_Position': 'SS'}, 'Collin McHugh_pitcher': {'Salary': 8800.0, 'projected_FD_points': 13.016798442797942, 'confidence': -1.631894781811206, 'FD_Position': 'P'}}</t>
  </si>
  <si>
    <t>{'Robinson Chirinos_batter': {'Salary': 2500.0, 'projected_FD_points': 2.1197970902383148, 'confidence': 0.017370722218850054, 'FD_Position': 'C'}, 'Gerrit Cole_pitcher': {'Salary': 9000.0, 'projected_FD_points': 13.078376830262467, 'confidence': -0.69817999854755652, 'FD_Position': 'P'}, 'Ian Desmond_batter': {'Salary': 2900.0, 'projected_FD_points': 2.252762617046753, 'confidence': -0.016277132323329058, 'FD_Position': 'SS'}, 'Devon Travis_batter': {'Salary': 3400.0, 'projected_FD_points': 5.5956958434746831, 'confidence': -0.23548976174222713, 'FD_Position': '2B'}, 'Alex Rodriguez_batter': {'Salary': 3400.0, 'projected_FD_points': 2.9821362953627846, 'confidence': 0.0, 'FD_Position': '3B'}, 'Dexter Fowler_batter': {'Salary': 3300.0, 'projected_FD_points': 4.0549396935698638, 'confidence': -0.14421379862176176, 'FD_Position': 'OF'}, 'Giancarlo Stanton_batter': {'Salary': 4500.0, 'projected_FD_points': 3.7919845717497234, 'confidence': -0.97754962398819378, 'FD_Position': 'OF'}, 'Michael Cuddyer_batter': {'Salary': 2600.0, 'projected_FD_points': 2.6168363790647629, 'confidence': -0.83687627257555963, 'FD_Position': 'OF'}, 'Jose Abreu_batter': {'Salary': 3400.0, 'projected_FD_points': 3.054009266874588, 'confidence': -0.116678909391432, 'FD_Position': '1B'}}</t>
  </si>
  <si>
    <t>{'Chris Owings_batter': {'Salary': 3000.0, 'projected_FD_points': 2.3197333256594916, 'confidence': -0.71663453239705999, 'FD_Position': 'SS'}, 'Max Scherzer_pitcher': {'Salary': 10900.0, 'projected_FD_points': 13.406438851374396, 'confidence': -7.2621090392387906, 'FD_Position': 'P'}, 'Christian Yelich_batter': {'Salary': 2700.0, 'projected_FD_points': 2.545774647887324, 'confidence': -0.17912195388053753, 'FD_Position': 'OF'}, 'Brett Lawrie_batter': {'Salary': 2400.0, 'projected_FD_points': 2.2241428943989727, 'confidence': -0.089602917751731015, 'FD_Position': '3B'}, 'Yasmani Grandal_batter': {'Salary': 3000.0, 'projected_FD_points': 2.0989973907230053, 'confidence': -0.18043973126319246, 'FD_Position': 'C'}, 'Giancarlo Stanton_batter': {'Salary': 4500.0, 'projected_FD_points': 3.7919845717497234, 'confidence': -0.97754962398819378, 'FD_Position': 'OF'}, 'Jayson Werth_batter': {'Salary': 3100.0, 'projected_FD_points': 2.6692290509456646, 'confidence': -0.47039443700329664, 'FD_Position': 'OF'}, 'Mike Napoli_batter': {'Salary': 2200.0, 'projected_FD_points': 2.2296188823511387, 'confidence': -0.00025328754805853393, 'FD_Position': '1B'},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</si>
  <si>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'Starlin Castro_batter': {'Salary': 3200.0, 'projected_FD_points': 2.1071428571428572, 'confidence': -0.062566918530321258, 'FD_Position': 'SS'}, 'Anthony Rizzo_batter': {'Salary': 4400.0, 'projected_FD_points': 3.2650695232198941, 'confidence': -0.0035624871343922226, 'FD_Position': '1B'}, 'Alex Gordon_batter': {'Salary': 3200.0, 'projected_FD_points': 2.6564220903035101, 'confidence': -0.12313574874974575, 'FD_Position': 'OF'}, 'Daniel Murphy_batter': {'Salary': 2700.0, 'projected_FD_points': 1.9288429132182126, 'confidence': -0.28626270754579619, 'FD_Position': '2B'}, 'Adrian Beltre_batter': {'Salary': 2700.0, 'projected_FD_points': 2.5431825681244389, 'confidence': -0.024233743838750321, 'FD_Position': '3B'}, 'Dexter Fowler_batter': {'Salary': 3300.0, 'projected_FD_points': 4.0549396935698638, 'confidence': -0.14421379862176176, 'FD_Position': 'OF'}, 'Michael Cuddyer_batter': {'Salary': 2600.0, 'projected_FD_points': 2.6168363790647629, 'confidence': -0.83687627257555963, 'FD_Position': 'OF'}, 'Jon Lester_pitcher': {'Salary': 9100.0, 'projected_FD_points': 12.793093967018295, 'confidence': -0.69658599814993138, 'FD_Position': 'P'}}</t>
  </si>
  <si>
    <t>{'Michael Brantley_batter': {'Salary': 4300.0, 'projected_FD_points': 3.3406264862294091, 'confidence': 0.00892382344900855,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3.2853767073506139, 'confidence': 0.051306438568248347, 'FD_Position': 'SS'}, 'Chris Colabello_batter': {'Salary': 2300.0, 'projected_FD_points': 3.0609739183768458, 'confidence': -0.067525641369369449, 'FD_Position': 'OF'}, 'Victor Martinez_batter': {'Salary': 3600.0, 'projected_FD_points': 2.6909643471799374, 'confidence': -0.031540603831416103, 'FD_Position': 'C'}, 'Jose Abreu_batter': {'Salary': 3500.0, 'projected_FD_points': 3.1884399813171411, 'confidence': -0.042073811395384686, 'FD_Position': '1B'}}</t>
  </si>
  <si>
    <t>{'Michael Brantley_batter': {'Salary': 4300.0, 'projected_FD_points': 3.3406264862294091, 'confidence': 0.00892382344900855, 'FD_Position': 'OF'}, 'Wandy Rodriguez_pitcher': {'Salary': 6000.0, 'projected_FD_points': 14.738330046022355, 'confidence': 0, 'FD_Position': 'P'}, 'Anthony Rizzo_batter': {'Salary': 4500.0, 'projected_FD_points': 3.2894736842105261, 'confidence': -1.4446745040253006e-06, 'FD_Position': '1B'},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3.3630198964648361, 'confidence': -0.043157869219493605,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'OF'}}</t>
  </si>
  <si>
    <t>{'Brandon Belt_batter': {'Salary': 3000.0, 'projected_FD_points': 2.2688172043010755, 'confidence': -0.70057724833681845, 'FD_Position': '1B'}, 'J.D. Martinez_batter': {'Salary': 3000.0, 'projected_FD_points': 2.9422749736048743, 'confidence': -0.014417988111919966, 'FD_Position': 'OF'}, 'Robinson Cano_batter': {'Salary': 3400.0, 'projected_FD_points': 2.5163726926438508, 'confidence': -0.048364541595397714, 'FD_Position': '2B'}, 'Seth Smith_batter': {'Salary': 2300.0, 'projected_FD_points': 2.2452325258692465, 'confidence': -0.71064456563624367, 'FD_Position': 'OF'}, 'Marcus Semien_batter': {'Salary': 2700.0, 'projected_FD_points': 2.4760115606936415, 'confidence': -0.059160155325420849, 'FD_Position': 'SS'}, 'Clayton Kershaw_pitcher': {'Salary': 11200.0, 'projected_FD_points': 16.010934578906316, 'confidence': -3.814182389058665, 'FD_Position': 'P'}, 'Christian Yelich_batter': {'Salary': 2800.0, 'projected_FD_points': 2.4239204004690742, 'confidence': -0.016275894381262201,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</si>
  <si>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{'Ben Revere_batter': {'Salary': 2700.0, 'projected_FD_points': 2.6580527112536112, 'confidence': -0.11675603296174386, 'FD_Position': 'OF'}, 'Johnny Cueto_pitcher': {'Salary': 10500.0, 'projected_FD_points': 15.189127738589466, 'confidence': 0.10549480663178934, 'FD_Position': 'P'}, 'Robinson Cano_batter': {'Salary': 3400.0, 'projected_FD_points': 2.5122440165556954, 'confidence': -0.03606100664947598, 'FD_Position': '2B'}, 'Marcus Semien_batter': {'Salary': 2800.0, 'projected_FD_points': 2.3069336846902182, 'confidence': 0.044750567848461986,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'Kyle Seager_batter': {'Salary': 3000.0, 'projected_FD_points': 2.8139063337860635, 'confidence': -0.019762910394018673, 'FD_Position': '3B'}, 'Jose Abreu_batter': {'Salary': 3500.0, 'projected_FD_points': 3.1746684032797807, 'confidence': 0.016098010774628024, 'FD_Position': '1B'}, 'Andrew McCutchen_batter': {'Salary': 3900.0, 'projected_FD_points': 3.1942827348009302, 'confidence': -0.0414578314194467, 'FD_Position': 'OF'}}</t>
  </si>
  <si>
    <t>{'Phil Hughes_pitcher': {'Salary': 7900.0, 'projected_FD_points': 11.745357614411455, 'confidence': 0.22099184163547259, 'FD_Position': 'P'}, 'Michael Brantley_batter': {'Salary': 4200.0, 'projected_FD_points': 3.4052505698360909, 'confidence': -0.10987475935945201, 'FD_Position': 'OF'}, 'Brian Dozier_batter': {'Salary': 3200.0, 'projected_FD_points': 2.577833402842213, 'confidence': -0.047682780098198263, 'FD_Position': '2B'}, 'Brandon Moss_batter': {'Salary': 3400.0, 'projected_FD_points': 2.5801282051282053, 'confidence': -0.070865394861802322, 'FD_Position': 'OF'}, 'Prince Fielder_batter': {'Salary': 3200.0, 'projected_FD_points': 2.9123028655482526, 'confidence': -0.20382282473145397,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2.6147798742138364, 'confidence': -0.2205182947889055, 'FD_Position': '3B'}, 'Jayson Werth_batter': {'Salary': 2900.0, 'projected_FD_points': 2.5424235717734107, 'confidence': -0.029191832619715585, 'FD_Position': 'OF'}}</t>
  </si>
  <si>
    <t>{'Kevin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'Josh Donaldson_batter': {'Salary': 3600.0, 'projected_FD_points': 2.9336110479073891, 'confidence': -0.024160829569953357, 'FD_Position': '3B'}, 'Prince Fielder_batter': {'Salary': 3300.0, 'projected_FD_points': 2.980235632548597, 'confidence': -0.11878488244879004, 'FD_Position': '1B'}, 'Daniel Santana_batter': {'Salary': 3000.0, 'projected_FD_points': 2.5735805032710384, 'confidence': 0.0094150873734738516, 'FD_Position': 'SS'}, 'David Price_pitcher': {'Salary': 10900.0, 'projected_FD_points': 13.921386284500185, 'confidence': -0.056387180591165986, 'FD_Position': 'P'}, 'Dexter Fowler_batter': {'Salary': 3000.0, 'projected_FD_points': 3.0990285852137012, 'confidence': -0.37208531661274535, 'FD_Position': 'OF'}, 'Michael Cuddyer_batter': {'Salary': 2600.0, 'projected_FD_points': 3.0517277930558722, 'confidence': -0.39008801305713137, 'FD_Position': 'OF'},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</si>
  <si>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'Chris Owings_batter': {'Salary': 2600.0, 'projected_FD_points': 2.2955995411857479, 'confidence': -0.23298880559359736, 'FD_Position': 'SS'}, 'Prince Fielder_batter': {'Salary': 3300.0, 'projected_FD_points': 3.1440660002677498, 'confidence': 0.15624063542259248, 'FD_Position': '1B'}, 'Adrian Beltre_batter': {'Salary': 2800.0, 'projected_FD_points': 2.3853820309332097, 'confidence': -0.40405171394338013, 'FD_Position': '3B'}, 'Justin Upton_batter': {'Salary': 4200.0, 'projected_FD_points': 3.0587678941958849, 'confidence': -0.14851387704055452, 'FD_Position': 'OF'}, 'Giancarlo Stanton_batter': {'Salary': 4700.0, 'projected_FD_points': 3.5209677419354839, 'confidence': -0.0006202470705063412, 'FD_Position': 'OF'}, 'Collin McHugh_pitcher': {'Salary': 8400.0, 'projected_FD_points': 12.314814814814817, 'confidence': -0.018650279372852685, 'FD_Position': 'P'}, 'Andrew McCutchen_batter': {'Salary': 3700.0, 'projected_FD_points': 2.9741935483870967, 'confidence': -0.1126010194461684, 'FD_Position': 'OF'}}</t>
  </si>
  <si>
    <t>{'Kris Bryant_batter': {'Salary': 3600.0, 'projected_FD_points': 2.9255041320208504, 'confidence': -0.39664595812534653, 'FD_Position': '3B'}, 'Jimmy Paredes_batter': {'Salary': 3100.0, 'projected_FD_points': 3.7770682937006455, 'confidence': -1.9342026394406573, 'FD_Position': '2B'}, 'Melky Cabrera_batter': {'Salary': 2500.0, 'projected_FD_points': 2.6614420472020246, 'confidence': -1.1704491611773982, 'FD_Position': 'OF'}, 'J.D. Martinez_batter': {'Salary': 3200.0, 'projected_FD_points': 3.148513481657305, 'confidence': -0.10297090661606201, 'FD_Position': 'OF'}, 'Russell Martin_batter': {'Salary': 3500.0, 'projected_FD_points': 2.6610454915750807, 'confidence': -0.021019507405605875, 'FD_Position': 'C'}, 'Marcus Semien_batter': {'Salary': 2900.0, 'projected_FD_points': 2.525366076961296, 'confidence': -0.12921491532548357, 'FD_Position': 'SS'}, 'Jose Abreu_batter': {'Salary': 3600.0, 'projected_FD_points': 3.26221378949871, 'confidence': -0.039480222014427468, 'FD_Position': '1B'}, 'Kyle Blanks_batter': {'Salary': 2800.0, 'projected_FD_points': 3.1549029194021516, 'confidence': -4.558424425393536, 'FD_Position': 'OF'}, 'Chris Sale_pitcher': {'Salary': 9800.0, 'projected_FD_points': 13.86296296296296, 'confidence': -0.44776449445225919,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</si>
  <si>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'Dexter Fowler_batter': {'Salary': 3300.0, 'projected_FD_points': 3.1979572994806702, 'confidence': -0.025385406292878443, 'FD_Position': 'OF'}, 'Danny Salazar_pitcher': {'Salary': 7700.0, 'projected_FD_points': 13.739517084818743, 'confidence': 0.0268496899918792, 'FD_Position': 'P'}, 'Giancarlo Stanton_batter': {'Salary': 4800.0, 'projected_FD_points': 3.6879084967320264, 'confidence': -0.63389256884202516, 'FD_Position': 'OF'}, 'Jose Abreu_batter': {'Salary': 3600.0, 'projected_FD_points': 3.1595132486313955, 'confidence': -0.019011264055856403, 'FD_Position': '1B'}}</t>
  </si>
  <si>
    <t>{'Robinson Chirinos_batter': {'Salary': 2300.0, 'projected_FD_points': 2.0241299409359383, 'confidence': 0.025146319887164426, 'FD_Position': 'C'}, 'Odubel Herrera_batter': {'Salary': 3000.0, 'projected_FD_points': 3.1094037505141294, 'confidence': -1.0709255524646983, 'FD_Position': 'OF'}, 'Ian Desmond_batter': {'Salary': 2800.0, 'projected_FD_points': 2.3979263794787351, 'confidence': -0.26471457152619249, 'FD_Position': 'SS'},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'Prince Fielder_batter': {'Salary': 3400.0, 'projected_FD_points': 3.145140746262113, 'confidence': -0.15080109249016171, 'FD_Position': '1B'}, 'Clayton Kershaw_pitcher': {'Salary': 11300.0, 'projected_FD_points': 16.593746046662933, 'confidence': 0.042807667956710427, 'FD_Position': 'P'}, 'Kyle Seager_batter': {'Salary': 2800.0, 'projected_FD_points': 2.5190373440710769, 'confidence': -0.023730191174270443, 'FD_Position': '3B'},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</si>
  <si>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3.3150684931506849, 'confidence': -0.055508658862155613, 'FD_Position': '1B'}, 'Stephen Vogt_batter': {'Salary': 3000.0, 'projected_FD_points': 2.0730740811893189, 'confidence': -0.055086821092565463,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2.7738111867760895, 'confidence': 0.0019278984775433772, 'FD_Position': '3B'}}</t>
  </si>
  <si>
    <t>{'Albert Pujols_batter': {'Salary': 3100.0, 'projected_FD_points': 2.6500591405677918, 'confidence': -0.05154160006410935, 'FD_Position': '1B'}, 'Matt Kemp_batter': {'Salary': 3600.0, 'projected_FD_points': 2.5614811274886171, 'confidence': -0.19362235370901582, 'FD_Position': 'OF'}, 'Seth Smith_batter': {'Salary': 2200.0, 'projected_FD_points': 2.0234289996056991, 'confidence': -0.092167014158493821, 'FD_Position': 'OF'}, 'Chris Iannetta_batter': {'Salary': 2200.0, 'projected_FD_points': 1.6858974358974359, 'confidence': -0.01012682120597086, 'FD_Position': 'C'}, 'Robinson Cano_batter': {'Salary': 3600.0, 'projected_FD_points': 2.5704776689030577, 'confidence': -0.025394943587103258, 'FD_Position': '2B'}, 'Felix Hernandez_pitcher': {'Salary': 11000.0, 'projected_FD_points': 15.362575675883853, 'confidence': 0.72294816490454206, 'FD_Position': 'P'}, 'Kyle Seager_batter': {'Salary': 2800.0, 'projected_FD_points': 2.5190373440710769, 'confidence': -0.023730191174270443, 'FD_Position': '3B'}, 'Justin Upton_batter': {'Salary': 4000.0, 'projected_FD_points': 3.0537222671104929, 'confidence': -0.21160905759846549, 'FD_Position': 'OF'}, 'Brandon Crawford_batter': {'Salary': 2500.0, 'projected_FD_points': 2.0999805813272503, 'confidence': -0.10386098106619479, 'FD_Position': 'SS'}}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</si>
  <si>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'Chris Owings_batter': {'Salary': 2300.0, 'projected_FD_points': 2.2629912573835691, 'confidence': -0.39910373673829702, 'FD_Position': 'SS'}, 'Kole Calhoun_batter': {'Salary': 3500.0, 'projected_FD_points': 2.6851851851851851, 'confidence': -0.15065032067165096, 'FD_Position': 'OF'}, 'Paul Goldschmidt_batter': {'Salary': 5100.0, 'projected_FD_points': 3.4593649906787114, 'confidence': -0.034267602906295158, 'FD_Position': '1B'}, 'Mookie Betts_batter': {'Salary': 3000.0, 'projected_FD_points': 2.544776119402985, 'confidence': -0.0017801150714837899, 'FD_Position': 'OF'}, 'Mike Trout_batter': {'Salary': 5500.0, 'projected_FD_points': 3.7196969696969697, 'confidence': -0.038895851099631562, 'FD_Position': 'OF'}, 'Michael McKenry_batter': {'Salary': 2200.0, 'projected_FD_points': 2.1894237654576001, 'confidence': -0.035130456908283092, 'FD_Position': 'C'}, 'Dustin Pedroia_batter': {'Salary': 2900.0, 'projected_FD_points': 2.1056338028169015, 'confidence': -0.20236481706616538, 'FD_Position': '2B'}}</t>
  </si>
  <si>
    <t>{'Odubel Herrera_batter': {'Salary': 3000.0, 'projected_FD_points': 3.8924290591532449, 'confidence': -0.93319818773347185, 'FD_Position': 'OF'}, 'Paulo Orlando_batter': {'Salary': 3000.0, 'projected_FD_points': 3.7129283489096574, 'confidence': 0.0,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'Brock Holt_batter': {'Salary': 2400.0, 'projected_FD_points': 2.2106481481481484, 'confidence': -0.0056044764773823808, 'FD_Position': '3B'}, 'Victor Martinez_batter': {'Salary': 3400.0, 'projected_FD_points': 2.6474165573364403, 'confidence': -0.11980593367144521, 'FD_Position': 'C'}, 'Addison Russell_batter': {'Salary': 2900.0, 'projected_FD_points': 8.2388888888888889, 'confidence': 0, 'FD_Position': '2B'}, 'Jose Abreu_batter': {'Salary': 4000.0, 'projected_FD_points': 3.4698275901370144, 'confidence': -1.2156392788286547, 'FD_Position': '1B'}}</t>
  </si>
  <si>
    <t>{'Russell Martin_batter': {'Salary': 3200.0, 'projected_FD_points': 2.6150807470838706, 'confidence': 0.0085995884318991189, 'FD_Position': 'C'}, 'Ben Revere_batter': {'Salary': 2500.0, 'projected_FD_points': 2.6841930403891814, 'confidence': -0.082826200813460149, 'FD_Position': 'OF'}, 'David Ortiz_batter': {'Salary': 3300.0, 'projected_FD_points': 2.952054794520548, 'confidence': -0.082861250513953877, 'FD_Position': '1B'}, 'Josh Donaldson_batter': {'Salary': 3900.0, 'projected_FD_points': 2.9863039265495361, 'confidence': 0.048611375884497265, 'FD_Position': '3B'},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'2B'}}</t>
  </si>
  <si>
    <t>{'Adrian Beltre_batter': {'Salary': 2900.0, 'projected_FD_points': 2.5829524997680959, 'confidence': -0.0053809462274432285,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2.6003685939686467, 'confidence': -0.077190050307679448, 'FD_Position': '1B'}, 'Josh Phegley_batter': {'Salary': 2200.0, 'projected_FD_points': 2.2833612040133779, 'confidence': -3.3165404234851961, 'FD_Position': 'C'}, 'Troy Tulowitzki_batter': {'Salary': 4300.0, 'projected_FD_points': 3.0876451512495411, 'confidence': -0.12053347049175822, 'FD_Position': 'SS'}, 'Adam Jones_batter': {'Salary': 4000.0, 'projected_FD_points': 2.921692464700349, 'confidence': -0.071195061593387399, 'FD_Position': 'OF'}, 'Justin Upton_batter': {'Salary': 3700.0, 'projected_FD_points': 3.0414219559973881, 'confidence': -0.33490530612132452, 'FD_Position': 'OF'}, 'Collin McHugh_pitcher': {'Salary': 8400.0, 'projected_FD_points': 12.709928485274423, 'confidence': -0.31243664806338978, 'FD_Position': 'P'}}</t>
  </si>
  <si>
    <t>{'Michael Brantley_batter': {'Salary': 3600.0, 'projected_FD_points': 3.2832977307925777, 'confidence': 0.048196978187183381, 'FD_Position': 'OF'}, 'Russell Martin_batter': {'Salary': 3200.0, 'projected_FD_points': 2.6150807470838706, 'confidence': 0.0085995884318991189, 'FD_Position': 'C'}, 'Odubel Herrera_batter': {'Salary': 3000.0, 'projected_FD_points': 3.8924290591532449, 'confidence': -0.93319818773347185, 'FD_Position': 'OF'}, 'Corey Kluber_pitcher': {'Salary': 9500.0, 'projected_FD_points': 14.130620601952655, 'confidence': -0.80536017394131365, 'FD_Position': 'P'}, 'Devon Travis_batter': {'Salary': 3400.0, 'projected_FD_points': 4.9800623404996864, 'confidence': -0.44069562919663463, 'FD_Position': '2B'}, 'Josh Donaldson_batter': {'Salary': 3900.0, 'projected_FD_points': 2.9863039265495361, 'confidence': 0.048611375884497265, 'FD_Position': '3B'}, 'Ben Revere_batter': {'Salary': 2500.0, 'projected_FD_points': 2.6841930403891814, 'confidence': -0.082826200813460149, 'FD_Position': 'OF'}, 'Carlos Santana_batter': {'Salary': 3300.0, 'projected_FD_points': 2.6618589743589745, 'confidence': -0.0051588037741887582, 'FD_Position': '1B'}, 'Brandon Crawford_batter': {'Salary': 2500.0, 'projected_FD_points': 1.9710982658959537, 'confidence': -0.014343111318477986, 'FD_Position': 'SS'}}</t>
  </si>
  <si>
    <t>{'Michael Brantley_batter': {'Salary': 3500.0, 'projected_FD_points': 3.1385417107567779, 'confidence': 0.061308803213778296,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'CC Sabathia_pitcher': {'Salary': 7600.0, 'projected_FD_points': 18.067700178813794, 'confidence': 0, 'FD_Position': 'P'}, 'Josh Donaldson_batter': {'Salary': 4000.0, 'projected_FD_points': 2.836417847986012, 'confidence': -0.00018534835278560813, 'FD_Position': '3B'}, 'Daniel Santana_batter': {'Salary': 2800.0, 'projected_FD_points': 2.6856704843236625, 'confidence': -0.2963424656413689, 'FD_Position': 'SS'}, 'Jose Abreu_batter': {'Salary': 4000.0, 'projected_FD_points': 3.2478150618841033, 'confidence': 0.041745801115497194, 'FD_Position': '1B'}, 'Victor Martinez_batter': {'Salary': 3400.0, 'projected_FD_points': 2.7836706833407665, 'confidence': 0.028432043165968035, 'FD_Position': 'C'}}</t>
  </si>
  <si>
    <t>{'Brian Dozier_batter': {'Salary': 2900.0, 'projected_FD_points': 2.8317610062893084, 'confidence': -0.1897632769829285, 'FD_Position': '2B'}, 'J.D. Martinez_batter': {'Salary': 3500.0, 'projected_FD_points': 3.1852254415209069, 'confidence': -0.10350667363383415, 'FD_Position': 'OF'}, 'Alex Gordon_batter': {'Salary': 3200.0, 'projected_FD_points': 2.5906432748538011, 'confidence': -0.016381465145890006, 'FD_Position': 'OF'}, 'Daniel Santana_batter': {'Salary': 2800.0, 'projected_FD_points': 2.6856704843236625, 'confidence': -0.2963424656413689, 'FD_Position': 'SS'}, 'Victor Martinez_batter': {'Salary': 3400.0, 'projected_FD_points': 2.7836706833407665, 'confidence': 0.028432043165968035, 'FD_Position': 'C'}, 'Kyle Seager_batter': {'Salary': 3000.0, 'projected_FD_points': 2.5878658690426826, 'confidence': -0.040432310769591417, 'FD_Position': '3B'}, 'Lance Lynn_pitcher': {'Salary': 8100.0, 'projected_FD_points': 11.283235368646993, 'confidence': -0.043113418417619176, 'FD_Position': 'P'}, 'Jose Abreu_batter': {'Salary': 4000.0, 'projected_FD_points': 3.2478150618841033, 'confidence': 0.041745801115497194, 'FD_Position': '1B'}, 'Andrew McCutchen_batter': {'Salary': 4100.0, 'projected_FD_points': 3.2235099337748343, 'confidence': -0.028729555866224388,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</si>
  <si>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'Chris Owings_batter': {'Salary': 2400.0, 'projected_FD_points': 2.1942143930292897, 'confidence': -0.045390069926396492, 'FD_Position': 'SS'}, 'Carlos Corporan_batter': {'Salary': 2200.0, 'projected_FD_points': 1.9984176622328542, 'confidence': -0.64417288861860778, 'FD_Position': 'C'}, 'Albert Pujols_batter': {'Salary': 3200.0, 'projected_FD_points': 2.626165345930096, 'confidence': -0.0028442599803415458, 'FD_Position': '1B'}, 'Felix Hernandez_pitcher': {'Salary': 11100.0, 'projected_FD_points': 15.919102146751662, 'confidence': 0.52233707544265817,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'OF'}, 'Chase Utley_batter': {'Salary': 2500.0, 'projected_FD_points': 2.176751592356688, 'confidence': -0.0012573528538399881, 'FD_Position': '2B'}}</t>
  </si>
  <si>
    <t>{'Michael Brantley_batter': {'Salary': 3600.0, 'projected_FD_points': 3.2564985497507148, 'confidence': -0.071340756293430729, 'FD_Position': 'OF'}, 'Jose Bautista_batter': {'Salary': 4800.0, 'projected_FD_points': 3.4101307189542482, 'confidence': -0.12149770578019004, 'FD_Position': 'OF'}, 'David Ortiz_batter': {'Salary': 3300.0, 'projected_FD_points': 2.9799239382056979, 'confidence': -0.10557872069344487, 'FD_Position': '1B'}, 'Paulo Orlando_batter': {'Salary': 3000.0, 'projected_FD_points': 2.6388888888888888, 'confidence': -0.0080904789899498564, 'FD_Position': 'OF'}, 'Josh Donaldson_batter': {'Salary': 4000.0, 'projected_FD_points': 3.1246388564496805, 'confidence': -0.35473954234285321, 'FD_Position': '3B'}, 'Salvador Perez_batter': {'Salary': 2800.0, 'projected_FD_points': 1.9055779708765037, 'confidence': -0.07405806086301614, 'FD_Position': 'C'}, 'Devon Travis_batter': {'Salary': 3400.0, 'projected_FD_points': 4.9248136225008476, 'confidence': -0.6642001164826683, 'FD_Position': '2B'}, 'Danny Salazar_pitcher': {'Salary': 7700.0, 'projected_FD_points': 10.974733112092011, 'confidence': -2.0752355334537156, 'FD_Position': 'P'}, 'Alcides Escobar_batter': {'Salary': 2400.0, 'projected_FD_points': 1.6473917314308879, 'confidence': -0.0491200405269554, 'FD_Position': 'SS'}}</t>
  </si>
  <si>
    <t>{'Kris Bryant_batter': {'Salary': 3500.0, 'projected_FD_points': 3.8431966386672443, 'confidence': 0, 'FD_Position': '3B'}, 'Ben Revere_batter': {'Salary': 2500.0, 'projected_FD_points': 2.7787204406894097, 'confidence': -0.084737718822984531, 'FD_Position': 'OF'}, 'Neil Walker_batter': {'Salary': 3200.0, 'projected_FD_points': 2.607835879768297, 'confidence': -0.17156847832110289, 'FD_Position': '2B'}, 'Johnny Cueto_pitcher': {'Salary': 10400.0, 'projected_FD_points': 16.731338056062331, 'confidence': -0.64003764865864787, 'FD_Position': 'P'}, 'Prince Fielder_batter': {'Salary': 3300.0, 'projected_FD_points': 3.1289261834715161, 'confidence': -0.21858287105573493, 'FD_Position': '1B'}, 'Daniel Santana_batter': {'Salary': 2500.0, 'projected_FD_points': 2.6781373707384066, 'confidence': -0.13751997561929485, 'FD_Position': 'SS'}, 'Dexter Fowler_batter': {'Salary': 3300.0, 'projected_FD_points': 3.4880163129099708, 'confidence': 0.015666692991588516, 'FD_Position': 'OF'}, 'Victor Martinez_batter': {'Salary': 3400.0, 'projected_FD_points': 2.6887265344001019, 'confidence': -0.076988225869027538, 'FD_Position': 'C'}, 'Jayson Werth_batter': {'Salary': 2700.0, 'projected_FD_points': 2.6918585622971425, 'confidence': -0.27801621919129915, 'FD_Position': 'OF'}}</t>
  </si>
  <si>
    <t>{'Michael Brantley_batter': {'Salary': 3700.0, 'projected_FD_points': 3.2506974714891106, 'confidence': 0.023873244471907307, 'FD_Position': 'OF'}, 'Russell Martin_batter': {'Salary': 3100.0, 'projected_FD_points': 2.5653027266542869, 'confidence': -0.046156546189822123, 'FD_Position': 'C'}, 'Dee Gordon_batter': {'Salary': 3500.0, 'projected_FD_points': 2.4680105692337304, 'confidence': -2.2563641647133208, 'FD_Position': '2B'}, 'Johnny Cueto_pitcher': {'Salary': 10400.0, 'projected_FD_points': 16.731338056062331, 'confidence': -0.64003764865864787, 'FD_Position': 'P'}, 'Asdrubal Cabrera_batter': {'Salary': 2200.0, 'projected_FD_points': 1.8924532089599522, 'confidence': -0.0078666150129667045, 'FD_Position': 'SS'}, 'Marcell Ozuna_batter': {'Salary': 2800.0, 'projected_FD_points': 2.5023907612513399, 'confidence': -0.0035186792272863254, 'FD_Position': 'OF'}, 'Brock Holt_batter': {'Salary': 2500.0, 'projected_FD_points': 2.2688679245283021, 'confidence': -0.0011521210138827342, 'FD_Position': '3B'}, 'Jayson Werth_batter': {'Salary': 2700.0, 'projected_FD_points': 2.6918585622971425, 'confidence': -0.27801621919129915, 'FD_Position': 'OF'}, 'Joey Votto_batter': {'Salary': 4100.0, 'projected_FD_points': 3.2098873466215418, 'confidence': -0.33707369069807158, 'FD_Position': '1B'}}</t>
  </si>
  <si>
    <t>{'Odubel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'Ben Revere_batter': {'Salary': 2400.0, 'projected_FD_points': 2.6817075216226605, 'confidence': -0.21837158350397812, 'FD_Position': 'OF'},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2.923741589087165, 'confidence': -0.15398478104375335, 'FD_Position': 'C'}}</t>
  </si>
  <si>
    <t>{'Ben Revere_batter': {'Salary': 2400.0, 'projected_FD_points': 2.6817075216226605, 'confidence': -0.21837158350397812, 'FD_Position': 'OF'}, 'Brian Dozier_batter': {'Salary': 2900.0, 'projected_FD_points': 2.6012436054882104, 'confidence': -0.058879664980336699, 'FD_Position': '2B'}, 'Trevor Plouffe_batter': {'Salary': 2300.0, 'projected_FD_points': 2.2525634911551133, 'confidence': -0.60832686497317545, 'FD_Position': '3B'}, 'Anthony Rizzo_batter': {'Salary': 4200.0, 'projected_FD_points': 3.3953862229806484, 'confidence': -0.992597101354735, 'FD_Position': '1B'}, 'Tim Beckham_batter': {'Salary': 2400.0, 'projected_FD_points': 2.6959917132051938, 'confidence': -3.6467949339577164, 'FD_Position': 'SS'},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'Odubel Herrera_batter': {'Salary': 3000.0, 'projected_FD_points': 2.9842969760499454, 'confidence': -1.6929015400553413, 'FD_Position': 'OF'}, 'Victor Martinez_batter': {'Salary': 3400.0, 'projected_FD_points': 2.923741589087165, 'confidence': -0.15398478104375335, 'FD_Position': 'C'}}</t>
  </si>
  <si>
    <t>{'Russell Martin_batter': {'Salary': 3200.0, 'projected_FD_points': 2.7488908785325292, 'confidence': -0.10305161068169411, 'FD_Position': 'C'}, 'Corey Kluber_pitcher': {'Salary': 9800.0, 'projected_FD_points': 13.674711415127295, 'confidence': -3.4014519219769941, 'FD_Position': 'P'}, 'Jose Bautista_batter': {'Salary': 4700.0, 'projected_FD_points': 3.4621710526315788, 'confidence': -0.27425734122659962, 'FD_Position': 'OF'},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'Brock Holt_batter': {'Salary': 2400.0, 'projected_FD_points': 2.4190476190476189, 'confidence': -0.45996476988506396, 'FD_Position': '3B'}, 'Michael Cuddyer_batter': {'Salary': 2800.0, 'projected_FD_points': 2.6739249860330006, 'confidence': -0.35601919916506652, 'FD_Position': 'OF'}, 'Jayson Werth_batter': {'Salary': 2800.0, 'projected_FD_points': 2.7313306262038761, 'confidence': -0.42503153790478443, 'FD_Position': 'OF'}}</t>
  </si>
  <si>
    <t>{'Kris Bryant_batter': {'Salary': 3600.0, 'projected_FD_points': 4.3944444444444439, 'confidence': 0, 'FD_Position': '3B'}, 'Michael Brantley_batter': {'Salary': 3600.0, 'projected_FD_points': 3.2224473976726116, 'confidence': 0.04953753024622376, 'FD_Position': 'OF'}, 'Francisco Liriano_pitcher': {'Salary': 8000.0, 'projected_FD_points': 13.005022897058623, 'confidence': -2.043745692709058,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2.7965572388485289, 'confidence': -0.011139446420957988, 'FD_Position': 'C'}, 'Joey Votto_batter': {'Salary': 4200.0, 'projected_FD_points': 3.4273400664901361, 'confidence': -0.51016130319618469, 'FD_Position': '1B'}}</t>
  </si>
  <si>
    <t>{'Francisco Liriano_pitcher': {'Salary': 8000.0, 'projected_FD_points': 13.005022897058623, 'confidence': -2.043745692709058, 'FD_Position': 'P'}, 'Robinson Cano_batter': {'Salary': 3700.0, 'projected_FD_points': 2.6517500545775698, 'confidence': 0.003473941048712903, 'FD_Position': '2B'}, 'Paul Goldschmidt_batter': {'Salary': 4700.0, 'projected_FD_points': 3.2866340388216053, 'confidence': -0.04425472986841239, 'FD_Position': '1B'}, 'Daniel Santana_batter': {'Salary': 2500.0, 'projected_FD_points': 2.5632727284472598, 'confidence': -0.031584780353577369, 'FD_Position': 'SS'}, 'Justin Upton_batter': {'Salary': 3400.0, 'projected_FD_points': 2.9822273892098687, 'confidence': -0.088892424698363337, 'FD_Position': 'OF'}, 'Kyle Seager_batter': {'Salary': 3400.0, 'projected_FD_points': 2.9276803994853076, 'confidence': -0.11923520459822301, 'FD_Position': '3B'}, 'Michael Cuddyer_batter': {'Salary': 2900.0, 'projected_FD_points': 3.0042056956752576, 'confidence': -0.054362689389944041, 'FD_Position': 'OF'}, 'Jason Castro_batter': {'Salary': 2200.0, 'projected_FD_points': 1.9908513076634669, 'confidence': -0.054731395529991955, 'FD_Position': 'C'}, 'Andrew McCutchen_batter': {'Salary': 4000.0, 'projected_FD_points': 3.1499283996937644, 'confidence': -0.029691295130338968, 'FD_Position': 'OF'}}</t>
  </si>
  <si>
    <t>{'Adam Wainwright_pitcher': {'Salary': 9600.0, 'projected_FD_points': 13.094687845526483, 'confidence': -0.26102950906434952, 'FD_Position': 'P'}, 'Jimmy Paredes_batter': {'Salary': 2600.0, 'projected_FD_points': 2.5185114503816788, 'confidence': 0.070241246422027559, 'FD_Position': '2B'}, 'Ben Revere_batter': {'Salary': 2400.0, 'projected_FD_points': 2.4011282469898836, 'confidence': -0.086255920302667155, 'FD_Position': 'OF'}, 'David Ortiz_batter': {'Salary': 3200.0, 'projected_FD_points': 2.961267605633803, 'confidence': -0.075250429068267621, 'FD_Position': '1B'}, 'Corey Dickerson_batter': {'Salary': 4800.0, 'projected_FD_points': 3.4184295335764605, 'confidence': -0.17418539606626382, 'FD_Position': 'OF'}, 'Jhonny Peralta_batter': {'Salary': 2500.0, 'projected_FD_points': 2.1999363283906632, 'confidence': -0.023429560874237643, 'FD_Position': 'SS'}, 'Robinson Chirinos_batter': {'Salary': 2400.0, 'projected_FD_points': 2.1245212146029546, 'confidence': -0.089728449973623281, 'FD_Position': 'C'}, 'Kyle Seager_batter': {'Salary': 3400.0, 'projected_FD_points': 2.9321801581800186, 'confidence': -0.044735085751068215, 'FD_Position': '3B'}, 'Andrew McCutchen_batter': {'Salary': 4100.0, 'projected_FD_points': 3.1407583469070572, 'confidence': -0.08285666193423058, 'FD_Position': 'OF'}}</t>
  </si>
  <si>
    <t>{'Russell Martin_batter': {'Salary': 3100.0, 'projected_FD_points': 2.5367580553985305, 'confidence': -0.0045344754193434866, 'FD_Position': 'C'}, 'Asdrubal Cabrera_batter': {'Salary': 2200.0, 'projected_FD_points': 2.0226187955666841, 'confidence': 0.0030919526694288546, 'FD_Position': 'SS'}, 'Stephen Strasburg_pitcher': {'Salary': 9600.0, 'projected_FD_points': 13.025491958196437, 'confidence': -0.054821795636291526, 'FD_Position': 'P'}, 'Josh Donaldson_batter': {'Salary': 4200.0, 'projected_FD_points': 3.05787385244995, 'confidence': -0.10476567450116514, 'FD_Position': '3B'}, 'Edwin Encarnacion_batter': {'Salary': 3700.0, 'projected_FD_points': 3.0156217717080787, 'confidence': -0.64201108983536082, 'FD_Position': '1B'}, 'Jose Altuve_batter': {'Salary': 3800.0, 'projected_FD_points': 2.5315314264753166, 'confidence': 0.026229737697856192, 'FD_Position': '2B'}, 'Michael Cuddyer_batter': {'Salary': 3000.0, 'projected_FD_points': 3.1924055177779262, 'confidence': -0.14320543821040932, 'FD_Position': 'OF'}, 'Jayson Werth_batter': {'Salary': 2900.0, 'projected_FD_points': 2.7200989302303222, 'confidence': -0.1336130376760678, 'FD_Position': 'OF'}, 'Chris Carter_batter': {'Salary': 2400.0, 'projected_FD_points': 2.3332593911593023, 'confidence': -0.26482881836958594, 'FD_Position': 'OF'}}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</si>
  <si>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3.2309663160745861, 'confidence': 0.064869357346207801, 'FD_Position': 'OF'},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'Jose Abreu_batter': {'Salary': 4400.0, 'projected_FD_points': 3.3096812365853401, 'confidence': -0.0015650671317994913, 'FD_Position': '1B'}}</t>
  </si>
  <si>
    <t>{'George Springer_batter': {'Salary': 3500.0, 'projected_FD_points': 2.978431056250737, 'confidence': -0.17562921147420596, 'FD_Position': 'OF'}, 'Neil Walker_batter': {'Salary': 3100.0, 'projected_FD_points': 2.5090579710144927, 'confidence': -0.057805239273045261, 'FD_Position': '2B'}, 'Seth Smith_batter': {'Salary': 2300.0, 'projected_FD_points': 2.2729900008936639, 'confidence': -1.865221950081962, 'FD_Position': 'OF'}, 'Felix Hernandez_pitcher': {'Salary': 11500.0, 'projected_FD_points': 15.501096753950598, 'confidence': -0.4371211874432448, 'FD_Position': 'P'},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'Logan Morrison_batter': {'Salary': 2200.0, 'projected_FD_points': 1.8836633663366336, 'confidence': -0.99167814920105823, 'FD_Position': '1B'}, 'Daniel Santana_batter': {'Salary': 2900.0, 'projected_FD_points': 2.614824112021858, 'confidence': -0.040405978815786447, 'FD_Position': 'SS'}, 'Kyle Seager_batter': {'Salary': 3700.0, 'projected_FD_points': 3.1783617789541569, 'confidence': -0.38574026053296051, 'FD_Position': '3B'}}</t>
  </si>
  <si>
    <t>{'Kolten Wong_batter': {'Salary': 3200.0, 'projected_FD_points': 2.0124842745215066, 'confidence': -0.096459408103042543, 'FD_Position': '2B'}, 'Adam Eaton_batter': {'Salary': 2500.0, 'projected_FD_points': 2.5277839085453606, 'confidence': -0.06069539227050158, 'FD_Position': 'OF'}, 'Melky Cabrera_batter': {'Salary': 2700.0, 'projected_FD_points': 2.5043274812897813, 'confidence': -0.035004212704275783, 'FD_Position': 'OF'}, 'Paulo Orlando_batter': {'Salary': 3000.0, 'projected_FD_points': 4.2333333333333334, 'confidence': 0, 'FD_Position': 'OF'}, 'Jhonny Peralta_batter': {'Salary': 2800.0, 'projected_FD_points': 2.1651234567901234, 'confidence': -0.0019504886736037008, 'FD_Position': 'SS'}, 'Buster Posey_batter': {'Salary': 4400.0, 'projected_FD_points': 2.4598765432098766, 'confidence': -0.023498492777185076, 'FD_Position': 'C'}, 'Jose Abreu_batter': {'Salary': 4400.0, 'projected_FD_points': 3.3096812365853401, 'confidence': -0.0015650671317994913, 'FD_Position': '1B'}, 'Matt Garza_pitcher': {'Salary': 7300.0, 'projected_FD_points': 11.848200570860415, 'confidence': -1.1658996705028444, 'FD_Position': 'P'}, 'Matt Carpenter_batter': {'Salary': 4400.0, 'projected_FD_points': 2.7966836547319534, 'confidence': -0.38079235506785425, 'FD_Position': '3B'}}</t>
  </si>
  <si>
    <t>{'Kolten Wong_batter': {'Salary': 2900.0, 'projected_FD_points': 1.9448616392507618, 'confidence': -0.056621309391347685,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'Matt Holliday_batter': {'Salary': 3600.0, 'projected_FD_points': 2.768455147429675, 'confidence': -0.09178165716855391, 'FD_Position': 'OF'}, 'Jhonny Peralta_batter': {'Salary': 2800.0, 'projected_FD_points': 2.2111462002399329, 'confidence': -0.10255509175073385, 'FD_Position': 'SS'}, 'Matt Adams_batter': {'Salary': 3000.0, 'projected_FD_points': 2.118150684931507, 'confidence': -0.03164680264704911, 'FD_Position': '1B'}, 'Tyson Ross_pitcher': {'Salary': 8400.0, 'projected_FD_points': 13.254552230250503, 'confidence': -0.100201135702505, 'FD_Position': 'P'}, 'Denard Span_batter': {'Salary': 3100.0, 'projected_FD_points': 2.4094202898550723, 'confidence': -0.036291179219659853, 'FD_Position': 'OF'}, 'Matt Carpenter_batter': {'Salary': 4300.0, 'projected_FD_points': 2.6459055509513254, 'confidence': -0.0043146383528158694, 'FD_Position': '3B'}}</t>
  </si>
  <si>
    <t>{'Jimmy Paredes_batter': {'Salary': 2700.0, 'projected_FD_points': 2.4622665162341733, 'confidence': -0.18918724096345496, 'FD_Position': '2B'}, 'Adam Eaton_batter': {'Salary': 2500.0, 'projected_FD_points': 2.4560385247191787, 'confidence': -0.071575327145632084, 'FD_Position': 'OF'}, 'Melky Cabrera_batter': {'Salary': 2700.0, 'projected_FD_points': 2.5583941605839415, 'confidence': -0.01261522348200117, 'FD_Position': 'OF'}, 'Russell Martin_batter': {'Salary': 3300.0, 'projected_FD_points': 2.3303571428571428, 'confidence': -0.23693962737493002, 'FD_Position': 'C'}, 'Paulo Orlando_batter': {'Salary': 3000.0, 'projected_FD_points': 2.8722222222222218, 'confidence': 0, 'FD_Position': 'OF'}, 'Marcus Semien_batter': {'Salary': 2900.0, 'projected_FD_points': 2.3039459093451615, 'confidence': -0.036471013133754449, 'FD_Position': 'SS'}, 'Evan Longoria_batter': {'Salary': 3300.0, 'projected_FD_points': 2.2826537509832194, 'confidence': -0.0301449391315598, 'FD_Position': '3B'}, 'Jose Abreu_batter': {'Salary': 4400.0, 'projected_FD_points': 3.4488313710663205, 'confidence': -0.16303448537750054, 'FD_Position': '1B'}, 'Chris Sale_pitcher': {'Salary': 10200.0, 'projected_FD_points': 15.102900960827787, 'confidence': -0.050836811603035992, 'FD_Position': 'P'}}</t>
  </si>
  <si>
    <t>{'Odubel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2.2803651680876156, 'confidence': -0.025407656690393798, 'FD_Position': '3B'},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'Michael McKenry_batter': {'Salary': 2200.0, 'projected_FD_points': 2.069751148186334, 'confidence': 0.012069334563028278, 'FD_Position': 'C'}, 'Brian Dozier_batter': {'Salary': 3000.0, 'projected_FD_points': 2.5172574944820556, 'confidence': -0.019577417694552679, 'FD_Position': '2B'}}</t>
  </si>
  <si>
    <t>{'Odubel Herrera_batter': {'Salary': 3000.0, 'projected_FD_points': 3.1712050549993798, 'confidence': 0.72382937288220139, 'FD_Position': 'OF'}, 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</si>
  <si>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{'Adrian Beltre_batter': {'Salary': 3400.0, 'projected_FD_points': 2.5789348059431672, 'confidence': -0.080988200207912975, 'FD_Position': '3B'}, 'Chris Owings_batter': {'Salary': 2500.0, 'projected_FD_points': 2.1074042613333179, 'confidence': 0.19862617878143152, 'FD_Position': 'SS'}, 'Seth Smith_batter': {'Salary': 2400.0, 'projected_FD_points': 2.0737841896639071, 'confidence': -0.052952239921513433, 'FD_Position': 'OF'}, 'Chris Iannetta_batter': {'Salary': 2200.0, 'projected_FD_points': 1.9931317218973064, 'confidence': -0.011157285206340406, 'FD_Position': 'C'}, 'Prince Fielder_batter': {'Salary': 3600.0, 'projected_FD_points': 3.0693729807347134, 'confidence': -0.1350162950515037, 'FD_Position': '1B'}, 'A.J. Pollock_batter': {'Salary': 3500.0, 'projected_FD_points': 2.8586384250490866, 'confidence': -1.6005580219753153, 'FD_Position': 'OF'}, 'Clayton Kershaw_pitcher': {'Salary': 12000.0, 'projected_FD_points': 16.293573853955625, 'confidence': -0.39642372885634747, 'FD_Position': 'P'}, 'Rougned Odor_batter': {'Salary': 2800.0, 'projected_FD_points': 2.1317185940845369, 'confidence': -0.029373672904676074, 'FD_Position': '2B'}, 'Chris Carter_batter': {'Salary': 2400.0, 'projected_FD_points': 2.2741260913691792, 'confidence': -0.62036102952020844, 'FD_Position': 'OF'}}</t>
  </si>
  <si>
    <t>{'Brian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'Ryan Braun_batter': {'Salary': 3600.0, 'projected_FD_points': 2.7781476516802384, 'confidence': -5.1863159637739225, 'FD_Position': 'OF'}, 'Kennys Vargas_batter': {'Salary': 2400.0, 'projected_FD_points': 2.2456896551724137, 'confidence': -0.064631053536671423, 'FD_Position': '1B'}, 'Marlon Byrd_batter': {'Salary': 2200.0, 'projected_FD_points': 2.1667365679024142, 'confidence': -0.066183877567524307, 'FD_Position': 'OF'}, 'Troy Tulowitzki_batter': {'Salary': 5300.0, 'projected_FD_points': 3.4404141654268816, 'confidence': 0.055471072852095626, 'FD_Position': 'SS'}, 'Michael McKenry_batter': {'Salary': 2200.0, 'projected_FD_points': 2.069751148186334, 'confidence': 0.012069334563028278, 'FD_Position': 'C'}}</t>
  </si>
  <si>
    <t>{'Paulo Orlando_batter': {'Salary': 3000.0, 'projected_FD_points': 3.5, 'confidence': 0, 'FD_Position': 'OF'}, 'Brian Dozier_batter': {'Salary': 3000.0, 'projected_FD_points': 2.6512590065374675, 'confidence': -0.0014185229899614793, 'FD_Position': '2B'}, 'Jorge Soler_batter': {'Salary': 3800.0, 'projected_FD_points': 3.9953445348584409, 'confidence': -0.084802107393113779, 'FD_Position': 'OF'}, 'Adam LaRoche_batter': {'Salary': 3400.0, 'projected_FD_points': 2.6724378152410129, 'confidence': -0.038736970878258115, 'FD_Position': '1B'}, 'Josh Phegley_batter': {'Salary': 2200.0, 'projected_FD_points': 2.8430051314725082, 'confidence': -4.6278319140980146, 'FD_Position': 'C'}, 'Alex Rodriguez_batter': {'Salary': 3800.0, 'projected_FD_points': 5.0687196090098015, 'confidence': -2.4782044385845734, 'FD_Position': '3B'},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</si>
  <si>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3800.0, 'projected_FD_points': 2.9906267238418387, 'confidence': 0.0017408280482074101, 'FD_Position': 'OF'}, 'Paulo Orlando_batter': {'Salary': 3000.0, 'projected_FD_points': 3.5, 'confidence': 0, 'FD_Position': 'OF'}, 'Brian Dozier_batter': {'Salary': 3000.0, 'projected_FD_points': 2.6512590065374675, 'confidence': -0.0014185229899614793, 'FD_Position': '2B'}, 'Tyler Flowers_batter': {'Salary': 2800.0, 'projected_FD_points': 1.9049121864694714, 'confidence': -0.33048296044797087, 'FD_Position': 'C'}, 'Todd Frazier_batter': {'Salary': 3400.0, 'projected_FD_points': 2.6220290631653316, 'confidence': -0.1411407936935023, 'FD_Position': '3B'}, 'Alex Gordon_batter': {'Salary': 3200.0, 'projected_FD_points': 2.6150662565286811, 'confidence': -1.1899645309009212, 'FD_Position': 'OF'}, 'Troy Tulowitzki_batter': {'Salary': 5300.0, 'projected_FD_points': 3.3881311204807649, 'confidence': -0.15366449574855578, 'FD_Position': 'SS'}, 'Jose Abreu_batter': {'Salary': 4400.0, 'projected_FD_points': 3.0833333333333335, 'confidence': -0.13929001643525596, 'FD_Position': '1B'}, 'Tyler Matzek_pitcher': {'Salary': 6100.0, 'projected_FD_points': 11.479174217502738, 'confidence': -5.6793205226168286, 'FD_Position': 'P'}}</t>
  </si>
  <si>
    <t>{'Alex Rodriguez_batter': {'Salary': 3700.0, 'projected_FD_points': 5.7628945024348877, 'confidence': -0.51318202028396542, 'FD_Position': '3B'},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'Dexter Fowler_batter': {'Salary': 3800.0, 'projected_FD_points': 3.3863775466671724, 'confidence': 0.054106329317821444, 'FD_Position': 'OF'}, 'Jake Arrieta_pitcher': {'Salary': 9200.0, 'projected_FD_points': 14.631589487068071, 'confidence': 0.0061121633673568709, 'FD_Position': 'P'}, 'Carlos Santana_batter': {'Salary': 3200.0, 'projected_FD_points': 2.6558219178082192, 'confidence': -0.0019032529852696101, 'FD_Position': '1B'}, 'Victor Martinez_batter': {'Salary': 3900.0, 'projected_FD_points': 2.9390232555400475, 'confidence': -0.0074758242570680533, 'FD_Position': 'C'}, 'Melky Cabrera_batter': {'Salary': 2700.0, 'projected_FD_points': 2.6650086745464026, 'confidence': -0.055789237633439015, 'FD_Position': 'OF'}, 'Jose Iglesias_batter': {'Salary': 2900.0, 'projected_FD_points': 2.7501141872843058, 'confidence': -7.072332550726653, 'FD_Position': 'SS'}}</t>
  </si>
  <si>
    <t>{'Michael Brantley_batter': {'Salary': 3900.0, 'projected_FD_points': 3.1654752098886978, 'confidence': 0.096093178487907216, 'FD_Position': 'OF'},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'Mike Moustakas_batter': {'Salary': 3100.0, 'projected_FD_points': 2.3880939030581105, 'confidence': 0.016311130076559377, 'FD_Position': '3B'}, 'Derek Norris_batter': {'Salary': 2800.0, 'projected_FD_points': 1.8650793650793651, 'confidence': -0.002224577813243922, 'FD_Position': 'C'}, 'Jorge De La Rosa_pitcher': {'Salary': 6800.0, 'projected_FD_points': 11.385177689378555, 'confidence': -0.29983934423386183, 'FD_Position': 'P'}, 'Troy Tulowitzki_batter': {'Salary': 5300.0, 'projected_FD_points': 3.5856716915681002, 'confidence': 0.061171781776204859, 'FD_Position': 'SS'}, 'Jose Abreu_batter': {'Salary': 4400.0, 'projected_FD_points': 3.2943506962228151, 'confidence': 0.019663225034470377, 'FD_Position': '1B'}, 'Melky Cabrera_batter': {'Salary': 2700.0, 'projected_FD_points': 2.6650086745464026, 'confidence': -0.055789237633439015, 'FD_Position': 'OF'}}</t>
  </si>
  <si>
    <t>{'Alex Rodriguez_batter': {'Salary': 3700.0, 'projected_FD_points': 4.7385512872372502, 'confidence': 0, 'FD_Position': '3B'}, 'Brian Dozier_batter': {'Salary': 3100.0, 'projected_FD_points': 2.4514474336032679, 'confidence': -0.071591939164793894, 'FD_Position': '2B'}, 'Kennys Vargas_batter': {'Salary': 2500.0, 'projected_FD_points': 2.5223214285714284, 'confidence': -0.32689080166457263, 'FD_Position': '1B'}, 'Josh Phegley_batter': {'Salary': 2200.0, 'projected_FD_points': 2.7076295232122045, 'confidence': -1.1397561736249968, 'FD_Position': 'C'}, 'A.J. Pollock_batter': {'Salary': 3500.0, 'projected_FD_points': 3.0178707021139162, 'confidence': -1.0764656662895158, 'FD_Position': 'OF'},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'Andrew McCutchen_batter': {'Salary': 4600.0, 'projected_FD_points': 3.3456615501080749, 'confidence': -0.014600931836257436, 'FD_Position': 'OF'}, 'Jose Iglesias_batter': {'Salary': 3000.0, 'projected_FD_points': 2.7359781372110108, 'confidence': 0, 'FD_Position': 'SS'}}</t>
  </si>
  <si>
    <t>{'Michael Brantley_batter': {'Salary': 4000.0, 'projected_FD_points': 3.0763043498782263, 'confidence': 0.0055870130170805332, 'FD_Position': 'OF'}, 'Alex Rodriguez_batter': {'Salary': 3700.0, 'projected_FD_points': 4.7385512872372502, 'confidence': 0, 'FD_Position': '3B'}, 'Brian Dozier_batter': {'Salary': 3100.0, 'projected_FD_points': 2.4514474336032679, 'confidence': -0.071591939164793894,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3.1937315644836821, 'confidence': -0.016927294643151569, 'FD_Position': '1B'}, 'Melky Cabrera_batter': {'Salary': 2500.0, 'projected_FD_points': 2.5152416968102598, 'confidence': -0.015361084646545287, 'FD_Position': 'OF'}, 'Jose Iglesias_batter': {'Salary': 3000.0, 'projected_FD_points': 2.7359781372110108, 'confidence': 0, 'FD_Position': 'SS'}}</t>
  </si>
  <si>
    <t>{'Shin-Soo Choo_batter': {'Salary': 2800.0, 'projected_FD_points': 2.156779661016949, 'confidence': -0.63822970285217329, 'FD_Position': 'OF'}, 'Chris Owings_batter': {'Salary': 2400.0, 'projected_FD_points': 2.086822705551223, 'confidence': 0.008838357202377467, 'FD_Position': 'SS'}, 'Brandon McCarthy_pitcher': {'Salary': 7900.0, 'projected_FD_points': 12.272367438940767, 'confidence': -0.32708373616875486, 'FD_Position': 'P'}, 'Robinson Cano_batter': {'Salary': 3800.0, 'projected_FD_points': 2.6059602649006623, 'confidence': -0.22032479566817065, 'FD_Position': '2B'}, 'Matt Holliday_batter': {'Salary': 3600.0, 'projected_FD_points': 2.5448836565525612, 'confidence': -0.060569450966626137, 'FD_Position': 'OF'}, 'Paul Goldschmidt_batter': {'Salary': 5200.0, 'projected_FD_points': 3.5949074074074074, 'confidence': -0.11833874093524388, 'FD_Position': '1B'}, 'A.J. Pollock_batter': {'Salary': 3500.0, 'projected_FD_points': 3.0178707021139162, 'confidence': -1.0764656662895158, 'FD_Position': 'OF'}, 'Kyle Seager_batter': {'Salary': 3400.0, 'projected_FD_points': 2.7492400637282834, 'confidence': -0.1250419892870378, 'FD_Position': '3B'}, 'Michael McKenry_batter': {'Salary': 2200.0, 'projected_FD_points': 2.5331159215907491, 'confidence': -0.1857162343037686, 'FD_Position': 'C'}}</t>
  </si>
  <si>
    <t>{'Robinson Chirinos_batter': {'Salary': 2600.0, 'projected_FD_points': 2.1863496137563283, 'confidence': -0.069977598272911168, 'FD_Position': 'C'}, 'Alex Rodriguez_batter': {'Salary': 3300.0, 'projected_FD_points': 5.6416666666666675, 'confidence': 0, 'FD_Position': '3B'}, 'Chris Owings_batter': {'Salary': 2200.0, 'projected_FD_points': 2.0614481788641545, 'confidence': -0.025886301313206461, 'FD_Position': 'SS'},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3.2213389726000994, 'confidence': -0.29787656199334012, 'FD_Position': '1B'}, 'Felix Hernandez_pitcher': {'Salary': 11400.0, 'projected_FD_points': 14.417948813695464, 'confidence': 0.092844729696146322, 'FD_Position': 'P'}, 'Michael Cuddyer_batter': {'Salary': 3300.0, 'projected_FD_points': 3.0721292168907621, 'confidence': -0.27484456833524962, 'FD_Position': 'OF'}, 'Ben Zobrist_batter': {'Salary': 3700.0, 'projected_FD_points': 2.4589285714285714, 'confidence': -0.11335757678200697, 'FD_Position': '2B'}}</t>
  </si>
  <si>
    <t>{'Russell Martin_batter': {'Salary': 2900.0, 'projected_FD_points': 2.675695166212984, 'confidence': -0.51243557479168134,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2.9974183758529285, 'confidence': -0.055664594472369933, 'FD_Position': 'OF'}, 'Daniel Santana_batter': {'Salary': 3300.0, 'projected_FD_points': 3.0014999527867872, 'confidence': -0.12606377995427187, 'FD_Position': 'SS'}, 'Clayton Kershaw_pitcher': {'Salary': 11800.0, 'projected_FD_points': 16.336677172990669, 'confidence': -0.090102535271357365, 'FD_Position': 'P'}, 'Marlon Byrd_batter': {'Salary': 2400.0, 'projected_FD_points': 2.1804421128514409, 'confidence': -0.01099108934718207, 'FD_Position': 'OF'}, 'Michael Cuddyer_batter': {'Salary': 3000.0, 'projected_FD_points': 3.0125876232699231, 'confidence': 0.07544558930353773, 'FD_Position': 'OF'}}</t>
  </si>
  <si>
    <t>{'Robinson Chirinos_batter': {'Salary': 2600.0, 'projected_FD_points': 1.9570482486096208, 'confidence': -0.072083869914098431, 'FD_Position': 'C'}, 'Chris Owings_batter': {'Salary': 2300.0, 'projected_FD_points': 2.2090800304723892, 'confidence': -0.39750991558571136, 'FD_Position': 'SS'}, 'Seth Smith_batter': {'Salary': 2600.0, 'projected_FD_points': 2.1954404499106488, 'confidence': -0.12310182231173972, 'FD_Position': 'OF'}, 'Rougned Odor_batter': {'Salary': 3000.0, 'projected_FD_points': 2.1232337000441777, 'confidence': 0.024750881206484054, 'FD_Position': '2B'}, 'A.J. Pollock_batter': {'Salary': 3000.0, 'projected_FD_points': 2.9974183758529285, 'confidence': -0.055664594472369933, 'FD_Position': 'OF'}, 'Clayton Kershaw_pitcher': {'Salary': 11800.0, 'projected_FD_points': 16.336677172990669, 'confidence': -0.090102535271357365, 'FD_Position': 'P'}, 'Prince Fielder_batter': {'Salary': 3600.0, 'projected_FD_points': 3.2581978166567298, 'confidence': -0.85667558289196122, 'FD_Position': '1B'}, 'Austin Jackson_batter': {'Salary': 2600.0, 'projected_FD_points': 2.0026520229195635, 'confidence': -0.19055343940385172, 'FD_Position': 'OF'}, 'Kyle Seager_batter': {'Salary': 3500.0, 'projected_FD_points': 2.7952825194130915, 'confidence': -0.066178475287668848, 'FD_Position': '3B'}}</t>
  </si>
  <si>
    <t>{'Michael Brantley_batter': {'Salary': 4100.0, 'projected_FD_points': 2.9736781452423244, 'confidence': -0.25279596451570474, 'FD_Position': 'OF'}, 'Corey Kluber_pitcher': {'Salary': 10700.0, 'projected_FD_points': 14.169522364207774, 'confidence': -0.59031201629088437, 'FD_Position': 'P'}, 'Trevor Plouffe_batter': {'Salary': 2500.0, 'projected_FD_points': 2.0651835606561315, 'confidence': -0.010655910180959793, 'FD_Position': '3B'},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'SS'}, 'Marlon Byrd_batter': {'Salary': 2400.0, 'projected_FD_points': 2.1804421128514409, 'confidence': -0.01099108934718207, 'FD_Position': 'OF'}, 'Yadier Molina_batter': {'Salary': 3000.0, 'projected_FD_points': 2.0816346437491395, 'confidence': -0.10968918853178233, 'FD_Position': 'C'}, 'Brian Dozier_batter': {'Salary': 3100.0, 'projected_FD_points': 2.5808876701004095, 'confidence': -1.3379904749324876, 'FD_Position': '2B'}}</t>
  </si>
  <si>
    <t>URL</t>
  </si>
  <si>
    <t>{'MLB': [4616, 402, 32, 7614, 23489, 27, 42496, 1051, 2289, 689, 501, 26], 'CBB': [0, 0, 0, 0, 0, 0, 0, 19, 0, 8, 0, 0], 'NHL': [24, 0, 0, 508, 26321, 0, 207, 881, 0, 5, 136, 0], 'NFL': [4929, 0, 0, 660, 26952, 0, 25416, 2279, 1456, 109, 135, 23], 'CFB': [1917, 0, 0, 762, 6619, 0, 0, 2008, 0, 21, 0, 0], 'NBA': [13684, 104, 0, 8339, 50430, 0, 44302, 1214, 147, 427, 1037, 0], 'Total': [25170, 506, 32, 17883, 133811, 27, 112421, 7452, 3892, 1259, 1809, 49]}</t>
  </si>
  <si>
    <t>\/e\/Game\/12695?tableId=13840612&amp;fromLobby=True</t>
  </si>
  <si>
    <t>{'MLB': [166, 4616, 41, 2, 7, 80, 7614, 6, 80, 19, 0, 24, 1154, 4, 465, 32, 50, 478, 56, 33, 72, 77, 7, 493, 339, 102, 272, 160, 35, 58, 21, 11, 6, 40, 31, 168, 1625, 21, 12], 'CBB': [0, 0, 0, 0, 4, 0, 0, 1, 2, 0, 0, 20, 0, 0, 0, 0, 0, 0, 0, 7, 0, 55, 0, 0, 0, 0, 4, 0, 0, 5, 0, 0, 0, 0, 6, 5, 133, 0, 0], 'NHL': [0, 24, 0, 0, 0, 0, 508, 172, 0, 6, 0, 0, 0, 0, 0, 0, 32, 0, 22, 0, 0, 72, 0, 0, 0, 0, 1, 0, 0, 0, 0, 0, 0, 0, 0, 0, 0, 0, 0], 'NFL': [26, 4929, 37, 3, 153, 0, 660, 10, 88, 10, 0, 13, 181, 3, 46, 0, 60, 0, 37, 1, 23, 75, 3, 0, 328, 0, 137, 7, 0, 2, 0, 3, 0, 0, 103, 1, 428, 2, 0], 'CFB': [0, 1917, 0, 0, 10, 0, 762, 1, 51, 0, 0, 3, 0, 0, 0, 0, 0, 0, 0, 0, 0, 49, 0, 0, 15, 0, 1, 0, 0, 0, 0, 0, 0, 0, 8, 4, 9, 0, 0], 'NBA': [483, 13684, 0, 5, 504, 104, 8339, 193, 134, 10, 0, 67, 730, 0, 104, 0, 310, 1, 39, 144, 167, 689, 63, 261, 309, 0, 1042, 77, 0, 82, 0, 1, 0, 0, 118, 68, 2032, 95, 0], 'Total': [675, 25170, 78, 10, 678, 184, 17883, 383, 355, 45, 0, 127, 2065, 7, 615, 32, 452, 479, 154, 185, 262, 1017, 73, 754, 991, 102, 1457, 244, 35, 147, 21, 15, 6, 40, 266, 246, 4227, 118, 12]}</t>
  </si>
  <si>
    <t>\/e\/Game\/12696?tableId=13841005&amp;fromLobby=True</t>
  </si>
  <si>
    <t>{'MLB': [1051, 7614, 110, 4616, 7, 154, 1151, 1106, 18, 32, 181, 246, 93, 162], 'CBB': [19, 0, 0, 0, 0, 0, 3, 0, 0, 0, 0, 0, 0, 0], 'NHL': [881, 508, 0, 24, 1, 128, 0, 0, 0, 0, 5, 0, 14, 0], 'NFL': [2279, 660, 76, 4929, 0, 25, 172, 1964, 1, 0, 22, 2, 49, 0], 'CFB': [2008, 762, 0, 1917, 0, 0, 0, 0, 0, 0, 6, 0, 10, 0], 'NBA': [1214, 8339, 0, 13684, 52, 51, 1039, 23, 0, 0, 0, 0, 56, 0], 'Total': [7452, 17883, 186, 25170, 60, 358, 2365, 3093, 19, 32, 214, 248, 222, 162]}</t>
  </si>
  <si>
    <t>\/e\/Game\/12696?tableId=13840997&amp;fromLobby=True</t>
  </si>
  <si>
    <t>{'MLB': [1154, 39, 7614, 32, 13, 14, 77, 284, 2, 603], 'CBB': [0, 0, 0, 0, 0, 0, 55, 0, 0, 13], 'NHL': [0, 0, 508, 0, 1, 0, 72, 0, 0, 373], 'NFL': [181, 0, 660, 0, 0, 0, 75, 4, 2, 37], 'CFB': [0, 0, 762, 0, 0, 0, 49, 0, 4, 17], 'NBA': [730, 1, 8339, 0, 33, 0, 689, 118, 11, 369], 'Total': [2065, 40, 17883, 32, 47, 14, 1017, 406, 19, 1412]}</t>
  </si>
  <si>
    <t>\/e\/Game\/12696?tableId=13841029&amp;fromLobby=True</t>
  </si>
  <si>
    <t>{'MLB': [799, 4616, 40, 7614, 14, 478, 1106, 32, 162], 'CBB': [0, 0, 0, 0, 0, 0, 0, 0, 0], 'NHL': [113, 24, 0, 508, 1, 0, 0, 0, 0], 'NFL': [210, 4929, 8, 660, 22, 0, 1964, 0, 0], 'CFB': [0, 1917, 0, 762, 3, 0, 0, 0, 0], 'NBA': [1223, 13684, 101, 8339, 43, 1, 23, 0, 0], 'Total': [2345, 25170, 149, 17883, 83, 479, 3093, 32, 162]}</t>
  </si>
  <si>
    <t>\/e\/Game\/12696?tableId=13840983&amp;fromLobby=True</t>
  </si>
  <si>
    <t>{'MLB': [4616, 1051, 7614, 362, 1494, 1525, 23489, 2289, 6519], 'CBB': [0, 19, 0, 0, 8, 0, 0, 0, 0], 'NHL': [24, 881, 508, 0, 530, 0, 26321, 0, 0], 'NFL': [4929, 2279, 660, 0, 68, 17, 26952, 1456, 8066], 'CFB': [1917, 2008, 762, 0, 4, 0, 6619, 0, 0], 'NBA': [13684, 1214, 8339, 21, 776, 33, 50430, 147, 12282], 'Total': [25170, 7452, 17883, 383, 2880, 1575, 133811, 3892, 26867]}</t>
  </si>
  <si>
    <t>\/e\/Game\/12695?tableId=13840607&amp;fromLobby=True</t>
  </si>
  <si>
    <t>{'MLB': [4616, 7614, 1106, 56, 1051, 23489, 42496, 2289, 6519], 'CBB': [0, 0, 0, 0, 19, 0, 0, 0, 0], 'NHL': [24, 508, 0, 4, 881, 26321, 207, 0, 0], 'NFL': [4929, 660, 1964, 0, 2279, 26952, 25416, 1456, 8066], 'CFB': [1917, 762, 0, 0, 2008, 6619, 0, 0, 0], 'NBA': [13684, 8339, 23, 30, 1214, 50430, 44302, 147, 12282], 'Total': [25170, 17883, 3093, 90, 7452, 133811, 112421, 3892, 26867]}</t>
  </si>
  <si>
    <t>\/e\/Game\/12695?tableId=13840594&amp;fromLobby=True</t>
  </si>
  <si>
    <t>{'MLB': [0, 0, 497, 23874, 0], 'CBB': [0, 0, 0, 38, 0], 'NHL': [0, 0, 0, 334, 0], 'NFL': [45, 3, 16977, 24074, 0], 'CFB': [0, 0, 23, 1371, 0], 'NBA': [0, 0, 58, 21398, 0], 'Total': [45, 3, 17555, 71089, 0]}</t>
  </si>
  <si>
    <t>\/e\/Game\/12671?tableId=13766348&amp;fromLobby=True</t>
  </si>
  <si>
    <t>{'MLB': [4616], 'CBB': [0], 'NHL': [24], 'NFL': [4929], 'CFB': [1917], 'NBA': [13684], 'Total': [25170]}</t>
  </si>
  <si>
    <t>\/e\/Game\/12696?tableId=13841011&amp;fromLobby=True</t>
  </si>
  <si>
    <t>{'MLB': [5787, 154, 6113, 3066], 'CBB': [0, 0, 0, 0], 'NHL': [0, 128, 14, 487], 'NFL': [127, 25, 1304, 284], 'CFB': [2, 0, 8, 0], 'NBA': [2989, 51, 15923, 5708], 'Total': [8905, 358, 23362, 9545]}</t>
  </si>
  <si>
    <t>\/e\/Game\/12697?tableId=13847450&amp;fromLobby=True</t>
  </si>
  <si>
    <t>{'MLB': [5787, 10356, 6113, 3066], 'CBB': [0, 0, 0, 0], 'NHL': [0, 0, 14, 487], 'NFL': [127, 0, 1304, 284], 'CFB': [2, 0, 8, 0], 'NBA': [2989, 0, 15923, 5708], 'Total': [8905, 10356, 23362, 9545]}</t>
  </si>
  <si>
    <t>\/e\/Game\/12697?tableId=13847439&amp;fromLobby=True</t>
  </si>
  <si>
    <t>{'MLB': [0, 22, 1331, 5, 12613, 6], 'CBB': [0, 0, 0, 2, 29, 2], 'NHL': [0, 0, 496, 0, 61, 0], 'NFL': [11, 246, 1528, 22, 1488, 10], 'CFB': [0, 1, 0, 0, 0, 0], 'NBA': [1, 594, 2552, 2, 12900, 1065], 'Total': [12, 863, 5907, 31, 27091, 1083]}</t>
  </si>
  <si>
    <t>\/e\/Game\/12671?tableId=13817956&amp;fromLobby=True</t>
  </si>
  <si>
    <t>{'MLB': [22, 1067, 911, 766, 11987, 1775, 6519, 123, 5933, 37, 0, 0, 275, 1331, 0, 74, 209, 0, 473, 64, 6, 39, 1, 0, 95, 0, 4616, 0, 273, 0, 7, 12613, 73, 0, 585, 0, 0, 334, 108, 6, 0, 0, 810, 0, 0], 'CBB': [0, 11, 0, 32, 0, 0, 0, 5, 0, 0, 0, 0, 1, 0, 0, 0, 5, 0, 8, 4, 0, 0, 0, 0, 3, 0, 0, 0, 0, 0, 0, 29, 0, 0, 0, 0, 0, 30, 0, 2, 0, 0, 0, 0, 0], 'NHL': [0, 0, 2866, 635, 1000, 0, 0, 1, 0, 0, 0, 0, 0, 496, 0, 23, 0, 0, 76, 0, 0, 0, 0, 14, 1, 0, 24, 0, 0, 0, 1, 61, 7, 0, 0, 0, 0, 0, 56, 0, 0, 0, 0, 0, 2], 'NFL': [246, 3867, 2534, 225, 0, 2766, 8066, 0, 3708, 0, 31, 7, 2, 1528, 41, 18, 1737, 49, 967, 183, 309, 2104, 86, 0, 117, 10, 4929, 2, 89, 0, 48, 1488, 12, 113, 67, 55, 2, 25, 222, 10, 902, 13, 992, 46, 21], 'CFB': [1, 0, 0, 35, 0, 0, 0, 0, 2, 0, 0, 0, 0, 0, 0, 0, 2, 0, 471, 0, 0, 0, 0, 0, 0, 0, 1917, 0, 2, 0, 0, 0, 0, 0, 348, 0, 0, 8, 0, 0, 0, 0, 0, 0, 0], 'NBA': [594, 1484, 1446, 3244, 0, 2164, 12282, 22, 12689, 0, 243, 1, 869, 2552, 34, 10, 0, 7, 1515, 404, 1412, 5129, 42, 0, 297, 15, 13684, 18, 148, 0, 1075, 12900, 107, 0, 410, 0, 0, 629, 1307, 1065, 0, 11, 91, 0, 0], 'Total': [863, 6429, 7757, 4937, 12987, 6705, 26867, 151, 22332, 37, 274, 8, 1147, 5907, 75, 125, 1953, 56, 3510, 655, 1727, 7272, 129, 14, 513, 25, 25170, 20, 512, 0, 1131, 27091, 199, 113, 1410, 55, 2, 1026, 1693, 1083, 902, 24, 1893, 46, 23]}</t>
  </si>
  <si>
    <t>45</t>
  </si>
  <si>
    <t>\/e\/Game\/12671?tableId=13817500&amp;fromLobby=True</t>
  </si>
  <si>
    <t>{'MLB': [5787], 'CBB': [0], 'NHL': [0], 'NFL': [127], 'CFB': [2], 'NBA': [2989], 'Total': [8905]}</t>
  </si>
  <si>
    <t>\/e\/Game\/12697?tableId=13847465&amp;fromLobby=True</t>
  </si>
  <si>
    <t>{'MLB': [1051], 'CBB': [19], 'NHL': [881], 'NFL': [2279], 'CFB': [2008], 'NBA': [1214], 'Total': [7452]}</t>
  </si>
  <si>
    <t>\/e\/Game\/12695?tableId=13840615&amp;fromLobby=True</t>
  </si>
  <si>
    <t>{'MLB': [8051, 497], 'CBB': [0, 0], 'NHL': [0, 0], 'NFL': [81546, 16977], 'CFB': [0, 23], 'NBA': [147257, 58], 'Total': [236854, 17555]}</t>
  </si>
  <si>
    <t>\/e\/Game\/12671?tableId=13766354&amp;fromLobby=True</t>
  </si>
  <si>
    <t>{'MLB': [1051, 7614, 4616], 'CBB': [19, 0, 0], 'NHL': [881, 508, 24], 'NFL': [2279, 660, 4929], 'CFB': [2008, 762, 1917], 'NBA': [1214, 8339, 13684], 'Total': [7452, 17883, 25170]}</t>
  </si>
  <si>
    <t>\/e\/Game\/12696?tableId=13840994&amp;fromLobby=True</t>
  </si>
  <si>
    <t>{'MLB': [12613, 0, 253, 16, 0, 59, 1331, 0, 381, 0, 0, 0, 1067, 460, 386, 2, 12, 0], 'CBB': [29, 2, 15, 0, 0, 0, 0, 0, 92, 0, 0, 0, 11, 0, 0, 0, 0, 0], 'NHL': [61, 0, 56, 34, 0, 0, 496, 0, 186, 0, 0, 0, 0, 0, 500, 0, 0, 0], 'NFL': [1488, 320, 65, 0, 0, 0, 1528, 0, 1484, 22, 23, 36, 3867, 0, 162, 2, 0, 0], 'CFB': [0, 0, 1, 0, 0, 0, 0, 0, 1067, 0, 0, 0, 0, 0, 0, 0, 0, 0], 'NBA': [12900, 488, 596, 16, 0, 0, 2552, 9, 941, 0, 105, 1, 1484, 0, 384, 0, 0, 0], 'Total': [27091, 810, 986, 66, 0, 59, 5907, 9, 4151, 22, 128, 37, 6429, 460, 1432, 4, 12, 0]}</t>
  </si>
  <si>
    <t>\/e\/Game\/12671?tableId=13766342&amp;fromLobby=True</t>
  </si>
  <si>
    <t>{'MLB': [1562, 7614, 23489, 660, 32, 41], 'CBB': [206, 0, 0, 0, 0, 0], 'NHL': [4790, 508, 26321, 0, 0, 0], 'NFL': [1445, 660, 26952, 2, 0, 72], 'CFB': [144, 762, 6619, 0, 0, 4], 'NBA': [3331, 8339, 50430, 420, 0, 63], 'Total': [11478, 17883, 133811, 1082, 32, 180]}</t>
  </si>
  <si>
    <t>\/e\/Game\/12695?tableId=13840651&amp;fromLobby=True</t>
  </si>
  <si>
    <t>{'MLB': [799, 40, 4616, 241, 54, 7614, 1, 188, 3209, 1494, 15, 122, 402, 1106, 0, 14, 115, 32, 668, 51, 1357, 62, 1, 1758, 354, 1051, 3728, 23489, 34, 65, 448, 52, 116, 9, 2289, 42496, 615, 134, 53, 185, 63, 277, 28, 6519, 501], 'CBB': [0, 0, 0, 0, 0, 0, 0, 0, 76, 8, 0, 0, 177, 0, 0, 0, 0, 0, 0, 0, 116, 0, 0, 0, 3, 19, 503, 0, 0, 0, 0, 30, 0, 0, 0, 0, 0, 0, 0, 15, 0, 3, 0, 0, 0], 'NHL': [113, 0, 24, 0, 0, 508, 0, 0, 823, 530, 61, 0, 0, 0, 0, 0, 4, 0, 894, 0, 1800, 14, 0, 0, 4, 881, 1601, 26321, 0, 11, 0, 0, 0, 0, 0, 207, 16, 0, 0, 16, 0, 19, 0, 0, 136], 'NFL': [210, 8, 4929, 10, 0, 660, 0, 1, 1225, 68, 10, 0, 71, 1964, 0, 0, 172, 0, 0, 24, 205, 43, 0, 35, 53, 2279, 304, 26952, 0, 0, 163, 71, 474, 0, 1456, 25416, 9, 0, 0, 380, 0, 56, 20, 8066, 135], 'CFB': [0, 0, 1917, 0, 0, 762, 0, 0, 427, 4, 3, 0, 1, 0, 0, 0, 0, 0, 0, 0, 0, 0, 0, 0, 1, 2008, 223, 6619, 0, 0, 0, 0, 269, 0, 0, 0, 0, 0, 0, 268, 0, 0, 0, 0, 0], 'NBA': [1223, 101, 13684, 93, 0, 8339, 0, 82, 7509, 776, 2, 165, 693, 23, 0, 0, 0, 0, 0, 125, 4228, 24, 0, 5794, 315, 1214, 3521, 50430, 0, 4, 15935, 166, 660, 0, 147, 44302, 252, 26, 17, 237, 0, 253, 59, 12282, 1037], 'Total': [2345, 149, 25170, 344, 54, 17883, 1, 271, 13269, 2880, 91, 287, 1344, 3093, 0, 14, 291, 32, 1562, 200, 7706, 143, 1, 7587, 730, 7452, 9880, 133811, 34, 80, 16546, 319, 1519, 9, 3892, 112421, 892, 160, 70, 1101, 63, 608, 107, 26867, 1809]}</t>
  </si>
  <si>
    <t>\/e\/Game\/12695?tableId=13840593&amp;fromLobby=True</t>
  </si>
  <si>
    <t>\/e\/Game\/12697?tableId=13847490&amp;fromLobby=True</t>
  </si>
  <si>
    <t>{'MLB': [7614, 4616, 1106], 'CBB': [0, 0, 0], 'NHL': [508, 24, 0], 'NFL': [660, 4929, 1964], 'CFB': [762, 1917, 0], 'NBA': [8339, 13684, 23], 'Total': [17883, 25170, 3093]}</t>
  </si>
  <si>
    <t>\/e\/Game\/12696?tableId=13840986&amp;fromLobby=True</t>
  </si>
  <si>
    <t>{'MLB': [95, 1757, 1562, 6519, 41, 7614, 69, 437], 'CBB': [0, 3178, 206, 0, 0, 0, 0, 0], 'NHL': [0, 172, 4790, 0, 66, 508, 10, 68], 'NFL': [0, 2804, 1445, 8066, 16, 660, 12, 30], 'CFB': [0, 1863, 144, 0, 0, 762, 0, 104], 'NBA': [9, 5369, 3331, 12282, 1437, 8339, 53, 118], 'Total': [104, 15143, 11478, 26867, 1560, 17883, 144, 757]}</t>
  </si>
  <si>
    <t>\/e\/Game\/12695?tableId=13848075&amp;fromLobby=True</t>
  </si>
  <si>
    <t>{'MLB': [8051, 497, 11, 16004, 0], 'CBB': [0, 0, 0, 694, 0], 'NHL': [0, 0, 1, 8924, 0], 'NFL': [81546, 16977, 20, 15372, 62], 'CFB': [0, 23, 2, 12052, 0], 'NBA': [147257, 58, 2, 33994, 0], 'Total': [236854, 17555, 36, 87040, 62]}</t>
  </si>
  <si>
    <t>\/e\/Game\/12671?tableId=13766317&amp;fromLobby=True</t>
  </si>
  <si>
    <t>{'MLB': [473, 123, 22, 5933, 766, 0, 12613, 1067, 6, 1775, 6519, 9, 41, 95, 0, 911, 0, 11987, 209, 0, 275, 1331, 31, 0, 1, 64, 23, 39, 4616, 7, 516, 44, 108, 6, 49, 810, 124], 'CBB': [8, 5, 0, 0, 32, 0, 29, 11, 0, 0, 0, 0, 0, 3, 0, 0, 0, 0, 5, 0, 1, 0, 0, 0, 0, 4, 0, 0, 0, 0, 4, 0, 0, 2, 0, 0, 1], 'NHL': [76, 1, 0, 0, 635, 0, 61, 0, 0, 0, 0, 13, 0, 1, 0, 2866, 0, 1000, 0, 0, 0, 496, 0, 0, 0, 0, 0, 0, 24, 1, 5, 1, 56, 0, 25, 0, 1], 'NFL': [967, 0, 246, 3708, 225, 2, 1488, 3867, 309, 2766, 8066, 318, 7, 117, 0, 2534, 0, 0, 1737, 31, 2, 1528, 117, 41, 0, 183, 695, 2104, 4929, 48, 229, 0, 222, 10, 28, 992, 117], 'CFB': [471, 0, 1, 2, 35, 0, 0, 0, 0, 0, 0, 13, 4, 0, 0, 0, 0, 0, 2, 0, 0, 0, 1, 0, 0, 0, 0, 0, 1917, 0, 88, 0, 0, 0, 0, 0, 3], 'NBA': [1515, 22, 594, 12689, 3244, 39, 12900, 1484, 1412, 2164, 12282, 93, 4, 297, 0, 1446, 0, 0, 0, 243, 869, 2552, 123, 34, 0, 404, 1626, 5129, 13684, 1075, 426, 0, 1307, 1065, 1, 91, 2099], 'Total': [3510, 151, 863, 22332, 4937, 41, 27091, 6429, 1727, 6705, 26867, 446, 56, 513, 0, 7757, 0, 12987, 1953, 274, 1147, 5907, 272, 75, 1, 655, 2344, 7272, 25170, 1131, 1268, 45, 1693, 1083, 103, 1893, 2345]}</t>
  </si>
  <si>
    <t>\/e\/Game\/12671?tableId=13807325&amp;fromLobby=True</t>
  </si>
  <si>
    <t>{'MLB': [4616, 8, 23489, 42496, 1051, 32], 'CBB': [0, 0, 0, 0, 19, 0], 'NHL': [24, 0, 26321, 207, 881, 0], 'NFL': [4929, 13, 26952, 25416, 2279, 0], 'CFB': [1917, 2, 6619, 0, 2008, 0], 'NBA': [13684, 12, 50430, 44302, 1214, 0], 'Total': [25170, 35, 133811, 112421, 7452, 32]}</t>
  </si>
  <si>
    <t>\/e\/Game\/12695?tableId=13840621&amp;fromLobby=True</t>
  </si>
  <si>
    <t>\/e\/Game\/12697?tableId=13847493&amp;fromLobby=True</t>
  </si>
  <si>
    <t>{'MLB': [169], 'CBB': [50], 'NHL': [153], 'NFL': [25], 'CFB': [6], 'NBA': [122], 'Total': [525]}</t>
  </si>
  <si>
    <t>\/e\/Game\/12696?tableId=13841021&amp;fromLobby=True</t>
  </si>
  <si>
    <t>{'MLB': [259, 4616, 26, 7614, 478, 1106, 32], 'CBB': [0, 0, 0, 0, 0, 0, 0], 'NHL': [100, 24, 1, 508, 0, 0, 0], 'NFL': [0, 4929, 69, 660, 0, 1964, 0], 'CFB': [0, 1917, 0, 762, 0, 0, 0], 'NBA': [330, 13684, 155, 8339, 1, 23, 0], 'Total': [689, 25170, 251, 17883, 479, 3093, 32]}</t>
  </si>
  <si>
    <t>\/e\/Game\/12696?tableId=13840984&amp;fromLobby=True</t>
  </si>
  <si>
    <t>{'MLB': [5787, 6113, 3066], 'CBB': [0, 0, 0], 'NHL': [0, 14, 487], 'NFL': [127, 1304, 284], 'CFB': [2, 8, 0], 'NBA': [2989, 15923, 5708], 'Total': [8905, 23362, 9545]}</t>
  </si>
  <si>
    <t>\/e\/Game\/12698?tableId=13847805&amp;fromLobby=True</t>
  </si>
  <si>
    <t>\/e\/Game\/12697?tableId=13847464&amp;fromLobby=True</t>
  </si>
  <si>
    <t>\/e\/Game\/12695?tableId=13840622&amp;fromLobby=True</t>
  </si>
  <si>
    <t>{'MLB': [799, 175, 51, 3066, 212, 194, 117, 766, 4616, 1051, 34, 7614, 127, 188, 161, 0, 831, 492, 3209, 65, 1494, 1757, 54, 2312, 122, 12, 1106, 6, 80, 248, 55, 32, 115, 563, 137, 1525, 30, 1562, 75, 19, 0, 117, 1024, 25, 41], 'CBB': [0, 79, 0, 0, 87, 14, 0, 32, 0, 19, 0, 0, 2, 0, 0, 0, 0, 0, 76, 0, 8, 3178, 0, 191, 0, 2, 0, 0, 0, 62, 0, 2, 0, 16, 1, 0, 0, 206, 0, 0, 0, 0, 0, 0, 0], 'NHL': [113, 0, 69, 487, 581, 262, 0, 635, 24, 881, 0, 508, 0, 0, 63, 0, 233, 0, 823, 0, 530, 172, 0, 258, 0, 0, 0, 14, 0, 156, 0, 0, 4, 38, 0, 0, 0, 4790, 0, 0, 0, 359, 593, 0, 0], 'NFL': [210, 0, 94, 284, 7, 327, 51, 225, 4929, 2279, 4, 660, 2, 1, 1, 0, 523, 10, 1225, 16, 68, 2804, 0, 2041, 0, 9, 1964, 0, 36, 309, 9, 35, 172, 98, 27, 17, 0, 1445, 0, 0, 0, 145, 87, 0, 57], 'CFB': [0, 0, 0, 0, 0, 58, 0, 35, 1917, 2008, 0, 762, 0, 0, 0, 0, 4, 0, 427, 0, 4, 1863, 0, 0, 0, 0, 0, 0, 0, 102, 0, 3, 0, 0, 2, 0, 0, 144, 0, 0, 0, 0, 2, 0, 0], 'NBA': [1223, 0, 52, 5708, 1154, 2792, 0, 3244, 13684, 1214, 0, 8339, 69, 82, 68, 0, 2631, 0, 7509, 261, 776, 5369, 0, 1501, 165, 80, 23, 3, 1, 36, 0, 214, 0, 369, 197, 33, 0, 3331, 0, 0, 0, 1, 173, 3, 278], 'Total': [2345, 254, 266, 9545, 2041, 3647, 168, 4937, 25170, 7452, 38, 17883, 200, 271, 293, 0, 4222, 502, 13269, 342, 2880, 15143, 54, 6303, 287, 103, 3093, 23, 117, 913, 64, 286, 291, 1084, 364, 1575, 30, 11478, 75, 19, 0, 622, 1879, 28, 376]}</t>
  </si>
  <si>
    <t>\/e\/Game\/12695?tableId=13840591&amp;fromLobby=True</t>
  </si>
  <si>
    <t>{'MLB': [5787, 6113, 3066, 612], 'CBB': [0, 0, 0, 0], 'NHL': [0, 14, 487, 0], 'NFL': [127, 1304, 284, 0], 'CFB': [2, 8, 0, 0], 'NBA': [2989, 15923, 5708, 153], 'Total': [8905, 23362, 9545, 765]}</t>
  </si>
  <si>
    <t>\/e\/Game\/12698?tableId=13847790&amp;fromLobby=True</t>
  </si>
  <si>
    <t>{'MLB': [5933, 42496, 0, 72, 0, 6519, 1775, 1, 0, 0, 4616, 12613, 932, 0, 54, 0, 210, 2, 0, 0, 0, 0, 1, 101, 0, 4, 1293, 911, 0, 60, 71, 1, 133, 0, 7, 43, 0, 0, 8, 24, 5282, 0, 0, 0, 25], 'CBB': [0, 0, 6, 0, 0, 0, 0, 0, 0, 0, 0, 29, 1, 2, 0, 0, 0, 3, 0, 2, 0, 0, 0, 0, 0, 0, 0, 0, 0, 0, 0, 0, 0, 0, 0, 0, 0, 0, 0, 51, 0, 0, 0, 0, 0], 'NHL': [0, 207, 0, 0, 18, 0, 0, 1, 0, 0, 24, 61, 0, 0, 0, 0, 0, 0, 0, 0, 1, 0, 0, 0, 0, 1, 0, 2866, 0, 1, 3, 0, 61, 0, 1, 0, 0, 0, 0, 2, 0, 0, 0, 0, 14], 'NFL': [3708, 25416, 296, 0, 6, 8066, 2766, 33, 10, 80, 4929, 1488, 8, 320, 60, 32, 92, 204, 0, 85, 15, 203, 0, 1, 0, 1, 564, 2534, 27, 50, 19, 8, 10, 66, 49, 504, 23, 39, 326, 2, 87, 29, 47, 26, 109], 'CFB': [2, 0, 26, 0, 0, 0, 0, 0, 0, 0, 1917, 0, 0, 0, 0, 0, 0, 0, 0, 0, 0, 0, 0, 0, 0, 0, 0, 0, 0, 2, 0, 0, 0, 0, 1, 0, 0, 0, 287, 1, 0, 0, 0, 1, 0], 'NBA': [12689, 44302, 96, 209, 0, 12282, 2164, 0, 0, 169, 13684, 12900, 385, 488, 0, 9, 2, 1234, 0, 121, 0, 0, 15, 26, 0, 5, 451, 1446, 0, 41, 0, 0, 26, 36, 9, 3598, 105, 1, 5580, 95, 27959, 0, 0, 0, 460], 'Total': [22332, 112421, 424, 281, 24, 26867, 6705, 35, 10, 249, 25170, 27091, 1326, 810, 114, 41, 304, 1443, 0, 208, 16, 203, 16, 128, 0, 11, 2308, 7757, 27, 154, 93, 9, 230, 102, 67, 4145, 128, 40, 6201, 175, 33328, 29, 47, 27, 608]}</t>
  </si>
  <si>
    <t>58</t>
  </si>
  <si>
    <t>\/e\/Game\/12671?tableId=13766298&amp;fromLobby=True</t>
  </si>
  <si>
    <t>\/e\/Game\/12696?tableId=13841002&amp;fromLobby=True</t>
  </si>
  <si>
    <t>{'MLB': [4616, 1051, 7614, 161, 492, 65, 1494, 122, 1525, 277, 23489, 42496, 2289, 411, 939, 6519, 41], 'CBB': [0, 19, 0, 0, 0, 0, 8, 0, 0, 0, 0, 0, 0, 0, 0, 0, 0], 'NHL': [24, 881, 508, 63, 0, 0, 530, 0, 0, 407, 26321, 207, 0, 4, 13, 0, 66], 'NFL': [4929, 2279, 660, 1, 10, 16, 68, 0, 17, 82, 26952, 25416, 1456, 195, 0, 8066, 16], 'CFB': [1917, 2008, 762, 0, 0, 0, 4, 0, 0, 3, 6619, 0, 0, 0, 0, 0, 0], 'NBA': [13684, 1214, 8339, 68, 0, 261, 776, 165, 33, 1334, 50430, 44302, 147, 181, 34, 12282, 1437], 'Total': [25170, 7452, 17883, 293, 502, 342, 2880, 287, 1575, 2103, 133811, 112421, 3892, 791, 986, 26867, 1560]}</t>
  </si>
  <si>
    <t>16</t>
  </si>
  <si>
    <t>\/e\/Game\/12695?tableId=13840606&amp;fromLobby=True</t>
  </si>
  <si>
    <t>{'MLB': [42496, 0, 5933, 6519, 1775, 17, 32, 0, 0, 12613, 4616, 210, 2, 0, 0, 0, 101, 0, 1293, 7, 911, 71, 1, 133, 7, 43, 1, 5282, 0, 68, 1, 0, 0, 39, 0, 613, 0, 0], 'CBB': [0, 6, 0, 0, 0, 1, 0, 0, 0, 29, 0, 0, 3, 0, 0, 0, 0, 0, 0, 1, 0, 0, 0, 0, 0, 0, 0, 0, 2, 2, 0, 0, 0, 0, 0, 0, 0, 0], 'NHL': [207, 0, 0, 0, 0, 0, 103, 0, 0, 61, 24, 0, 0, 0, 0, 0, 0, 0, 0, 2, 2866, 3, 0, 61, 1, 0, 0, 0, 0, 0, 12, 0, 0, 0, 2, 3, 0, 0], 'NFL': [25416, 296, 3708, 8066, 2766, 0, 77, 1, 80, 1488, 4929, 92, 204, 0, 0, 203, 1, 0, 564, 6, 2534, 19, 8, 10, 49, 504, 0, 87, 320, 4, 54, 4, 6, 2104, 3, 456, 0, 0], 'CFB': [0, 26, 2, 0, 0, 0, 4, 0, 0, 0, 1917, 0, 0, 0, 0, 0, 0, 0, 0, 0, 0, 0, 0, 0, 1, 0, 0, 0, 0, 7, 0, 0, 0, 0, 0, 0, 0, 0], 'NBA': [44302, 96, 12689, 12282, 2164, 41, 481, 0, 169, 12900, 13684, 2, 1234, 0, 0, 0, 26, 0, 451, 279, 1446, 0, 0, 26, 9, 3598, 0, 27959, 488, 49, 2, 0, 0, 5129, 7, 2123, 0, 0], 'Total': [112421, 424, 22332, 26867, 6705, 59, 697, 1, 249, 27091, 25170, 304, 1443, 0, 0, 203, 128, 0, 2308, 295, 7757, 93, 9, 230, 67, 4145, 1, 33328, 810, 130, 69, 4, 6, 7272, 12, 3195, 0, 0]}</t>
  </si>
  <si>
    <t>\/e\/Game\/12671?tableId=13766299&amp;fromLobby=True</t>
  </si>
  <si>
    <t>{'MLB': [8051, 0, 0], 'CBB': [0, 0, 0], 'NHL': [0, 0, 0], 'NFL': [81546, 16, 0], 'CFB': [0, 0, 0], 'NBA': [147257, 0, 0], 'Total': [236854, 16, 0]}</t>
  </si>
  <si>
    <t>\/e\/Game\/12671?tableId=13766309&amp;fromLobby=True</t>
  </si>
  <si>
    <t>{'MLB': [4, 0, 7, 4616, 12613, 1775, 766, 0, 108, 5933, 3066, 0, 22, 6519, 123, 6, 473, 11987, 0, 1067, 0, 0, 25, 95, 25, 31, 911, 209, 0, 37, 0, 275, 0, 1331, 0, 1, 0, 258, 64, 6571, 1, 39, 0, 0, 4], 'CBB': [0, 0, 0, 0, 29, 0, 32, 0, 0, 0, 0, 0, 0, 0, 5, 0, 8, 0, 0, 11, 0, 0, 0, 3, 103, 0, 0, 5, 0, 0, 0, 1, 0, 0, 0, 0, 0, 1, 4, 0, 0, 0, 0, 0, 2], 'NHL': [0, 0, 1, 24, 61, 0, 635, 0, 56, 0, 487, 0, 0, 0, 1, 0, 76, 1000, 0, 0, 0, 0, 14, 1, 1, 0, 2866, 0, 0, 0, 0, 0, 0, 496, 0, 0, 0, 5, 0, 0, 0, 0, 0, 0, 4], 'NFL': [4, 0, 48, 4929, 1488, 2766, 225, 14, 222, 3708, 284, 0, 246, 8066, 0, 309, 967, 0, 0, 3867, 81, 902, 109, 117, 15, 117, 2534, 1737, 30, 0, 31, 2, 4, 1528, 0, 4, 0, 169, 183, 507, 0, 2104, 17, 0, 0], 'CFB': [0, 0, 0, 1917, 0, 0, 35, 1, 0, 2, 0, 0, 1, 0, 0, 0, 471, 0, 0, 0, 0, 0, 0, 0, 5, 1, 0, 2, 0, 0, 0, 0, 0, 0, 0, 0, 0, 2, 0, 0, 1, 0, 0, 0, 0], 'NBA': [354, 0, 1075, 13684, 12900, 2164, 3244, 12, 1307, 12689, 5708, 4144, 594, 12282, 22, 1412, 1515, 0, 0, 1484, 239, 0, 460, 297, 70, 123, 1446, 0, 0, 0, 243, 869, 0, 2552, 0, 17, 0, 1476, 404, 18977, 10, 5129, 1, 0, 149], 'Total': [362, 0, 1131, 25170, 27091, 6705, 4937, 27, 1693, 22332, 9545, 4144, 863, 26867, 151, 1727, 3510, 12987, 0, 6429, 320, 902, 608, 513, 219, 272, 7757, 1953, 30, 37, 274, 1147, 4, 5907, 0, 22, 0, 1911, 655, 26055, 12, 7272, 18, 0, 159]}</t>
  </si>
  <si>
    <t>\/e\/Game\/12671?tableId=13800625&amp;fromLobby=True</t>
  </si>
  <si>
    <t>{'MLB': [5933, 42496, 6519, 1775, 2, 12613, 4616, 2, 0, 108, 101, 0, 0, 911, 71, 1, 0, 43, 9, 5282, 0, 0, 0, 39, 6], 'CBB': [0, 0, 0, 0, 0, 29, 0, 3, 0, 0, 0, 0, 0, 0, 0, 0, 0, 0, 0, 0, 4, 0, 0, 0, 0], 'NHL': [0, 207, 0, 0, 2, 61, 24, 0, 0, 56, 0, 0, 0, 2866, 3, 0, 0, 0, 0, 0, 0, 0, 0, 0, 0], 'NFL': [3708, 25416, 8066, 2766, 19, 1488, 4929, 204, 203, 222, 1, 0, 36, 2534, 19, 8, 3, 504, 36, 87, 63, 85, 6, 2104, 3], 'CFB': [2, 0, 0, 0, 0, 0, 1917, 0, 0, 0, 0, 0, 0, 0, 0, 0, 0, 0, 15, 0, 0, 0, 0, 0, 0], 'NBA': [12689, 44302, 12282, 2164, 168, 12900, 13684, 1234, 0, 1307, 26, 0, 2, 1446, 0, 0, 0, 3598, 13, 27959, 11, 0, 0, 5129, 261], 'Total': [22332, 112421, 26867, 6705, 191, 27091, 25170, 1443, 203, 1693, 128, 0, 38, 7757, 93, 9, 3, 4145, 73, 33328, 78, 85, 6, 7272, 270]}</t>
  </si>
  <si>
    <t>\/e\/Game\/12671?tableId=13766302&amp;fromLobby=True</t>
  </si>
  <si>
    <t>\/e\/Game\/12698?tableId=13847801&amp;fromLobby=True</t>
  </si>
  <si>
    <t>{'MLB': [5, 22, 12613, 1067, 1331, 6], 'CBB': [36, 0, 29, 11, 0, 2], 'NHL': [0, 0, 61, 0, 496, 0], 'NFL': [40, 246, 1488, 3867, 1528, 10], 'CFB': [27, 1, 0, 0, 0, 0], 'NBA': [0, 594, 12900, 1484, 2552, 1065], 'Total': [108, 863, 27091, 6429, 5907, 1083]}</t>
  </si>
  <si>
    <t>\/e\/Game\/12671?tableId=13816916&amp;fromLobby=True</t>
  </si>
  <si>
    <t>Max Scherzer, Stephen L Vogt, Mike R Napoli, Jedd R Gyorko, Josh R Donaldson, Jung-ho R Kang, Corey L Dickerson, Justin R Upton, Shane B Victorino</t>
  </si>
  <si>
    <t>Jake Arrieta, Matt Wieters, Adam LaRoche, Brian Dozier, Miguel Sano, Troy Tulowitzki, Jose Bautista, Matt Holliday, Justin Upton</t>
  </si>
  <si>
    <t xml:space="preserve">Andrew Cashner, Anthony Rizzo, Mike Moustakas, Bryce Harper, Nelson Cruz, , A.J. Pierzynski, Brian Dozier, Jhonny Peralta, Brett Gardner, </t>
  </si>
  <si>
    <t>main.py (1)</t>
  </si>
  <si>
    <t>C:\Users\Cole\Desktop\FanDuel\fanduel\modules\main.py</t>
  </si>
  <si>
    <t>Gio Gonzalez_pitcher</t>
  </si>
  <si>
    <t>Yasiel Puig_batter</t>
  </si>
  <si>
    <t>Adrian Gonzalez_batter</t>
  </si>
  <si>
    <t>Billy Hamilton_batter</t>
  </si>
  <si>
    <t>Todd Frazier_batter</t>
  </si>
  <si>
    <t>Jayson Werth_batter</t>
  </si>
  <si>
    <t>Anthony Rendon_batter</t>
  </si>
  <si>
    <t>Buster Posey_batter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</si>
</sst>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  <numFmt numFmtId="166" formatCode="#,##0.000_);[Red]\(#,##0.000\)"/>
  </numFmts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CC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rgb="FF666666"/>
      </right>
      <top/>
      <bottom style="medium">
        <color rgb="FF66666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75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/>
    <xf numFmtId="0" fontId="10" fillId="0" borderId="0" xfId="0" applyFont="1"/>
    <xf numFmtId="0" fontId="0" fillId="0" borderId="0" xfId="0" applyFont="1"/>
    <xf numFmtId="14" fontId="0" fillId="0" borderId="0" xfId="0" applyNumberFormat="1" applyAlignment="1">
      <alignment vertical="top" wrapText="1"/>
    </xf>
    <xf numFmtId="0" fontId="10" fillId="0" borderId="0" xfId="0" applyFont="1" applyAlignment="1">
      <alignment vertical="top" wrapText="1"/>
    </xf>
    <xf numFmtId="165" fontId="0" fillId="0" borderId="0" xfId="0" applyNumberFormat="1"/>
    <xf numFmtId="0" fontId="0" fillId="0" borderId="0" xfId="0" applyNumberFormat="1" applyFont="1" applyAlignment="1">
      <alignment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4" fontId="0" fillId="0" borderId="0" xfId="0" applyNumberFormat="1" applyFont="1"/>
    <xf numFmtId="0" fontId="10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indent="5"/>
    </xf>
    <xf numFmtId="0" fontId="0" fillId="0" borderId="0" xfId="0" applyFont="1" applyAlignment="1">
      <alignment vertical="top"/>
    </xf>
    <xf numFmtId="0" fontId="21" fillId="0" borderId="0" xfId="0" applyFont="1" applyAlignment="1">
      <alignment horizontal="center"/>
    </xf>
    <xf numFmtId="0" fontId="1" fillId="25" borderId="10" xfId="1" applyFill="1" applyBorder="1" applyAlignment="1">
      <alignment horizontal="center" vertical="center" wrapText="1"/>
    </xf>
    <xf numFmtId="0" fontId="23" fillId="25" borderId="10" xfId="0" applyFont="1" applyFill="1" applyBorder="1" applyAlignment="1">
      <alignment horizontal="center" vertical="center" wrapText="1"/>
    </xf>
    <xf numFmtId="0" fontId="1" fillId="26" borderId="10" xfId="1" applyFill="1" applyBorder="1" applyAlignment="1">
      <alignment horizontal="center" vertical="center" wrapText="1"/>
    </xf>
    <xf numFmtId="0" fontId="23" fillId="26" borderId="10" xfId="0" applyFont="1" applyFill="1" applyBorder="1" applyAlignment="1">
      <alignment horizontal="center" vertical="center" wrapText="1"/>
    </xf>
    <xf numFmtId="0" fontId="1" fillId="27" borderId="10" xfId="1" applyFill="1" applyBorder="1" applyAlignment="1">
      <alignment horizontal="center" vertical="center" wrapText="1"/>
    </xf>
    <xf numFmtId="0" fontId="23" fillId="27" borderId="10" xfId="0" applyFont="1" applyFill="1" applyBorder="1" applyAlignment="1">
      <alignment horizontal="center" vertical="center" wrapText="1"/>
    </xf>
    <xf numFmtId="0" fontId="1" fillId="25" borderId="11" xfId="1" applyFill="1" applyBorder="1" applyAlignment="1">
      <alignment horizontal="center" vertical="center" wrapText="1"/>
    </xf>
    <xf numFmtId="0" fontId="1" fillId="26" borderId="11" xfId="1" applyFill="1" applyBorder="1" applyAlignment="1">
      <alignment horizontal="center" vertical="center" wrapText="1"/>
    </xf>
    <xf numFmtId="0" fontId="1" fillId="27" borderId="11" xfId="1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14" fontId="10" fillId="0" borderId="0" xfId="0" applyNumberFormat="1" applyFont="1"/>
    <xf numFmtId="14" fontId="10" fillId="0" borderId="0" xfId="0" applyNumberFormat="1" applyFont="1" applyAlignment="1">
      <alignment vertical="top" wrapText="1"/>
    </xf>
    <xf numFmtId="165" fontId="0" fillId="0" borderId="0" xfId="0" applyNumberFormat="1" applyFont="1"/>
    <xf numFmtId="0" fontId="10" fillId="0" borderId="0" xfId="0" applyFont="1" applyFill="1"/>
    <xf numFmtId="1" fontId="0" fillId="0" borderId="0" xfId="0" applyNumberFormat="1"/>
    <xf numFmtId="0" fontId="0" fillId="0" borderId="0" xfId="0" applyFont="1" applyFill="1"/>
    <xf numFmtId="165" fontId="0" fillId="0" borderId="0" xfId="0" applyNumberFormat="1" applyFont="1" applyFill="1"/>
    <xf numFmtId="2" fontId="0" fillId="0" borderId="12" xfId="0" applyNumberFormat="1" applyBorder="1" applyAlignment="1">
      <alignment wrapText="1"/>
    </xf>
    <xf numFmtId="2" fontId="0" fillId="0" borderId="13" xfId="0" applyNumberFormat="1" applyBorder="1" applyAlignment="1">
      <alignment wrapText="1"/>
    </xf>
    <xf numFmtId="2" fontId="0" fillId="0" borderId="14" xfId="0" applyNumberFormat="1" applyBorder="1" applyAlignment="1">
      <alignment wrapText="1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0" fillId="0" borderId="0" xfId="0" applyNumberFormat="1" applyBorder="1" applyAlignment="1">
      <alignment wrapText="1"/>
    </xf>
    <xf numFmtId="14" fontId="10" fillId="0" borderId="0" xfId="0" applyNumberFormat="1" applyFont="1" applyAlignment="1">
      <alignment horizontal="center" vertical="center"/>
    </xf>
    <xf numFmtId="166" fontId="0" fillId="0" borderId="0" xfId="0" applyNumberFormat="1"/>
    <xf numFmtId="14" fontId="0" fillId="0" borderId="0" xfId="0" applyNumberFormat="1" applyFont="1" applyAlignment="1">
      <alignment wrapText="1"/>
    </xf>
    <xf numFmtId="49" fontId="0" fillId="0" borderId="0" xfId="0" applyNumberFormat="1"/>
    <xf numFmtId="9" fontId="0" fillId="0" borderId="0" xfId="0" applyNumberFormat="1"/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274688"/>
        <c:axId val="222276224"/>
      </c:barChart>
      <c:catAx>
        <c:axId val="222274688"/>
        <c:scaling>
          <c:orientation val="minMax"/>
        </c:scaling>
        <c:delete val="0"/>
        <c:axPos val="b"/>
        <c:majorTickMark val="out"/>
        <c:minorTickMark val="none"/>
        <c:tickLblPos val="nextTo"/>
        <c:crossAx val="222276224"/>
        <c:crosses val="autoZero"/>
        <c:auto val="1"/>
        <c:lblAlgn val="ctr"/>
        <c:lblOffset val="100"/>
        <c:noMultiLvlLbl val="0"/>
      </c:catAx>
      <c:valAx>
        <c:axId val="222276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274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57376"/>
        <c:axId val="231559168"/>
      </c:areaChart>
      <c:catAx>
        <c:axId val="231557376"/>
        <c:scaling>
          <c:orientation val="minMax"/>
        </c:scaling>
        <c:delete val="0"/>
        <c:axPos val="b"/>
        <c:majorTickMark val="out"/>
        <c:minorTickMark val="none"/>
        <c:tickLblPos val="nextTo"/>
        <c:crossAx val="231559168"/>
        <c:crosses val="autoZero"/>
        <c:auto val="1"/>
        <c:lblAlgn val="ctr"/>
        <c:lblOffset val="100"/>
        <c:noMultiLvlLbl val="0"/>
      </c:catAx>
      <c:valAx>
        <c:axId val="2315591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315573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Backtest_Output!$B$1653:$B$1790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Backtest_Output!$D$1653:$D$1790</c:f>
              <c:numCache>
                <c:formatCode>General</c:formatCode>
                <c:ptCount val="138"/>
                <c:pt idx="0">
                  <c:v>21.75</c:v>
                </c:pt>
                <c:pt idx="1">
                  <c:v>39.75</c:v>
                </c:pt>
                <c:pt idx="2">
                  <c:v>22.5</c:v>
                </c:pt>
                <c:pt idx="3">
                  <c:v>15.95</c:v>
                </c:pt>
                <c:pt idx="4">
                  <c:v>43.75</c:v>
                </c:pt>
                <c:pt idx="5">
                  <c:v>39</c:v>
                </c:pt>
                <c:pt idx="6">
                  <c:v>36.25</c:v>
                </c:pt>
                <c:pt idx="7">
                  <c:v>26</c:v>
                </c:pt>
                <c:pt idx="8">
                  <c:v>22</c:v>
                </c:pt>
                <c:pt idx="9">
                  <c:v>27.25</c:v>
                </c:pt>
                <c:pt idx="10">
                  <c:v>44.2</c:v>
                </c:pt>
                <c:pt idx="11">
                  <c:v>27.25</c:v>
                </c:pt>
                <c:pt idx="12">
                  <c:v>27.25</c:v>
                </c:pt>
                <c:pt idx="13">
                  <c:v>35.25</c:v>
                </c:pt>
                <c:pt idx="14">
                  <c:v>32.25</c:v>
                </c:pt>
                <c:pt idx="15">
                  <c:v>12.25</c:v>
                </c:pt>
                <c:pt idx="16">
                  <c:v>14.75</c:v>
                </c:pt>
                <c:pt idx="17">
                  <c:v>31</c:v>
                </c:pt>
                <c:pt idx="18">
                  <c:v>22.75</c:v>
                </c:pt>
                <c:pt idx="19">
                  <c:v>34.25</c:v>
                </c:pt>
                <c:pt idx="20">
                  <c:v>35</c:v>
                </c:pt>
                <c:pt idx="21">
                  <c:v>17.95</c:v>
                </c:pt>
                <c:pt idx="22">
                  <c:v>31.75</c:v>
                </c:pt>
                <c:pt idx="23">
                  <c:v>44.1</c:v>
                </c:pt>
                <c:pt idx="24">
                  <c:v>34</c:v>
                </c:pt>
                <c:pt idx="25">
                  <c:v>24.25</c:v>
                </c:pt>
                <c:pt idx="26">
                  <c:v>17.600000000000001</c:v>
                </c:pt>
                <c:pt idx="27">
                  <c:v>38.25</c:v>
                </c:pt>
                <c:pt idx="28">
                  <c:v>44</c:v>
                </c:pt>
                <c:pt idx="29">
                  <c:v>34.450000000000003</c:v>
                </c:pt>
                <c:pt idx="30">
                  <c:v>19.5</c:v>
                </c:pt>
                <c:pt idx="31">
                  <c:v>10.6</c:v>
                </c:pt>
                <c:pt idx="32">
                  <c:v>11.1</c:v>
                </c:pt>
                <c:pt idx="33">
                  <c:v>27.5</c:v>
                </c:pt>
                <c:pt idx="34">
                  <c:v>30.5</c:v>
                </c:pt>
                <c:pt idx="35">
                  <c:v>28.5</c:v>
                </c:pt>
                <c:pt idx="36">
                  <c:v>32</c:v>
                </c:pt>
                <c:pt idx="37">
                  <c:v>22.35</c:v>
                </c:pt>
                <c:pt idx="38">
                  <c:v>46.6</c:v>
                </c:pt>
                <c:pt idx="39">
                  <c:v>56</c:v>
                </c:pt>
                <c:pt idx="40">
                  <c:v>9.25</c:v>
                </c:pt>
                <c:pt idx="41">
                  <c:v>31.7</c:v>
                </c:pt>
                <c:pt idx="42">
                  <c:v>37.25</c:v>
                </c:pt>
                <c:pt idx="43">
                  <c:v>36.6</c:v>
                </c:pt>
                <c:pt idx="44">
                  <c:v>23.5</c:v>
                </c:pt>
                <c:pt idx="45">
                  <c:v>25.5</c:v>
                </c:pt>
                <c:pt idx="46">
                  <c:v>24</c:v>
                </c:pt>
                <c:pt idx="47">
                  <c:v>20.95</c:v>
                </c:pt>
                <c:pt idx="48">
                  <c:v>43.75</c:v>
                </c:pt>
                <c:pt idx="49">
                  <c:v>20.95</c:v>
                </c:pt>
                <c:pt idx="50">
                  <c:v>33.75</c:v>
                </c:pt>
                <c:pt idx="51">
                  <c:v>27</c:v>
                </c:pt>
                <c:pt idx="52">
                  <c:v>28</c:v>
                </c:pt>
                <c:pt idx="53">
                  <c:v>30.75</c:v>
                </c:pt>
                <c:pt idx="54">
                  <c:v>30.75</c:v>
                </c:pt>
                <c:pt idx="55">
                  <c:v>22.95</c:v>
                </c:pt>
                <c:pt idx="56">
                  <c:v>8.35</c:v>
                </c:pt>
                <c:pt idx="57">
                  <c:v>51.75</c:v>
                </c:pt>
                <c:pt idx="58">
                  <c:v>24.5</c:v>
                </c:pt>
                <c:pt idx="59">
                  <c:v>43.25</c:v>
                </c:pt>
                <c:pt idx="60">
                  <c:v>37.1</c:v>
                </c:pt>
                <c:pt idx="61">
                  <c:v>47.5</c:v>
                </c:pt>
                <c:pt idx="62">
                  <c:v>28.6</c:v>
                </c:pt>
                <c:pt idx="63">
                  <c:v>27.95</c:v>
                </c:pt>
                <c:pt idx="64">
                  <c:v>27.95</c:v>
                </c:pt>
                <c:pt idx="65">
                  <c:v>37.200000000000003</c:v>
                </c:pt>
                <c:pt idx="66">
                  <c:v>35.75</c:v>
                </c:pt>
                <c:pt idx="67">
                  <c:v>37.700000000000003</c:v>
                </c:pt>
                <c:pt idx="68">
                  <c:v>7.25</c:v>
                </c:pt>
                <c:pt idx="69">
                  <c:v>17</c:v>
                </c:pt>
                <c:pt idx="70">
                  <c:v>6.75</c:v>
                </c:pt>
                <c:pt idx="71">
                  <c:v>21.5</c:v>
                </c:pt>
                <c:pt idx="72">
                  <c:v>23.35</c:v>
                </c:pt>
                <c:pt idx="73">
                  <c:v>21.6</c:v>
                </c:pt>
                <c:pt idx="74">
                  <c:v>36.75</c:v>
                </c:pt>
                <c:pt idx="75">
                  <c:v>11.5</c:v>
                </c:pt>
                <c:pt idx="76">
                  <c:v>11.5</c:v>
                </c:pt>
                <c:pt idx="77">
                  <c:v>39</c:v>
                </c:pt>
                <c:pt idx="78">
                  <c:v>51.75</c:v>
                </c:pt>
                <c:pt idx="79">
                  <c:v>42.1</c:v>
                </c:pt>
                <c:pt idx="80">
                  <c:v>21.25</c:v>
                </c:pt>
                <c:pt idx="81">
                  <c:v>30.7</c:v>
                </c:pt>
                <c:pt idx="82">
                  <c:v>18.25</c:v>
                </c:pt>
                <c:pt idx="83">
                  <c:v>24.45</c:v>
                </c:pt>
                <c:pt idx="84">
                  <c:v>28.95</c:v>
                </c:pt>
                <c:pt idx="85">
                  <c:v>29.25</c:v>
                </c:pt>
                <c:pt idx="86">
                  <c:v>24.5</c:v>
                </c:pt>
                <c:pt idx="87">
                  <c:v>26.5</c:v>
                </c:pt>
                <c:pt idx="88">
                  <c:v>34</c:v>
                </c:pt>
                <c:pt idx="89">
                  <c:v>27.85</c:v>
                </c:pt>
                <c:pt idx="90">
                  <c:v>20</c:v>
                </c:pt>
                <c:pt idx="91">
                  <c:v>50.45</c:v>
                </c:pt>
                <c:pt idx="92">
                  <c:v>42.75</c:v>
                </c:pt>
                <c:pt idx="93">
                  <c:v>50.75</c:v>
                </c:pt>
                <c:pt idx="94">
                  <c:v>31.5</c:v>
                </c:pt>
                <c:pt idx="95">
                  <c:v>30.25</c:v>
                </c:pt>
                <c:pt idx="96">
                  <c:v>28.75</c:v>
                </c:pt>
                <c:pt idx="97">
                  <c:v>44.2</c:v>
                </c:pt>
                <c:pt idx="98">
                  <c:v>44.2</c:v>
                </c:pt>
                <c:pt idx="99">
                  <c:v>39.5</c:v>
                </c:pt>
                <c:pt idx="100">
                  <c:v>43.5</c:v>
                </c:pt>
                <c:pt idx="101">
                  <c:v>40.75</c:v>
                </c:pt>
                <c:pt idx="102">
                  <c:v>40.75</c:v>
                </c:pt>
                <c:pt idx="103">
                  <c:v>51.75</c:v>
                </c:pt>
                <c:pt idx="104">
                  <c:v>39.75</c:v>
                </c:pt>
                <c:pt idx="105">
                  <c:v>39.35</c:v>
                </c:pt>
                <c:pt idx="106">
                  <c:v>45</c:v>
                </c:pt>
                <c:pt idx="107">
                  <c:v>22.35</c:v>
                </c:pt>
                <c:pt idx="108">
                  <c:v>22.35</c:v>
                </c:pt>
                <c:pt idx="109">
                  <c:v>34.75</c:v>
                </c:pt>
                <c:pt idx="110">
                  <c:v>25</c:v>
                </c:pt>
                <c:pt idx="111">
                  <c:v>37.75</c:v>
                </c:pt>
                <c:pt idx="112">
                  <c:v>38.5</c:v>
                </c:pt>
                <c:pt idx="113">
                  <c:v>38.5</c:v>
                </c:pt>
                <c:pt idx="114">
                  <c:v>28.5</c:v>
                </c:pt>
                <c:pt idx="115">
                  <c:v>42</c:v>
                </c:pt>
                <c:pt idx="116">
                  <c:v>19.75</c:v>
                </c:pt>
                <c:pt idx="117">
                  <c:v>20.75</c:v>
                </c:pt>
                <c:pt idx="118">
                  <c:v>34.5</c:v>
                </c:pt>
                <c:pt idx="119">
                  <c:v>23.95</c:v>
                </c:pt>
                <c:pt idx="120">
                  <c:v>22.95</c:v>
                </c:pt>
                <c:pt idx="121">
                  <c:v>28.1</c:v>
                </c:pt>
                <c:pt idx="122">
                  <c:v>53.35</c:v>
                </c:pt>
                <c:pt idx="123">
                  <c:v>26.5</c:v>
                </c:pt>
                <c:pt idx="124">
                  <c:v>29</c:v>
                </c:pt>
                <c:pt idx="125">
                  <c:v>37.700000000000003</c:v>
                </c:pt>
                <c:pt idx="126">
                  <c:v>28.2</c:v>
                </c:pt>
                <c:pt idx="127">
                  <c:v>42.5</c:v>
                </c:pt>
                <c:pt idx="128">
                  <c:v>31.75</c:v>
                </c:pt>
                <c:pt idx="129">
                  <c:v>50.75</c:v>
                </c:pt>
                <c:pt idx="130">
                  <c:v>14.95</c:v>
                </c:pt>
                <c:pt idx="131">
                  <c:v>16.75</c:v>
                </c:pt>
                <c:pt idx="132">
                  <c:v>22</c:v>
                </c:pt>
                <c:pt idx="133">
                  <c:v>22.35</c:v>
                </c:pt>
                <c:pt idx="134">
                  <c:v>27.75</c:v>
                </c:pt>
                <c:pt idx="135">
                  <c:v>22.95</c:v>
                </c:pt>
                <c:pt idx="136">
                  <c:v>22.35</c:v>
                </c:pt>
                <c:pt idx="137">
                  <c:v>22.35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91168"/>
        <c:axId val="231992704"/>
      </c:scatterChart>
      <c:valAx>
        <c:axId val="231991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1992704"/>
        <c:crosses val="autoZero"/>
        <c:crossBetween val="midCat"/>
      </c:valAx>
      <c:valAx>
        <c:axId val="231992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911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Backtest_Output!$B$83:$B$220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Backtest_Output!$D$83:$D$220</c:f>
              <c:numCache>
                <c:formatCode>General</c:formatCode>
                <c:ptCount val="138"/>
                <c:pt idx="0">
                  <c:v>69.5</c:v>
                </c:pt>
                <c:pt idx="1">
                  <c:v>70</c:v>
                </c:pt>
                <c:pt idx="2">
                  <c:v>20.5</c:v>
                </c:pt>
                <c:pt idx="3">
                  <c:v>47.75</c:v>
                </c:pt>
                <c:pt idx="4">
                  <c:v>21.75</c:v>
                </c:pt>
                <c:pt idx="5">
                  <c:v>22.25</c:v>
                </c:pt>
                <c:pt idx="6">
                  <c:v>38.5</c:v>
                </c:pt>
                <c:pt idx="7">
                  <c:v>23.75</c:v>
                </c:pt>
                <c:pt idx="8">
                  <c:v>16.75</c:v>
                </c:pt>
                <c:pt idx="9">
                  <c:v>39.5</c:v>
                </c:pt>
                <c:pt idx="10">
                  <c:v>49.25</c:v>
                </c:pt>
                <c:pt idx="11">
                  <c:v>35</c:v>
                </c:pt>
                <c:pt idx="12">
                  <c:v>31.75</c:v>
                </c:pt>
                <c:pt idx="13">
                  <c:v>31.5</c:v>
                </c:pt>
                <c:pt idx="14">
                  <c:v>34</c:v>
                </c:pt>
                <c:pt idx="15">
                  <c:v>28.25</c:v>
                </c:pt>
                <c:pt idx="16">
                  <c:v>18.5</c:v>
                </c:pt>
                <c:pt idx="17">
                  <c:v>36.200000000000003</c:v>
                </c:pt>
                <c:pt idx="18">
                  <c:v>21.95</c:v>
                </c:pt>
                <c:pt idx="19">
                  <c:v>34.25</c:v>
                </c:pt>
                <c:pt idx="20">
                  <c:v>38.5</c:v>
                </c:pt>
                <c:pt idx="21">
                  <c:v>36.75</c:v>
                </c:pt>
                <c:pt idx="22">
                  <c:v>23.1</c:v>
                </c:pt>
                <c:pt idx="23">
                  <c:v>37.1</c:v>
                </c:pt>
                <c:pt idx="24">
                  <c:v>31.5</c:v>
                </c:pt>
                <c:pt idx="25">
                  <c:v>34.35</c:v>
                </c:pt>
                <c:pt idx="26">
                  <c:v>21.35</c:v>
                </c:pt>
                <c:pt idx="27">
                  <c:v>43</c:v>
                </c:pt>
                <c:pt idx="28">
                  <c:v>50.75</c:v>
                </c:pt>
                <c:pt idx="29">
                  <c:v>21.45</c:v>
                </c:pt>
                <c:pt idx="30">
                  <c:v>20.25</c:v>
                </c:pt>
                <c:pt idx="31">
                  <c:v>14.25</c:v>
                </c:pt>
                <c:pt idx="32">
                  <c:v>12.5</c:v>
                </c:pt>
                <c:pt idx="33">
                  <c:v>35.25</c:v>
                </c:pt>
                <c:pt idx="34">
                  <c:v>29</c:v>
                </c:pt>
                <c:pt idx="35">
                  <c:v>40.5</c:v>
                </c:pt>
                <c:pt idx="36">
                  <c:v>40.25</c:v>
                </c:pt>
                <c:pt idx="37">
                  <c:v>13.7</c:v>
                </c:pt>
                <c:pt idx="38">
                  <c:v>27.6</c:v>
                </c:pt>
                <c:pt idx="39">
                  <c:v>32.25</c:v>
                </c:pt>
                <c:pt idx="40">
                  <c:v>21.75</c:v>
                </c:pt>
                <c:pt idx="41">
                  <c:v>17.75</c:v>
                </c:pt>
                <c:pt idx="42">
                  <c:v>42.1</c:v>
                </c:pt>
                <c:pt idx="43">
                  <c:v>48.6</c:v>
                </c:pt>
                <c:pt idx="44">
                  <c:v>21.6</c:v>
                </c:pt>
                <c:pt idx="45">
                  <c:v>39.6</c:v>
                </c:pt>
                <c:pt idx="46">
                  <c:v>40.1</c:v>
                </c:pt>
                <c:pt idx="47">
                  <c:v>30.5</c:v>
                </c:pt>
                <c:pt idx="48">
                  <c:v>26.75</c:v>
                </c:pt>
                <c:pt idx="49">
                  <c:v>33.450000000000003</c:v>
                </c:pt>
                <c:pt idx="50">
                  <c:v>38.5</c:v>
                </c:pt>
                <c:pt idx="51">
                  <c:v>33.75</c:v>
                </c:pt>
                <c:pt idx="52">
                  <c:v>32</c:v>
                </c:pt>
                <c:pt idx="53">
                  <c:v>29.95</c:v>
                </c:pt>
                <c:pt idx="54">
                  <c:v>30.2</c:v>
                </c:pt>
                <c:pt idx="55">
                  <c:v>42.25</c:v>
                </c:pt>
                <c:pt idx="56">
                  <c:v>41.95</c:v>
                </c:pt>
                <c:pt idx="57">
                  <c:v>22.7</c:v>
                </c:pt>
                <c:pt idx="58">
                  <c:v>24.75</c:v>
                </c:pt>
                <c:pt idx="59">
                  <c:v>33</c:v>
                </c:pt>
                <c:pt idx="60">
                  <c:v>44.5</c:v>
                </c:pt>
                <c:pt idx="61">
                  <c:v>23.75</c:v>
                </c:pt>
                <c:pt idx="62">
                  <c:v>25.35</c:v>
                </c:pt>
                <c:pt idx="63">
                  <c:v>56.95</c:v>
                </c:pt>
                <c:pt idx="64">
                  <c:v>59.2</c:v>
                </c:pt>
                <c:pt idx="65">
                  <c:v>25.7</c:v>
                </c:pt>
                <c:pt idx="66">
                  <c:v>37.5</c:v>
                </c:pt>
                <c:pt idx="67">
                  <c:v>26.95</c:v>
                </c:pt>
                <c:pt idx="68">
                  <c:v>29</c:v>
                </c:pt>
                <c:pt idx="69">
                  <c:v>28.5</c:v>
                </c:pt>
                <c:pt idx="70">
                  <c:v>26.5</c:v>
                </c:pt>
                <c:pt idx="71">
                  <c:v>49.85</c:v>
                </c:pt>
                <c:pt idx="72">
                  <c:v>41</c:v>
                </c:pt>
                <c:pt idx="73">
                  <c:v>21.25</c:v>
                </c:pt>
                <c:pt idx="74">
                  <c:v>31.5</c:v>
                </c:pt>
                <c:pt idx="75">
                  <c:v>29.75</c:v>
                </c:pt>
                <c:pt idx="76">
                  <c:v>28.25</c:v>
                </c:pt>
                <c:pt idx="77">
                  <c:v>34.85</c:v>
                </c:pt>
                <c:pt idx="78">
                  <c:v>60.35</c:v>
                </c:pt>
                <c:pt idx="79">
                  <c:v>36.35</c:v>
                </c:pt>
                <c:pt idx="80">
                  <c:v>31.5</c:v>
                </c:pt>
                <c:pt idx="81">
                  <c:v>41.25</c:v>
                </c:pt>
                <c:pt idx="82">
                  <c:v>21.75</c:v>
                </c:pt>
                <c:pt idx="83">
                  <c:v>28.25</c:v>
                </c:pt>
                <c:pt idx="84">
                  <c:v>22.75</c:v>
                </c:pt>
                <c:pt idx="85">
                  <c:v>30.5</c:v>
                </c:pt>
                <c:pt idx="86">
                  <c:v>25</c:v>
                </c:pt>
                <c:pt idx="87">
                  <c:v>37.75</c:v>
                </c:pt>
                <c:pt idx="88">
                  <c:v>25.75</c:v>
                </c:pt>
                <c:pt idx="89">
                  <c:v>22.5</c:v>
                </c:pt>
                <c:pt idx="90">
                  <c:v>25.5</c:v>
                </c:pt>
                <c:pt idx="91">
                  <c:v>35.700000000000003</c:v>
                </c:pt>
                <c:pt idx="92">
                  <c:v>49</c:v>
                </c:pt>
                <c:pt idx="93">
                  <c:v>53.75</c:v>
                </c:pt>
                <c:pt idx="94">
                  <c:v>48.75</c:v>
                </c:pt>
                <c:pt idx="95">
                  <c:v>33.5</c:v>
                </c:pt>
                <c:pt idx="96">
                  <c:v>30</c:v>
                </c:pt>
                <c:pt idx="97">
                  <c:v>37.200000000000003</c:v>
                </c:pt>
                <c:pt idx="98">
                  <c:v>37.200000000000003</c:v>
                </c:pt>
                <c:pt idx="99">
                  <c:v>43.25</c:v>
                </c:pt>
                <c:pt idx="100">
                  <c:v>52.75</c:v>
                </c:pt>
                <c:pt idx="101">
                  <c:v>24</c:v>
                </c:pt>
                <c:pt idx="102">
                  <c:v>24</c:v>
                </c:pt>
                <c:pt idx="103">
                  <c:v>33.25</c:v>
                </c:pt>
                <c:pt idx="104">
                  <c:v>26.85</c:v>
                </c:pt>
                <c:pt idx="105">
                  <c:v>35</c:v>
                </c:pt>
                <c:pt idx="106">
                  <c:v>38</c:v>
                </c:pt>
                <c:pt idx="107">
                  <c:v>26.2</c:v>
                </c:pt>
                <c:pt idx="108">
                  <c:v>18.7</c:v>
                </c:pt>
                <c:pt idx="109">
                  <c:v>26.75</c:v>
                </c:pt>
                <c:pt idx="110">
                  <c:v>23</c:v>
                </c:pt>
                <c:pt idx="111">
                  <c:v>47.75</c:v>
                </c:pt>
                <c:pt idx="112">
                  <c:v>16.2</c:v>
                </c:pt>
                <c:pt idx="113">
                  <c:v>16.2</c:v>
                </c:pt>
                <c:pt idx="114">
                  <c:v>25.75</c:v>
                </c:pt>
                <c:pt idx="115">
                  <c:v>27.25</c:v>
                </c:pt>
                <c:pt idx="116">
                  <c:v>30.75</c:v>
                </c:pt>
                <c:pt idx="117">
                  <c:v>39.5</c:v>
                </c:pt>
                <c:pt idx="118">
                  <c:v>46.75</c:v>
                </c:pt>
                <c:pt idx="119">
                  <c:v>40</c:v>
                </c:pt>
                <c:pt idx="120">
                  <c:v>33.5</c:v>
                </c:pt>
                <c:pt idx="121">
                  <c:v>36.1</c:v>
                </c:pt>
                <c:pt idx="122">
                  <c:v>41.25</c:v>
                </c:pt>
                <c:pt idx="123">
                  <c:v>17.600000000000001</c:v>
                </c:pt>
                <c:pt idx="124">
                  <c:v>34</c:v>
                </c:pt>
                <c:pt idx="125">
                  <c:v>1.2</c:v>
                </c:pt>
                <c:pt idx="126">
                  <c:v>29.25</c:v>
                </c:pt>
                <c:pt idx="127">
                  <c:v>33</c:v>
                </c:pt>
                <c:pt idx="128">
                  <c:v>26.25</c:v>
                </c:pt>
                <c:pt idx="129">
                  <c:v>40.25</c:v>
                </c:pt>
                <c:pt idx="130">
                  <c:v>33.700000000000003</c:v>
                </c:pt>
                <c:pt idx="131">
                  <c:v>34.75</c:v>
                </c:pt>
                <c:pt idx="132">
                  <c:v>49</c:v>
                </c:pt>
                <c:pt idx="133">
                  <c:v>26.5</c:v>
                </c:pt>
                <c:pt idx="134">
                  <c:v>40.75</c:v>
                </c:pt>
                <c:pt idx="135">
                  <c:v>34.5</c:v>
                </c:pt>
                <c:pt idx="136">
                  <c:v>28.2</c:v>
                </c:pt>
                <c:pt idx="137">
                  <c:v>35.200000000000003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90880"/>
        <c:axId val="212092416"/>
      </c:scatterChart>
      <c:valAx>
        <c:axId val="2120908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12092416"/>
        <c:crosses val="autoZero"/>
        <c:crossBetween val="midCat"/>
      </c:valAx>
      <c:valAx>
        <c:axId val="21209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0908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680356</xdr:colOff>
      <xdr:row>1752</xdr:row>
      <xdr:rowOff>131988</xdr:rowOff>
    </xdr:from>
    <xdr:to>
      <xdr:col>11</xdr:col>
      <xdr:colOff>149678</xdr:colOff>
      <xdr:row>1767</xdr:row>
      <xdr:rowOff>17688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81643</xdr:colOff>
      <xdr:row>200</xdr:row>
      <xdr:rowOff>145595</xdr:rowOff>
    </xdr:from>
    <xdr:to>
      <xdr:col>12</xdr:col>
      <xdr:colOff>54428</xdr:colOff>
      <xdr:row>215</xdr:row>
      <xdr:rowOff>31295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anduel.com/e/Game/12108?tableId=11949750&amp;fromLobby=tru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andrewclem.com/Baseball/YankeeStadium.html" TargetMode="External"/><Relationship Id="rId18" Type="http://schemas.openxmlformats.org/officeDocument/2006/relationships/hyperlink" Target="http://www.andrewclem.com/Baseball/MemorialColiseum.html" TargetMode="External"/><Relationship Id="rId26" Type="http://schemas.openxmlformats.org/officeDocument/2006/relationships/hyperlink" Target="http://www.andrewclem.com/Baseball/SheaStadium.html" TargetMode="External"/><Relationship Id="rId39" Type="http://schemas.openxmlformats.org/officeDocument/2006/relationships/hyperlink" Target="http://www.andrewclem.com/Baseball/Kingdome.html" TargetMode="External"/><Relationship Id="rId21" Type="http://schemas.openxmlformats.org/officeDocument/2006/relationships/hyperlink" Target="http://www.andrewclem.com/Baseball/WrigleyField_LA.html" TargetMode="External"/><Relationship Id="rId34" Type="http://schemas.openxmlformats.org/officeDocument/2006/relationships/hyperlink" Target="http://www.andrewclem.com/Baseball/JackMurphyStadium.html" TargetMode="External"/><Relationship Id="rId42" Type="http://schemas.openxmlformats.org/officeDocument/2006/relationships/hyperlink" Target="http://www.andrewclem.com/Baseball/RogersCentre.html" TargetMode="External"/><Relationship Id="rId47" Type="http://schemas.openxmlformats.org/officeDocument/2006/relationships/hyperlink" Target="http://www.andrewclem.com/Baseball/JacobsField.html" TargetMode="External"/><Relationship Id="rId50" Type="http://schemas.openxmlformats.org/officeDocument/2006/relationships/hyperlink" Target="http://www.andrewclem.com/Baseball/TurnerField.html" TargetMode="External"/><Relationship Id="rId55" Type="http://schemas.openxmlformats.org/officeDocument/2006/relationships/hyperlink" Target="http://www.andrewclem.com/Baseball/MinuteMaidPark.html" TargetMode="External"/><Relationship Id="rId63" Type="http://schemas.openxmlformats.org/officeDocument/2006/relationships/hyperlink" Target="http://www.andrewclem.com/Baseball/NationalsPark.html" TargetMode="External"/><Relationship Id="rId7" Type="http://schemas.openxmlformats.org/officeDocument/2006/relationships/hyperlink" Target="http://www.andrewclem.com/Baseball/CrosleyField.html" TargetMode="External"/><Relationship Id="rId2" Type="http://schemas.openxmlformats.org/officeDocument/2006/relationships/hyperlink" Target="http://www.andrewclem.com/Baseball/SportsmansPark.html" TargetMode="External"/><Relationship Id="rId16" Type="http://schemas.openxmlformats.org/officeDocument/2006/relationships/hyperlink" Target="http://www.andrewclem.com/Baseball/MemorialStadium.html" TargetMode="External"/><Relationship Id="rId29" Type="http://schemas.openxmlformats.org/officeDocument/2006/relationships/hyperlink" Target="http://www.andrewclem.com/Baseball/Atlanta-FultonCountyStadium.html" TargetMode="External"/><Relationship Id="rId1" Type="http://schemas.openxmlformats.org/officeDocument/2006/relationships/hyperlink" Target="http://www.andrewclem.com/Baseball/ShibePark.html" TargetMode="External"/><Relationship Id="rId6" Type="http://schemas.openxmlformats.org/officeDocument/2006/relationships/hyperlink" Target="http://www.andrewclem.com/Baseball/GriffithStadium.html" TargetMode="External"/><Relationship Id="rId11" Type="http://schemas.openxmlformats.org/officeDocument/2006/relationships/hyperlink" Target="http://www.andrewclem.com/Baseball/WrigleyField.html" TargetMode="External"/><Relationship Id="rId24" Type="http://schemas.openxmlformats.org/officeDocument/2006/relationships/hyperlink" Target="http://www.andrewclem.com/Baseball/ColtStadium.html" TargetMode="External"/><Relationship Id="rId32" Type="http://schemas.openxmlformats.org/officeDocument/2006/relationships/hyperlink" Target="http://www.andrewclem.com/Baseball/JarryPark.html" TargetMode="External"/><Relationship Id="rId37" Type="http://schemas.openxmlformats.org/officeDocument/2006/relationships/hyperlink" Target="http://www.andrewclem.com/Baseball/KauffmanStadium.html" TargetMode="External"/><Relationship Id="rId40" Type="http://schemas.openxmlformats.org/officeDocument/2006/relationships/hyperlink" Target="http://www.andrewclem.com/Baseball/ExhibitionStadium.html" TargetMode="External"/><Relationship Id="rId45" Type="http://schemas.openxmlformats.org/officeDocument/2006/relationships/hyperlink" Target="http://www.andrewclem.com/Baseball/DolphinStadium.html" TargetMode="External"/><Relationship Id="rId53" Type="http://schemas.openxmlformats.org/officeDocument/2006/relationships/hyperlink" Target="http://www.andrewclem.com/Baseball/SafecoField.html" TargetMode="External"/><Relationship Id="rId58" Type="http://schemas.openxmlformats.org/officeDocument/2006/relationships/hyperlink" Target="http://www.andrewclem.com/Baseball/PNCPark.html" TargetMode="External"/><Relationship Id="rId66" Type="http://schemas.openxmlformats.org/officeDocument/2006/relationships/hyperlink" Target="http://www.andrewclem.com/Baseball/TargetField.html" TargetMode="External"/><Relationship Id="rId5" Type="http://schemas.openxmlformats.org/officeDocument/2006/relationships/hyperlink" Target="http://www.andrewclem.com/Baseball/PoloGrounds.html" TargetMode="External"/><Relationship Id="rId15" Type="http://schemas.openxmlformats.org/officeDocument/2006/relationships/hyperlink" Target="http://www.andrewclem.com/Baseball/MilwaukeeCountyStadium.html" TargetMode="External"/><Relationship Id="rId23" Type="http://schemas.openxmlformats.org/officeDocument/2006/relationships/hyperlink" Target="http://www.andrewclem.com/Baseball/DodgerStadium.html" TargetMode="External"/><Relationship Id="rId28" Type="http://schemas.openxmlformats.org/officeDocument/2006/relationships/hyperlink" Target="http://www.andrewclem.com/Baseball/AnaheimStadium.html" TargetMode="External"/><Relationship Id="rId36" Type="http://schemas.openxmlformats.org/officeDocument/2006/relationships/hyperlink" Target="http://www.andrewclem.com/Baseball/ArlingtonStadium.html" TargetMode="External"/><Relationship Id="rId49" Type="http://schemas.openxmlformats.org/officeDocument/2006/relationships/hyperlink" Target="http://www.andrewclem.com/Baseball/CoorsField.html" TargetMode="External"/><Relationship Id="rId57" Type="http://schemas.openxmlformats.org/officeDocument/2006/relationships/hyperlink" Target="http://www.andrewclem.com/Baseball/MillerPark.html" TargetMode="External"/><Relationship Id="rId61" Type="http://schemas.openxmlformats.org/officeDocument/2006/relationships/hyperlink" Target="http://www.andrewclem.com/Baseball/PetcoPark.html" TargetMode="External"/><Relationship Id="rId10" Type="http://schemas.openxmlformats.org/officeDocument/2006/relationships/hyperlink" Target="http://www.andrewclem.com/Baseball/EbbetsField.html" TargetMode="External"/><Relationship Id="rId19" Type="http://schemas.openxmlformats.org/officeDocument/2006/relationships/hyperlink" Target="http://www.andrewclem.com/Baseball/SealsStadium.html" TargetMode="External"/><Relationship Id="rId31" Type="http://schemas.openxmlformats.org/officeDocument/2006/relationships/hyperlink" Target="http://www.andrewclem.com/Baseball/OaklandColiseum.html" TargetMode="External"/><Relationship Id="rId44" Type="http://schemas.openxmlformats.org/officeDocument/2006/relationships/hyperlink" Target="http://www.andrewclem.com/Baseball/CamdenYards.html" TargetMode="External"/><Relationship Id="rId52" Type="http://schemas.openxmlformats.org/officeDocument/2006/relationships/hyperlink" Target="http://www.andrewclem.com/Baseball/ChaseField.html" TargetMode="External"/><Relationship Id="rId60" Type="http://schemas.openxmlformats.org/officeDocument/2006/relationships/hyperlink" Target="http://www.andrewclem.com/Baseball/CitizensBankPark.html" TargetMode="External"/><Relationship Id="rId65" Type="http://schemas.openxmlformats.org/officeDocument/2006/relationships/hyperlink" Target="http://www.andrewclem.com/Baseball/CitiField.html" TargetMode="External"/><Relationship Id="rId4" Type="http://schemas.openxmlformats.org/officeDocument/2006/relationships/hyperlink" Target="http://www.andrewclem.com/Baseball/ComiskeyPark.html" TargetMode="External"/><Relationship Id="rId9" Type="http://schemas.openxmlformats.org/officeDocument/2006/relationships/hyperlink" Target="http://www.andrewclem.com/Baseball/FenwayPark.html" TargetMode="External"/><Relationship Id="rId14" Type="http://schemas.openxmlformats.org/officeDocument/2006/relationships/hyperlink" Target="http://www.andrewclem.com/Baseball/ClevelandStadium.html" TargetMode="External"/><Relationship Id="rId22" Type="http://schemas.openxmlformats.org/officeDocument/2006/relationships/hyperlink" Target="http://www.andrewclem.com/Baseball/MetropolitanStadium.html" TargetMode="External"/><Relationship Id="rId27" Type="http://schemas.openxmlformats.org/officeDocument/2006/relationships/hyperlink" Target="http://www.andrewclem.com/Baseball/Astrodome.html" TargetMode="External"/><Relationship Id="rId30" Type="http://schemas.openxmlformats.org/officeDocument/2006/relationships/hyperlink" Target="http://www.andrewclem.com/Baseball/BuschStadium_II.html" TargetMode="External"/><Relationship Id="rId35" Type="http://schemas.openxmlformats.org/officeDocument/2006/relationships/hyperlink" Target="http://www.andrewclem.com/Baseball/RiverfrontStadium.html" TargetMode="External"/><Relationship Id="rId43" Type="http://schemas.openxmlformats.org/officeDocument/2006/relationships/hyperlink" Target="http://www.andrewclem.com/Baseball/USCellularField.html" TargetMode="External"/><Relationship Id="rId48" Type="http://schemas.openxmlformats.org/officeDocument/2006/relationships/hyperlink" Target="http://www.andrewclem.com/Baseball/BallparkArlington.html" TargetMode="External"/><Relationship Id="rId56" Type="http://schemas.openxmlformats.org/officeDocument/2006/relationships/hyperlink" Target="http://www.andrewclem.com/Baseball/ComericaPark.html" TargetMode="External"/><Relationship Id="rId64" Type="http://schemas.openxmlformats.org/officeDocument/2006/relationships/hyperlink" Target="http://www.andrewclem.com/Baseball/YankeeStadium_II.html" TargetMode="External"/><Relationship Id="rId8" Type="http://schemas.openxmlformats.org/officeDocument/2006/relationships/hyperlink" Target="http://www.andrewclem.com/Baseball/TigerStadium.html" TargetMode="External"/><Relationship Id="rId51" Type="http://schemas.openxmlformats.org/officeDocument/2006/relationships/hyperlink" Target="http://www.andrewclem.com/Baseball/TropicanaField.html" TargetMode="External"/><Relationship Id="rId3" Type="http://schemas.openxmlformats.org/officeDocument/2006/relationships/hyperlink" Target="http://www.andrewclem.com/Baseball/LeaguePark.html" TargetMode="External"/><Relationship Id="rId12" Type="http://schemas.openxmlformats.org/officeDocument/2006/relationships/hyperlink" Target="http://www.andrewclem.com/Baseball/BravesField.html" TargetMode="External"/><Relationship Id="rId17" Type="http://schemas.openxmlformats.org/officeDocument/2006/relationships/hyperlink" Target="http://www.andrewclem.com/Baseball/KC_MunicipalStadium.html" TargetMode="External"/><Relationship Id="rId25" Type="http://schemas.openxmlformats.org/officeDocument/2006/relationships/hyperlink" Target="http://www.andrewclem.com/Baseball/RFKStadium.html" TargetMode="External"/><Relationship Id="rId33" Type="http://schemas.openxmlformats.org/officeDocument/2006/relationships/hyperlink" Target="http://www.andrewclem.com/Baseball/SicksStadium.html" TargetMode="External"/><Relationship Id="rId38" Type="http://schemas.openxmlformats.org/officeDocument/2006/relationships/hyperlink" Target="http://www.andrewclem.com/Baseball/OlympicStadium.html" TargetMode="External"/><Relationship Id="rId46" Type="http://schemas.openxmlformats.org/officeDocument/2006/relationships/hyperlink" Target="http://www.andrewclem.com/Baseball/MileHighStadium.html" TargetMode="External"/><Relationship Id="rId59" Type="http://schemas.openxmlformats.org/officeDocument/2006/relationships/hyperlink" Target="http://www.andrewclem.com/Baseball/GreatAmericanBallpark.html" TargetMode="External"/><Relationship Id="rId67" Type="http://schemas.openxmlformats.org/officeDocument/2006/relationships/hyperlink" Target="http://www.andrewclem.com/Baseball/MarlinsPark.html" TargetMode="External"/><Relationship Id="rId20" Type="http://schemas.openxmlformats.org/officeDocument/2006/relationships/hyperlink" Target="http://www.andrewclem.com/Baseball/CandlestickPark.html" TargetMode="External"/><Relationship Id="rId41" Type="http://schemas.openxmlformats.org/officeDocument/2006/relationships/hyperlink" Target="http://www.andrewclem.com/Baseball/Metrodome.html" TargetMode="External"/><Relationship Id="rId54" Type="http://schemas.openxmlformats.org/officeDocument/2006/relationships/hyperlink" Target="http://www.andrewclem.com/Baseball/ATTPark.html" TargetMode="External"/><Relationship Id="rId62" Type="http://schemas.openxmlformats.org/officeDocument/2006/relationships/hyperlink" Target="http://www.andrewclem.com/Baseball/BuschStadium_III.html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5"/>
  <sheetViews>
    <sheetView workbookViewId="0"/>
  </sheetViews>
  <sheetFormatPr defaultRowHeight="15" x14ac:dyDescent="0.25"/>
  <sheetData>
    <row r="1" spans="1:2" x14ac:dyDescent="0.25">
      <c r="A1">
        <v>34</v>
      </c>
    </row>
    <row r="3" spans="1:2" x14ac:dyDescent="0.25">
      <c r="A3" t="s">
        <v>0</v>
      </c>
      <c r="B3">
        <v>10</v>
      </c>
    </row>
    <row r="4" spans="1:2" x14ac:dyDescent="0.25">
      <c r="A4" t="s">
        <v>1</v>
      </c>
      <c r="B4" t="s">
        <v>3878</v>
      </c>
    </row>
    <row r="5" spans="1:2" x14ac:dyDescent="0.25">
      <c r="A5" t="s">
        <v>2</v>
      </c>
      <c r="B5" t="s">
        <v>3879</v>
      </c>
    </row>
    <row r="6" spans="1:2" x14ac:dyDescent="0.25">
      <c r="A6" t="s">
        <v>5</v>
      </c>
      <c r="B6" t="s">
        <v>3012</v>
      </c>
    </row>
    <row r="7" spans="1:2" x14ac:dyDescent="0.25">
      <c r="A7" t="s">
        <v>6</v>
      </c>
      <c r="B7" t="s">
        <v>3013</v>
      </c>
    </row>
    <row r="8" spans="1:2" x14ac:dyDescent="0.25">
      <c r="A8" t="s">
        <v>7</v>
      </c>
      <c r="B8" t="s">
        <v>2989</v>
      </c>
    </row>
    <row r="9" spans="1:2" x14ac:dyDescent="0.25">
      <c r="A9" t="s">
        <v>8</v>
      </c>
      <c r="B9" t="s">
        <v>2990</v>
      </c>
    </row>
    <row r="10" spans="1:2" x14ac:dyDescent="0.25">
      <c r="A10" t="s">
        <v>9</v>
      </c>
      <c r="B10" t="s">
        <v>2542</v>
      </c>
    </row>
    <row r="11" spans="1:2" x14ac:dyDescent="0.25">
      <c r="A11" t="s">
        <v>10</v>
      </c>
      <c r="B11" t="s">
        <v>2543</v>
      </c>
    </row>
    <row r="12" spans="1:2" x14ac:dyDescent="0.25">
      <c r="A12" t="s">
        <v>11</v>
      </c>
      <c r="B12" t="s">
        <v>749</v>
      </c>
    </row>
    <row r="13" spans="1:2" x14ac:dyDescent="0.25">
      <c r="A13" t="s">
        <v>12</v>
      </c>
      <c r="B13" t="s">
        <v>750</v>
      </c>
    </row>
    <row r="14" spans="1:2" x14ac:dyDescent="0.25">
      <c r="A14" t="s">
        <v>699</v>
      </c>
      <c r="B14" t="s">
        <v>707</v>
      </c>
    </row>
    <row r="15" spans="1:2" x14ac:dyDescent="0.25">
      <c r="A15" t="s">
        <v>700</v>
      </c>
      <c r="B15" t="s">
        <v>708</v>
      </c>
    </row>
    <row r="16" spans="1:2" x14ac:dyDescent="0.25">
      <c r="A16" t="s">
        <v>705</v>
      </c>
      <c r="B16" t="s">
        <v>1459</v>
      </c>
    </row>
    <row r="17" spans="1:2" x14ac:dyDescent="0.25">
      <c r="A17" t="s">
        <v>706</v>
      </c>
      <c r="B17" t="s">
        <v>1506</v>
      </c>
    </row>
    <row r="18" spans="1:2" x14ac:dyDescent="0.25">
      <c r="A18" t="s">
        <v>709</v>
      </c>
      <c r="B18" t="s">
        <v>221</v>
      </c>
    </row>
    <row r="19" spans="1:2" x14ac:dyDescent="0.25">
      <c r="A19" t="s">
        <v>710</v>
      </c>
      <c r="B19" t="s">
        <v>1505</v>
      </c>
    </row>
    <row r="20" spans="1:2" x14ac:dyDescent="0.25">
      <c r="A20" t="s">
        <v>711</v>
      </c>
      <c r="B20" t="s">
        <v>1762</v>
      </c>
    </row>
    <row r="21" spans="1:2" x14ac:dyDescent="0.25">
      <c r="A21" t="s">
        <v>712</v>
      </c>
      <c r="B21" t="s">
        <v>1763</v>
      </c>
    </row>
    <row r="22" spans="1:2" x14ac:dyDescent="0.25">
      <c r="A22" t="s">
        <v>713</v>
      </c>
      <c r="B22" t="s">
        <v>1424</v>
      </c>
    </row>
    <row r="23" spans="1:2" x14ac:dyDescent="0.25">
      <c r="A23" t="s">
        <v>714</v>
      </c>
      <c r="B23" t="s">
        <v>1425</v>
      </c>
    </row>
    <row r="24" spans="1:2" x14ac:dyDescent="0.25">
      <c r="A24" t="s">
        <v>747</v>
      </c>
      <c r="B24" t="s">
        <v>206</v>
      </c>
    </row>
    <row r="25" spans="1:2" x14ac:dyDescent="0.25">
      <c r="A25" t="s">
        <v>748</v>
      </c>
      <c r="B25" t="s">
        <v>207</v>
      </c>
    </row>
    <row r="26" spans="1:2" x14ac:dyDescent="0.25">
      <c r="A26" t="s">
        <v>751</v>
      </c>
      <c r="B26" t="s">
        <v>206</v>
      </c>
    </row>
    <row r="27" spans="1:2" x14ac:dyDescent="0.25">
      <c r="A27" t="s">
        <v>752</v>
      </c>
      <c r="B27" t="s">
        <v>207</v>
      </c>
    </row>
    <row r="28" spans="1:2" x14ac:dyDescent="0.25">
      <c r="A28" t="s">
        <v>1426</v>
      </c>
      <c r="B28" t="s">
        <v>206</v>
      </c>
    </row>
    <row r="29" spans="1:2" x14ac:dyDescent="0.25">
      <c r="A29" t="s">
        <v>1427</v>
      </c>
      <c r="B29" t="s">
        <v>207</v>
      </c>
    </row>
    <row r="30" spans="1:2" x14ac:dyDescent="0.25">
      <c r="A30" t="s">
        <v>1507</v>
      </c>
      <c r="B30" t="s">
        <v>206</v>
      </c>
    </row>
    <row r="31" spans="1:2" x14ac:dyDescent="0.25">
      <c r="A31" t="s">
        <v>1508</v>
      </c>
      <c r="B31" t="s">
        <v>207</v>
      </c>
    </row>
    <row r="32" spans="1:2" x14ac:dyDescent="0.25">
      <c r="A32" t="s">
        <v>1684</v>
      </c>
      <c r="B32" t="s">
        <v>206</v>
      </c>
    </row>
    <row r="33" spans="1:2" x14ac:dyDescent="0.25">
      <c r="A33" t="s">
        <v>1685</v>
      </c>
      <c r="B33" t="s">
        <v>207</v>
      </c>
    </row>
    <row r="34" spans="1:2" x14ac:dyDescent="0.25">
      <c r="A34" t="s">
        <v>1764</v>
      </c>
      <c r="B34" t="s">
        <v>206</v>
      </c>
    </row>
    <row r="35" spans="1:2" x14ac:dyDescent="0.25">
      <c r="A35" t="s">
        <v>1765</v>
      </c>
      <c r="B35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4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13</v>
      </c>
      <c r="B1" s="6" t="s">
        <v>14</v>
      </c>
      <c r="C1" s="6" t="s">
        <v>225</v>
      </c>
      <c r="D1" s="6" t="s">
        <v>226</v>
      </c>
      <c r="E1" s="6" t="s">
        <v>15</v>
      </c>
      <c r="F1" s="6" t="s">
        <v>27</v>
      </c>
      <c r="G1" s="6" t="s">
        <v>19</v>
      </c>
      <c r="H1" s="6" t="s">
        <v>205</v>
      </c>
    </row>
    <row r="2" spans="1:8" ht="45" x14ac:dyDescent="0.25">
      <c r="A2" s="6" t="s">
        <v>16</v>
      </c>
      <c r="B2" s="6" t="s">
        <v>17</v>
      </c>
      <c r="C2" s="6" t="s">
        <v>227</v>
      </c>
      <c r="D2" s="6" t="s">
        <v>21</v>
      </c>
      <c r="E2" s="6">
        <v>1</v>
      </c>
      <c r="F2" s="6" t="s">
        <v>47</v>
      </c>
      <c r="G2" s="6" t="s">
        <v>194</v>
      </c>
    </row>
    <row r="3" spans="1:8" x14ac:dyDescent="0.25">
      <c r="A3" s="6" t="s">
        <v>20</v>
      </c>
      <c r="B3" s="6" t="s">
        <v>22</v>
      </c>
      <c r="C3" s="6" t="s">
        <v>94</v>
      </c>
      <c r="D3" s="6" t="s">
        <v>18</v>
      </c>
      <c r="E3" s="6">
        <v>1</v>
      </c>
      <c r="F3" s="6" t="s">
        <v>94</v>
      </c>
      <c r="G3" s="6" t="s">
        <v>56</v>
      </c>
    </row>
    <row r="4" spans="1:8" ht="75" x14ac:dyDescent="0.25">
      <c r="A4" s="6" t="s">
        <v>35</v>
      </c>
      <c r="B4" s="6" t="s">
        <v>36</v>
      </c>
      <c r="C4" s="6" t="s">
        <v>94</v>
      </c>
      <c r="D4" s="6" t="s">
        <v>18</v>
      </c>
      <c r="E4" s="6" t="s">
        <v>38</v>
      </c>
      <c r="F4" s="6" t="s">
        <v>94</v>
      </c>
      <c r="G4" s="6" t="s">
        <v>81</v>
      </c>
    </row>
    <row r="5" spans="1:8" x14ac:dyDescent="0.25">
      <c r="A5" s="6" t="s">
        <v>50</v>
      </c>
      <c r="B5" s="6" t="s">
        <v>51</v>
      </c>
      <c r="C5" s="6" t="s">
        <v>227</v>
      </c>
      <c r="D5" s="6" t="s">
        <v>52</v>
      </c>
      <c r="E5" s="6" t="s">
        <v>38</v>
      </c>
      <c r="F5" s="6" t="s">
        <v>37</v>
      </c>
    </row>
    <row r="6" spans="1:8" ht="30" x14ac:dyDescent="0.25">
      <c r="A6" s="6" t="s">
        <v>23</v>
      </c>
      <c r="B6" s="6" t="s">
        <v>24</v>
      </c>
      <c r="C6" s="6" t="s">
        <v>94</v>
      </c>
      <c r="D6" s="6" t="s">
        <v>30</v>
      </c>
      <c r="E6" s="6">
        <v>7</v>
      </c>
      <c r="F6" s="6" t="s">
        <v>47</v>
      </c>
      <c r="G6" s="6" t="s">
        <v>82</v>
      </c>
    </row>
    <row r="7" spans="1:8" ht="45" x14ac:dyDescent="0.25">
      <c r="A7" s="6" t="s">
        <v>25</v>
      </c>
      <c r="B7" s="6" t="s">
        <v>26</v>
      </c>
      <c r="C7" s="6" t="s">
        <v>227</v>
      </c>
      <c r="D7" s="6" t="s">
        <v>29</v>
      </c>
      <c r="E7" s="6">
        <v>3</v>
      </c>
      <c r="F7" s="6" t="s">
        <v>28</v>
      </c>
    </row>
    <row r="8" spans="1:8" x14ac:dyDescent="0.25">
      <c r="A8" s="6" t="s">
        <v>33</v>
      </c>
      <c r="B8" s="6" t="s">
        <v>34</v>
      </c>
      <c r="C8" s="6" t="s">
        <v>33</v>
      </c>
      <c r="D8" s="6" t="s">
        <v>33</v>
      </c>
      <c r="E8" s="6">
        <v>3</v>
      </c>
      <c r="F8" s="6" t="s">
        <v>28</v>
      </c>
    </row>
    <row r="9" spans="1:8" x14ac:dyDescent="0.25">
      <c r="A9" s="6" t="s">
        <v>39</v>
      </c>
      <c r="B9" s="6" t="s">
        <v>40</v>
      </c>
      <c r="C9" s="6" t="s">
        <v>202</v>
      </c>
      <c r="D9" s="6" t="s">
        <v>39</v>
      </c>
      <c r="E9" s="6">
        <v>3</v>
      </c>
      <c r="F9" s="6" t="s">
        <v>28</v>
      </c>
    </row>
    <row r="10" spans="1:8" ht="30" x14ac:dyDescent="0.25">
      <c r="A10" s="6" t="s">
        <v>48</v>
      </c>
      <c r="B10" s="6" t="s">
        <v>49</v>
      </c>
      <c r="C10" s="6" t="s">
        <v>227</v>
      </c>
      <c r="D10" s="6" t="s">
        <v>45</v>
      </c>
      <c r="E10" s="6">
        <v>3</v>
      </c>
      <c r="F10" s="6" t="s">
        <v>28</v>
      </c>
    </row>
    <row r="11" spans="1:8" ht="30" x14ac:dyDescent="0.25">
      <c r="A11" s="6" t="s">
        <v>41</v>
      </c>
      <c r="B11" s="6" t="s">
        <v>42</v>
      </c>
      <c r="C11" s="6" t="s">
        <v>94</v>
      </c>
      <c r="D11" s="6" t="s">
        <v>43</v>
      </c>
      <c r="E11" s="6">
        <v>4</v>
      </c>
      <c r="F11" s="6" t="s">
        <v>28</v>
      </c>
    </row>
    <row r="12" spans="1:8" ht="60" x14ac:dyDescent="0.25">
      <c r="A12" s="6" t="s">
        <v>44</v>
      </c>
      <c r="B12" s="6" t="s">
        <v>83</v>
      </c>
      <c r="C12" s="6" t="s">
        <v>227</v>
      </c>
      <c r="D12" s="6" t="s">
        <v>45</v>
      </c>
      <c r="E12" s="6">
        <v>5</v>
      </c>
      <c r="F12" s="6" t="s">
        <v>46</v>
      </c>
      <c r="G12" s="6" t="s">
        <v>195</v>
      </c>
    </row>
    <row r="13" spans="1:8" x14ac:dyDescent="0.25">
      <c r="A13" s="6" t="s">
        <v>31</v>
      </c>
      <c r="B13" s="6" t="s">
        <v>32</v>
      </c>
      <c r="C13" s="6" t="s">
        <v>227</v>
      </c>
      <c r="D13" s="6" t="s">
        <v>29</v>
      </c>
      <c r="E13" s="6" t="s">
        <v>38</v>
      </c>
      <c r="F13" s="6" t="s">
        <v>37</v>
      </c>
    </row>
    <row r="14" spans="1:8" ht="30" x14ac:dyDescent="0.25">
      <c r="A14" s="6" t="s">
        <v>53</v>
      </c>
      <c r="B14" s="6" t="s">
        <v>54</v>
      </c>
      <c r="C14" s="6" t="s">
        <v>33</v>
      </c>
      <c r="D14" s="6" t="s">
        <v>55</v>
      </c>
      <c r="E14" s="6">
        <v>2</v>
      </c>
      <c r="F14" s="6" t="s">
        <v>28</v>
      </c>
    </row>
    <row r="15" spans="1:8" ht="105" x14ac:dyDescent="0.25">
      <c r="A15" s="6" t="s">
        <v>84</v>
      </c>
      <c r="B15" s="6" t="s">
        <v>85</v>
      </c>
      <c r="C15" s="6" t="s">
        <v>94</v>
      </c>
      <c r="D15" s="6" t="s">
        <v>84</v>
      </c>
      <c r="E15" s="6">
        <v>4</v>
      </c>
      <c r="F15" s="6" t="s">
        <v>47</v>
      </c>
      <c r="G15" s="6" t="s">
        <v>91</v>
      </c>
    </row>
    <row r="16" spans="1:8" ht="30" x14ac:dyDescent="0.25">
      <c r="A16" s="6" t="s">
        <v>86</v>
      </c>
      <c r="B16" s="6" t="s">
        <v>87</v>
      </c>
      <c r="C16" s="6" t="s">
        <v>227</v>
      </c>
      <c r="D16" s="6" t="s">
        <v>88</v>
      </c>
      <c r="E16" s="6">
        <v>4</v>
      </c>
      <c r="F16" s="6" t="s">
        <v>47</v>
      </c>
    </row>
    <row r="17" spans="1:7" ht="30" x14ac:dyDescent="0.25">
      <c r="A17" s="6" t="s">
        <v>89</v>
      </c>
      <c r="B17" s="6" t="s">
        <v>90</v>
      </c>
      <c r="C17" s="6" t="s">
        <v>227</v>
      </c>
      <c r="D17" s="6" t="s">
        <v>89</v>
      </c>
      <c r="E17" s="6">
        <v>5</v>
      </c>
      <c r="F17" s="6" t="s">
        <v>47</v>
      </c>
    </row>
    <row r="18" spans="1:7" x14ac:dyDescent="0.25">
      <c r="A18" s="6" t="s">
        <v>92</v>
      </c>
      <c r="B18" s="6" t="s">
        <v>93</v>
      </c>
      <c r="C18" s="6" t="s">
        <v>94</v>
      </c>
      <c r="D18" s="6" t="s">
        <v>94</v>
      </c>
      <c r="E18" s="6">
        <v>6</v>
      </c>
      <c r="F18" s="6" t="s">
        <v>28</v>
      </c>
    </row>
    <row r="19" spans="1:7" ht="30" x14ac:dyDescent="0.25">
      <c r="A19" s="6" t="s">
        <v>95</v>
      </c>
      <c r="B19" s="6" t="s">
        <v>96</v>
      </c>
      <c r="C19" s="6" t="s">
        <v>33</v>
      </c>
      <c r="D19" s="6" t="s">
        <v>97</v>
      </c>
      <c r="E19" s="6">
        <v>1</v>
      </c>
      <c r="F19" s="6" t="s">
        <v>28</v>
      </c>
      <c r="G19" s="6" t="s">
        <v>196</v>
      </c>
    </row>
    <row r="20" spans="1:7" x14ac:dyDescent="0.25">
      <c r="A20" s="6" t="s">
        <v>200</v>
      </c>
      <c r="B20" s="6" t="s">
        <v>201</v>
      </c>
      <c r="C20" s="6" t="s">
        <v>202</v>
      </c>
      <c r="D20" s="6" t="s">
        <v>229</v>
      </c>
      <c r="E20" s="6">
        <v>4</v>
      </c>
      <c r="F20" s="6" t="s">
        <v>28</v>
      </c>
    </row>
    <row r="21" spans="1:7" ht="30" x14ac:dyDescent="0.25">
      <c r="A21" s="6" t="s">
        <v>203</v>
      </c>
      <c r="C21" s="6" t="s">
        <v>202</v>
      </c>
      <c r="D21" s="6" t="s">
        <v>228</v>
      </c>
      <c r="E21" s="6">
        <v>5</v>
      </c>
    </row>
    <row r="22" spans="1:7" ht="30" x14ac:dyDescent="0.25">
      <c r="A22" s="6" t="s">
        <v>204</v>
      </c>
      <c r="C22" s="6" t="s">
        <v>202</v>
      </c>
      <c r="D22" s="6" t="s">
        <v>230</v>
      </c>
      <c r="E22" s="6">
        <v>5</v>
      </c>
    </row>
    <row r="23" spans="1:7" ht="30" x14ac:dyDescent="0.25">
      <c r="A23" s="6" t="s">
        <v>243</v>
      </c>
      <c r="B23" s="6" t="s">
        <v>244</v>
      </c>
      <c r="C23" s="6" t="s">
        <v>227</v>
      </c>
      <c r="D23" s="6" t="s">
        <v>245</v>
      </c>
      <c r="E23" s="6">
        <v>5</v>
      </c>
    </row>
    <row r="24" spans="1:7" x14ac:dyDescent="0.25">
      <c r="A24" s="6" t="s">
        <v>302</v>
      </c>
      <c r="B24" s="6" t="s">
        <v>303</v>
      </c>
      <c r="C24" s="6" t="s">
        <v>227</v>
      </c>
      <c r="D24" s="6" t="s">
        <v>304</v>
      </c>
      <c r="E24" s="6">
        <v>5</v>
      </c>
      <c r="F24" s="6" t="s">
        <v>28</v>
      </c>
    </row>
    <row r="25" spans="1:7" x14ac:dyDescent="0.25">
      <c r="A25" s="6" t="s">
        <v>317</v>
      </c>
      <c r="B25" s="6" t="s">
        <v>318</v>
      </c>
      <c r="C25" s="6" t="s">
        <v>227</v>
      </c>
      <c r="D25" s="6" t="s">
        <v>316</v>
      </c>
      <c r="E25" s="6">
        <v>2</v>
      </c>
      <c r="F25" s="6" t="s">
        <v>28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168</v>
      </c>
      <c r="C2" s="5" t="s">
        <v>170</v>
      </c>
      <c r="D2" s="5" t="s">
        <v>171</v>
      </c>
      <c r="L2" s="10" t="s">
        <v>168</v>
      </c>
      <c r="M2" t="s">
        <v>171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159</v>
      </c>
      <c r="M3" s="13">
        <v>-1</v>
      </c>
    </row>
    <row r="4" spans="2:13" x14ac:dyDescent="0.25">
      <c r="B4" s="12" t="s">
        <v>169</v>
      </c>
      <c r="C4" s="13">
        <v>-10</v>
      </c>
      <c r="D4" s="13">
        <v>-1</v>
      </c>
      <c r="L4" s="12" t="s">
        <v>169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C57"/>
  <sheetViews>
    <sheetView zoomScale="70" zoomScaleNormal="70" workbookViewId="0">
      <selection activeCell="H17" sqref="H17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29" x14ac:dyDescent="0.25">
      <c r="H1" s="74" t="s">
        <v>730</v>
      </c>
      <c r="I1" s="74"/>
      <c r="J1" s="74"/>
    </row>
    <row r="2" spans="1:29" x14ac:dyDescent="0.25">
      <c r="H2" s="5" t="s">
        <v>731</v>
      </c>
      <c r="I2" s="5" t="s">
        <v>737</v>
      </c>
      <c r="J2" s="5" t="s">
        <v>732</v>
      </c>
    </row>
    <row r="3" spans="1:29" ht="12.75" customHeight="1" x14ac:dyDescent="0.25">
      <c r="A3" s="74" t="s">
        <v>701</v>
      </c>
      <c r="B3" s="74"/>
      <c r="H3" s="19" t="s">
        <v>724</v>
      </c>
      <c r="I3" s="19" t="s">
        <v>733</v>
      </c>
      <c r="J3" s="5" t="s">
        <v>154</v>
      </c>
    </row>
    <row r="4" spans="1:29" x14ac:dyDescent="0.25">
      <c r="A4" s="5" t="s">
        <v>702</v>
      </c>
      <c r="H4" s="19" t="s">
        <v>154</v>
      </c>
      <c r="I4" s="19" t="s">
        <v>733</v>
      </c>
      <c r="J4" s="5" t="s">
        <v>154</v>
      </c>
    </row>
    <row r="5" spans="1:29" x14ac:dyDescent="0.25">
      <c r="A5" s="30" t="s">
        <v>1754</v>
      </c>
      <c r="B5" s="30" t="s">
        <v>3876</v>
      </c>
      <c r="H5" s="19" t="s">
        <v>725</v>
      </c>
      <c r="I5" s="19" t="s">
        <v>734</v>
      </c>
      <c r="J5" s="5" t="s">
        <v>155</v>
      </c>
    </row>
    <row r="6" spans="1:29" x14ac:dyDescent="0.25">
      <c r="A6" s="5" t="s">
        <v>703</v>
      </c>
      <c r="H6" s="19" t="s">
        <v>726</v>
      </c>
      <c r="I6" s="19" t="s">
        <v>734</v>
      </c>
      <c r="J6" s="5" t="s">
        <v>155</v>
      </c>
    </row>
    <row r="7" spans="1:29" x14ac:dyDescent="0.25">
      <c r="A7" s="5" t="s">
        <v>704</v>
      </c>
      <c r="B7" s="5" t="s">
        <v>3875</v>
      </c>
      <c r="H7" s="19" t="s">
        <v>727</v>
      </c>
      <c r="I7" s="19" t="s">
        <v>735</v>
      </c>
      <c r="J7" s="5" t="s">
        <v>156</v>
      </c>
      <c r="N7" s="20"/>
    </row>
    <row r="8" spans="1:29" x14ac:dyDescent="0.25">
      <c r="A8" s="5" t="s">
        <v>716</v>
      </c>
      <c r="H8" s="19" t="s">
        <v>728</v>
      </c>
      <c r="I8" s="5" t="s">
        <v>735</v>
      </c>
      <c r="J8" s="5" t="s">
        <v>156</v>
      </c>
      <c r="K8" s="19"/>
      <c r="N8" s="20"/>
    </row>
    <row r="9" spans="1:29" x14ac:dyDescent="0.25">
      <c r="A9" s="5" t="s">
        <v>1542</v>
      </c>
      <c r="H9" s="19" t="s">
        <v>729</v>
      </c>
      <c r="I9" s="5" t="s">
        <v>736</v>
      </c>
      <c r="J9" s="5" t="s">
        <v>157</v>
      </c>
      <c r="K9" s="19"/>
      <c r="L9" s="19"/>
      <c r="N9" s="20"/>
    </row>
    <row r="10" spans="1:29" x14ac:dyDescent="0.25">
      <c r="A10" s="5" t="s">
        <v>1543</v>
      </c>
      <c r="H10" s="5" t="s">
        <v>729</v>
      </c>
      <c r="I10" s="5" t="s">
        <v>736</v>
      </c>
      <c r="J10" s="5" t="s">
        <v>157</v>
      </c>
      <c r="K10" s="19"/>
      <c r="L10" s="19"/>
      <c r="N10" s="20"/>
    </row>
    <row r="11" spans="1:29" x14ac:dyDescent="0.25">
      <c r="A11" s="32" t="s">
        <v>1544</v>
      </c>
      <c r="B11" s="30" t="s">
        <v>3877</v>
      </c>
      <c r="H11" s="5" t="s">
        <v>729</v>
      </c>
      <c r="I11" s="5" t="s">
        <v>154</v>
      </c>
      <c r="J11" s="5" t="s">
        <v>158</v>
      </c>
      <c r="K11" s="19"/>
      <c r="L11" s="19"/>
      <c r="M11" s="19"/>
      <c r="N11" s="20"/>
      <c r="P11" s="20"/>
    </row>
    <row r="12" spans="1:29" x14ac:dyDescent="0.25">
      <c r="A12" s="19"/>
      <c r="B12" s="30"/>
      <c r="I12" s="19"/>
      <c r="K12" s="19"/>
      <c r="L12" s="19"/>
      <c r="M12" s="19"/>
      <c r="N12" s="20"/>
      <c r="P12" s="20"/>
    </row>
    <row r="13" spans="1:29" x14ac:dyDescent="0.25">
      <c r="B13" s="30"/>
      <c r="I13" s="19"/>
      <c r="K13" s="19"/>
      <c r="L13" s="19"/>
      <c r="M13" s="19"/>
      <c r="N13" s="20"/>
      <c r="P13" s="20"/>
    </row>
    <row r="14" spans="1:29" x14ac:dyDescent="0.25">
      <c r="B14" s="43"/>
      <c r="I14" s="19"/>
      <c r="K14" s="19"/>
      <c r="L14" s="1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</row>
    <row r="15" spans="1:29" x14ac:dyDescent="0.25">
      <c r="B15" s="30"/>
      <c r="C15" s="30"/>
      <c r="D15" s="30"/>
      <c r="E15" s="30"/>
      <c r="F15" s="30"/>
      <c r="G15" s="30"/>
      <c r="H15" s="19"/>
      <c r="I15" s="19"/>
      <c r="J15" s="30"/>
      <c r="K15" s="20"/>
      <c r="L15" s="19"/>
      <c r="M15" s="19"/>
      <c r="N15" s="19"/>
      <c r="O15" s="19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</row>
    <row r="16" spans="1:29" x14ac:dyDescent="0.25">
      <c r="B16" s="30"/>
      <c r="C16" s="30"/>
      <c r="D16" s="30"/>
      <c r="E16" s="30"/>
      <c r="F16" s="30"/>
      <c r="G16" s="30"/>
      <c r="H16" s="19"/>
      <c r="I16" s="19"/>
      <c r="J16" s="30"/>
      <c r="K16" s="20"/>
      <c r="L16" s="19"/>
      <c r="M16" s="19"/>
      <c r="N16" s="19"/>
      <c r="O16" s="19"/>
      <c r="P16" s="19"/>
      <c r="Q16" s="19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</row>
    <row r="17" spans="1:18" x14ac:dyDescent="0.25">
      <c r="A17" s="19"/>
      <c r="B17" s="30"/>
      <c r="C17" s="30"/>
      <c r="D17" s="30"/>
      <c r="E17" s="30"/>
      <c r="F17" s="30"/>
      <c r="G17" s="30"/>
      <c r="H17" s="19"/>
      <c r="I17" s="19"/>
      <c r="J17" s="30"/>
      <c r="K17" s="20"/>
      <c r="L17" s="19"/>
      <c r="M17" s="19"/>
      <c r="N17" s="19"/>
      <c r="O17" s="19"/>
      <c r="P17" s="20"/>
      <c r="Q17" s="20"/>
      <c r="R17" s="20"/>
    </row>
    <row r="18" spans="1:18" x14ac:dyDescent="0.25">
      <c r="A18" s="19"/>
      <c r="B18" s="30"/>
      <c r="C18" s="30"/>
      <c r="D18" s="30"/>
      <c r="E18" s="30"/>
      <c r="F18" s="30"/>
      <c r="G18" s="30"/>
      <c r="H18" s="19"/>
      <c r="I18" s="30"/>
      <c r="J18" s="30"/>
      <c r="K18" s="20"/>
      <c r="L18" s="19"/>
      <c r="M18" s="19"/>
      <c r="N18" s="19"/>
      <c r="O18" s="19"/>
      <c r="P18" s="20"/>
      <c r="Q18" s="20"/>
      <c r="R18" s="20"/>
    </row>
    <row r="19" spans="1:18" x14ac:dyDescent="0.25">
      <c r="A19" s="19"/>
      <c r="B19" s="43" t="s">
        <v>2558</v>
      </c>
      <c r="C19" s="30"/>
      <c r="D19" s="30"/>
      <c r="E19" s="30"/>
      <c r="F19" s="30"/>
      <c r="G19" s="30"/>
      <c r="H19" s="19"/>
      <c r="I19" s="19"/>
      <c r="J19" s="30"/>
      <c r="K19" s="20"/>
      <c r="L19" s="19"/>
      <c r="M19" s="70"/>
      <c r="N19" s="19"/>
      <c r="O19" s="19"/>
      <c r="P19" s="20"/>
      <c r="Q19" s="20"/>
      <c r="R19" s="20"/>
    </row>
    <row r="20" spans="1:18" x14ac:dyDescent="0.25">
      <c r="A20" s="19"/>
      <c r="B20" s="42" t="s">
        <v>2557</v>
      </c>
      <c r="C20" s="30"/>
      <c r="D20" s="30"/>
      <c r="E20" s="30"/>
      <c r="F20" s="30"/>
      <c r="G20" s="30"/>
      <c r="H20" s="19"/>
      <c r="I20" s="19"/>
      <c r="J20" s="30"/>
      <c r="K20" s="20"/>
      <c r="L20" s="30"/>
      <c r="M20" s="70"/>
      <c r="N20" s="19"/>
      <c r="O20" s="19"/>
      <c r="P20" s="20"/>
      <c r="Q20" s="20"/>
      <c r="R20" s="20"/>
    </row>
    <row r="21" spans="1:18" x14ac:dyDescent="0.25">
      <c r="B21" s="42" t="s">
        <v>1549</v>
      </c>
      <c r="C21" s="30"/>
      <c r="D21" s="30"/>
      <c r="E21" s="30"/>
      <c r="F21" s="30"/>
      <c r="G21" s="30"/>
      <c r="H21" s="19"/>
      <c r="I21" s="19"/>
      <c r="J21" s="30"/>
      <c r="K21" s="20"/>
      <c r="L21" s="19"/>
      <c r="M21" s="19"/>
      <c r="N21" s="19"/>
      <c r="O21" s="19"/>
      <c r="P21" s="20"/>
      <c r="Q21" s="20"/>
      <c r="R21" s="20"/>
    </row>
    <row r="22" spans="1:18" x14ac:dyDescent="0.25">
      <c r="A22" s="7"/>
      <c r="B22" s="42" t="s">
        <v>1550</v>
      </c>
      <c r="C22" s="30"/>
      <c r="D22" s="30"/>
      <c r="E22" s="30"/>
      <c r="F22" s="30"/>
      <c r="G22" s="30"/>
      <c r="H22" s="19"/>
      <c r="I22" s="19"/>
      <c r="J22" s="30"/>
      <c r="K22" s="20"/>
      <c r="L22" s="19"/>
      <c r="N22" s="19"/>
      <c r="O22" s="19"/>
      <c r="Q22" s="20"/>
      <c r="R22" s="20"/>
    </row>
    <row r="23" spans="1:18" x14ac:dyDescent="0.25">
      <c r="A23" s="19"/>
      <c r="B23" s="42" t="s">
        <v>1755</v>
      </c>
      <c r="C23" s="30"/>
      <c r="D23" s="30"/>
      <c r="E23" s="30"/>
      <c r="F23" s="30"/>
      <c r="G23" s="30"/>
      <c r="H23" s="19"/>
      <c r="I23" s="30"/>
      <c r="J23" s="30"/>
      <c r="K23" s="20"/>
      <c r="L23" s="19"/>
      <c r="N23" s="20"/>
      <c r="O23" s="20"/>
      <c r="R23" s="20"/>
    </row>
    <row r="24" spans="1:18" ht="15" hidden="1" customHeight="1" x14ac:dyDescent="0.25">
      <c r="B24" s="42"/>
      <c r="C24" s="30"/>
      <c r="L24" s="19"/>
      <c r="N24" s="20"/>
      <c r="O24" s="20"/>
      <c r="R24" s="20"/>
    </row>
    <row r="25" spans="1:18" x14ac:dyDescent="0.25">
      <c r="B25" s="41"/>
      <c r="C25" s="30"/>
      <c r="L25" s="19"/>
      <c r="M25" s="19"/>
      <c r="N25" s="20"/>
      <c r="O25" s="20"/>
      <c r="R25" s="20"/>
    </row>
    <row r="26" spans="1:18" x14ac:dyDescent="0.25">
      <c r="B26" s="41"/>
      <c r="C26" s="30"/>
      <c r="L26" s="19"/>
      <c r="M26" s="19"/>
      <c r="N26" s="20"/>
      <c r="O26" s="20"/>
      <c r="R26" s="20"/>
    </row>
    <row r="27" spans="1:18" x14ac:dyDescent="0.25">
      <c r="B27" s="30"/>
      <c r="C27" s="30"/>
      <c r="I27" s="19"/>
      <c r="J27" s="19"/>
      <c r="K27" s="19"/>
      <c r="L27" s="19"/>
      <c r="M27" s="19"/>
      <c r="N27" s="19"/>
      <c r="O27" s="19"/>
      <c r="P27" s="19"/>
      <c r="Q27" s="20"/>
      <c r="R27" s="20"/>
    </row>
    <row r="28" spans="1:18" x14ac:dyDescent="0.25">
      <c r="A28" s="19"/>
      <c r="B28" s="30"/>
      <c r="C28" s="30"/>
      <c r="M28" s="19"/>
      <c r="N28" s="19"/>
      <c r="O28" s="19"/>
      <c r="P28" s="19"/>
      <c r="Q28" s="20"/>
      <c r="R28" s="20"/>
    </row>
    <row r="29" spans="1:18" x14ac:dyDescent="0.25">
      <c r="A29" s="19"/>
      <c r="B29" s="30"/>
      <c r="C29" s="30"/>
      <c r="M29" s="19"/>
      <c r="N29" s="19"/>
      <c r="O29" s="19"/>
      <c r="P29" s="19"/>
      <c r="Q29" s="20"/>
      <c r="R29" s="20"/>
    </row>
    <row r="30" spans="1:18" x14ac:dyDescent="0.25">
      <c r="A30" s="19"/>
      <c r="B30" s="30"/>
      <c r="C30" s="30"/>
      <c r="M30" s="19"/>
      <c r="N30" s="19"/>
      <c r="O30" s="19"/>
      <c r="P30" s="19"/>
      <c r="Q30" s="20"/>
      <c r="R30" s="20"/>
    </row>
    <row r="31" spans="1:18" x14ac:dyDescent="0.25">
      <c r="A31" s="19"/>
      <c r="B31" s="30"/>
      <c r="C31" s="30"/>
      <c r="M31" s="19"/>
      <c r="N31" s="19"/>
      <c r="O31" s="19"/>
      <c r="P31" s="19"/>
      <c r="Q31" s="20"/>
      <c r="R31" s="20"/>
    </row>
    <row r="32" spans="1:18" x14ac:dyDescent="0.25">
      <c r="B32" s="30"/>
      <c r="C32" s="30" t="s">
        <v>1766</v>
      </c>
      <c r="I32" s="19"/>
      <c r="J32" s="19"/>
      <c r="K32" s="19"/>
      <c r="L32" s="19"/>
      <c r="M32" s="19"/>
      <c r="N32" s="19"/>
      <c r="O32" s="19"/>
      <c r="P32" s="19"/>
      <c r="Q32" s="20"/>
      <c r="R32" s="20"/>
    </row>
    <row r="33" spans="1:18" x14ac:dyDescent="0.25">
      <c r="A33" s="7"/>
      <c r="B33" s="30"/>
      <c r="C33" s="30"/>
      <c r="I33" s="19"/>
      <c r="J33" s="19"/>
      <c r="K33" s="19"/>
      <c r="L33" s="19"/>
      <c r="M33" s="19"/>
      <c r="N33" s="19"/>
      <c r="O33" s="19"/>
      <c r="P33" s="19"/>
      <c r="Q33" s="20"/>
      <c r="R33" s="20"/>
    </row>
    <row r="34" spans="1:18" x14ac:dyDescent="0.25">
      <c r="A34" s="19"/>
      <c r="B34" s="30"/>
      <c r="C34" s="30"/>
      <c r="I34" s="19"/>
      <c r="J34" s="19"/>
      <c r="K34" s="19"/>
      <c r="L34" s="19"/>
      <c r="M34" s="19"/>
      <c r="N34" s="19"/>
      <c r="O34" s="19"/>
      <c r="P34" s="19"/>
      <c r="Q34" s="20"/>
      <c r="R34" s="20"/>
    </row>
    <row r="35" spans="1:18" x14ac:dyDescent="0.25">
      <c r="B35" s="30"/>
      <c r="C35" s="30"/>
      <c r="I35" s="19"/>
      <c r="J35" s="19"/>
      <c r="K35" s="19"/>
      <c r="L35" s="19"/>
      <c r="M35" s="19"/>
      <c r="N35" s="19"/>
      <c r="O35" s="19"/>
      <c r="P35" s="19"/>
      <c r="Q35" s="20"/>
      <c r="R35" s="20"/>
    </row>
    <row r="36" spans="1:18" x14ac:dyDescent="0.25">
      <c r="B36" s="30"/>
      <c r="C36" s="30"/>
      <c r="F36" s="5" t="s">
        <v>1766</v>
      </c>
      <c r="H36" s="19"/>
      <c r="I36" s="19"/>
      <c r="J36" s="19"/>
      <c r="K36" s="19"/>
      <c r="L36" s="19"/>
      <c r="M36" s="19"/>
      <c r="N36" s="19"/>
      <c r="O36" s="19"/>
      <c r="P36" s="20"/>
      <c r="Q36" s="20"/>
      <c r="R36" s="20"/>
    </row>
    <row r="37" spans="1:18" x14ac:dyDescent="0.25">
      <c r="B37" s="30"/>
      <c r="C37" s="30"/>
      <c r="H37" s="19"/>
      <c r="I37" s="19"/>
      <c r="J37" s="19"/>
      <c r="K37" s="19"/>
      <c r="L37" s="19"/>
      <c r="M37" s="19"/>
      <c r="N37" s="19"/>
      <c r="O37" s="19"/>
      <c r="P37" s="20"/>
      <c r="Q37" s="20"/>
      <c r="R37" s="20"/>
    </row>
    <row r="38" spans="1:18" x14ac:dyDescent="0.25">
      <c r="B38" s="30"/>
      <c r="C38" s="30"/>
      <c r="H38" s="19"/>
      <c r="I38" s="19"/>
      <c r="J38" s="19"/>
      <c r="K38" s="19"/>
      <c r="L38" s="19"/>
      <c r="M38" s="19"/>
      <c r="N38" s="19"/>
      <c r="O38" s="19"/>
      <c r="P38" s="20"/>
      <c r="Q38" s="20"/>
      <c r="R38" s="20"/>
    </row>
    <row r="39" spans="1:18" x14ac:dyDescent="0.25">
      <c r="A39" s="19"/>
      <c r="B39" s="30"/>
      <c r="C39" s="30"/>
      <c r="H39" s="19"/>
      <c r="I39" s="19"/>
      <c r="J39" s="19"/>
      <c r="K39" s="19"/>
      <c r="L39" s="19"/>
      <c r="M39" s="19"/>
      <c r="N39" s="19"/>
      <c r="O39" s="19"/>
      <c r="P39" s="20"/>
      <c r="Q39" s="20"/>
      <c r="R39" s="20"/>
    </row>
    <row r="40" spans="1:18" x14ac:dyDescent="0.25">
      <c r="A40" s="19"/>
      <c r="B40" s="30"/>
      <c r="C40" s="30"/>
      <c r="H40" s="19"/>
      <c r="J40" s="19"/>
      <c r="K40" s="19"/>
      <c r="L40" s="19"/>
      <c r="M40" s="19"/>
      <c r="N40" s="19"/>
      <c r="O40" s="19"/>
      <c r="P40" s="20"/>
      <c r="Q40" s="20"/>
      <c r="R40" s="20"/>
    </row>
    <row r="41" spans="1:18" x14ac:dyDescent="0.25">
      <c r="A41" s="19"/>
      <c r="B41" s="30"/>
      <c r="C41" s="30"/>
      <c r="M41" s="19"/>
      <c r="P41" s="20"/>
    </row>
    <row r="42" spans="1:18" x14ac:dyDescent="0.25">
      <c r="A42" s="19"/>
      <c r="B42" s="30"/>
      <c r="C42" s="30"/>
      <c r="I42" s="19"/>
      <c r="L42" s="20"/>
      <c r="M42" s="19"/>
      <c r="P42" s="20"/>
    </row>
    <row r="43" spans="1:18" x14ac:dyDescent="0.25">
      <c r="B43" s="30"/>
      <c r="C43" s="30"/>
      <c r="I43" s="19"/>
      <c r="L43" s="20"/>
      <c r="M43" s="19"/>
      <c r="P43" s="20"/>
    </row>
    <row r="44" spans="1:18" x14ac:dyDescent="0.25">
      <c r="B44" s="30"/>
      <c r="C44" s="30"/>
      <c r="I44" s="19"/>
      <c r="L44" s="20"/>
      <c r="M44" s="19"/>
      <c r="P44" s="20"/>
    </row>
    <row r="45" spans="1:18" x14ac:dyDescent="0.25">
      <c r="B45" s="30"/>
      <c r="C45" s="30"/>
      <c r="I45" s="19"/>
      <c r="L45" s="20"/>
      <c r="M45" s="19"/>
      <c r="P45" s="20"/>
    </row>
    <row r="46" spans="1:18" x14ac:dyDescent="0.25">
      <c r="B46" s="30"/>
      <c r="C46" s="30"/>
      <c r="I46" s="19"/>
      <c r="L46" s="20"/>
    </row>
    <row r="47" spans="1:18" x14ac:dyDescent="0.25">
      <c r="A47" s="7"/>
      <c r="B47" s="30"/>
      <c r="C47" s="30"/>
      <c r="I47" s="19"/>
      <c r="L47" s="20"/>
    </row>
    <row r="48" spans="1:18" x14ac:dyDescent="0.25">
      <c r="A48" s="19"/>
      <c r="B48" s="30"/>
      <c r="C48" s="30"/>
      <c r="I48" s="19"/>
      <c r="L48" s="20"/>
      <c r="N48" s="19"/>
      <c r="Q48" s="20"/>
    </row>
    <row r="49" spans="1:17" x14ac:dyDescent="0.25">
      <c r="B49" s="30"/>
      <c r="C49" s="30"/>
      <c r="I49" s="19"/>
      <c r="L49" s="20"/>
      <c r="N49" s="19"/>
      <c r="Q49" s="20"/>
    </row>
    <row r="50" spans="1:17" x14ac:dyDescent="0.25">
      <c r="B50" s="30"/>
      <c r="C50" s="30"/>
      <c r="I50" s="19"/>
      <c r="L50" s="20"/>
      <c r="N50" s="19"/>
      <c r="Q50" s="20"/>
    </row>
    <row r="51" spans="1:17" x14ac:dyDescent="0.25">
      <c r="B51" s="30"/>
      <c r="C51" s="30"/>
      <c r="N51" s="19"/>
      <c r="Q51" s="20"/>
    </row>
    <row r="52" spans="1:17" x14ac:dyDescent="0.25">
      <c r="B52" s="30"/>
      <c r="C52" s="30"/>
      <c r="N52" s="19"/>
      <c r="Q52" s="20"/>
    </row>
    <row r="53" spans="1:17" x14ac:dyDescent="0.25">
      <c r="A53" s="19"/>
      <c r="B53" s="30"/>
      <c r="C53" s="30"/>
      <c r="N53" s="19"/>
      <c r="Q53" s="20"/>
    </row>
    <row r="54" spans="1:17" x14ac:dyDescent="0.25">
      <c r="A54" s="19"/>
      <c r="B54" s="30"/>
      <c r="C54" s="30"/>
      <c r="N54" s="19"/>
      <c r="Q54" s="20"/>
    </row>
    <row r="55" spans="1:17" x14ac:dyDescent="0.25">
      <c r="A55" s="19"/>
      <c r="B55" s="30"/>
      <c r="C55" s="30"/>
      <c r="N55" s="19"/>
      <c r="Q55" s="20"/>
    </row>
    <row r="56" spans="1:17" x14ac:dyDescent="0.25">
      <c r="A56" s="19"/>
      <c r="B56" s="30"/>
      <c r="C56" s="30"/>
      <c r="N56" s="19"/>
      <c r="Q56" s="20"/>
    </row>
    <row r="57" spans="1:17" x14ac:dyDescent="0.25">
      <c r="B57" s="30"/>
    </row>
  </sheetData>
  <mergeCells count="2">
    <mergeCell ref="H1:J1"/>
    <mergeCell ref="A3:B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2582"/>
  <sheetViews>
    <sheetView topLeftCell="A2433" zoomScale="70" zoomScaleNormal="70" workbookViewId="0">
      <selection activeCell="A2444" sqref="A2444"/>
    </sheetView>
  </sheetViews>
  <sheetFormatPr defaultRowHeight="15" x14ac:dyDescent="0.25"/>
  <cols>
    <col min="1" max="1" width="60.7109375" customWidth="1"/>
    <col min="2" max="2" width="15.85546875" customWidth="1"/>
    <col min="3" max="3" width="26" bestFit="1" customWidth="1"/>
    <col min="4" max="4" width="8.85546875" bestFit="1" customWidth="1"/>
    <col min="5" max="5" width="14.28515625" bestFit="1" customWidth="1"/>
    <col min="6" max="6" width="16" bestFit="1" customWidth="1"/>
    <col min="7" max="7" width="17.85546875" bestFit="1" customWidth="1"/>
    <col min="8" max="8" width="16.7109375" bestFit="1" customWidth="1"/>
    <col min="9" max="9" width="19.85546875" customWidth="1"/>
    <col min="10" max="10" width="19.7109375" customWidth="1"/>
    <col min="11" max="11" width="20.140625" customWidth="1"/>
  </cols>
  <sheetData>
    <row r="1" spans="1:12" ht="18.75" customHeight="1" x14ac:dyDescent="0.25">
      <c r="A1" s="37" t="s">
        <v>1983</v>
      </c>
      <c r="B1" s="38" t="s">
        <v>311</v>
      </c>
      <c r="C1" s="38" t="s">
        <v>1545</v>
      </c>
      <c r="D1" s="38" t="s">
        <v>1527</v>
      </c>
      <c r="E1" s="38" t="s">
        <v>1546</v>
      </c>
      <c r="F1" s="38" t="s">
        <v>1547</v>
      </c>
      <c r="G1" s="40" t="s">
        <v>1861</v>
      </c>
      <c r="H1" s="38" t="s">
        <v>1862</v>
      </c>
      <c r="I1" s="65" t="s">
        <v>1989</v>
      </c>
      <c r="J1" s="66" t="s">
        <v>1990</v>
      </c>
      <c r="K1" s="67" t="s">
        <v>1991</v>
      </c>
      <c r="L1" s="38"/>
    </row>
    <row r="2" spans="1:12" ht="15.75" thickBot="1" x14ac:dyDescent="0.3">
      <c r="A2" s="30" t="s">
        <v>1700</v>
      </c>
      <c r="B2" s="35">
        <v>42142</v>
      </c>
      <c r="C2" s="28">
        <v>130</v>
      </c>
      <c r="D2" s="30">
        <v>27.75</v>
      </c>
      <c r="E2" s="30">
        <v>36.926292309899999</v>
      </c>
      <c r="F2" s="30">
        <v>-4.0436904162199996</v>
      </c>
      <c r="G2" s="30">
        <v>20</v>
      </c>
      <c r="H2" s="30">
        <f>D2-G2</f>
        <v>7.75</v>
      </c>
      <c r="I2" s="62">
        <f>AVERAGE(D2:D75)</f>
        <v>31.865540540540543</v>
      </c>
      <c r="J2" s="63">
        <f>_xlfn.STDEV.P(D2:D75)</f>
        <v>11.714030411929089</v>
      </c>
      <c r="K2" s="64">
        <f>MEDIAN(D2:D75)</f>
        <v>30.625</v>
      </c>
    </row>
    <row r="3" spans="1:12" ht="18.75" customHeight="1" x14ac:dyDescent="0.25">
      <c r="A3" s="30" t="s">
        <v>1701</v>
      </c>
      <c r="B3" s="35">
        <v>42142</v>
      </c>
      <c r="C3" s="28">
        <v>110</v>
      </c>
      <c r="D3" s="30">
        <v>21</v>
      </c>
      <c r="E3" s="30">
        <v>36.436001347400001</v>
      </c>
      <c r="F3" s="30">
        <v>-4.4167855515500003</v>
      </c>
      <c r="G3" s="30">
        <v>20</v>
      </c>
      <c r="H3" s="30">
        <f t="shared" ref="H3:H66" si="0">D3-G3</f>
        <v>1</v>
      </c>
      <c r="I3" s="2"/>
      <c r="J3" s="8"/>
      <c r="K3" s="8"/>
    </row>
    <row r="4" spans="1:12" x14ac:dyDescent="0.25">
      <c r="A4" s="30" t="s">
        <v>1696</v>
      </c>
      <c r="B4" s="35">
        <v>42141</v>
      </c>
      <c r="C4" s="28">
        <v>279</v>
      </c>
      <c r="D4" s="30">
        <v>21.5</v>
      </c>
      <c r="E4" s="30">
        <v>43.374392272199998</v>
      </c>
      <c r="F4" s="30">
        <v>-1.0197944618699999</v>
      </c>
      <c r="G4" s="30">
        <v>13</v>
      </c>
      <c r="H4" s="30">
        <f t="shared" si="0"/>
        <v>8.5</v>
      </c>
      <c r="I4" s="8"/>
      <c r="J4" s="8"/>
      <c r="K4" s="8"/>
    </row>
    <row r="5" spans="1:12" x14ac:dyDescent="0.25">
      <c r="A5" s="30" t="s">
        <v>1697</v>
      </c>
      <c r="B5" s="35">
        <v>42141</v>
      </c>
      <c r="C5" s="30">
        <v>97</v>
      </c>
      <c r="D5" s="30">
        <v>27.75</v>
      </c>
      <c r="E5" s="30">
        <v>42.256984549899997</v>
      </c>
      <c r="F5" s="30">
        <v>-1.9077538783500001</v>
      </c>
      <c r="G5" s="30">
        <v>13</v>
      </c>
      <c r="H5" s="30">
        <f t="shared" si="0"/>
        <v>14.75</v>
      </c>
      <c r="I5" s="8"/>
      <c r="J5" s="8"/>
      <c r="K5" s="8"/>
    </row>
    <row r="6" spans="1:12" x14ac:dyDescent="0.25">
      <c r="A6" s="30" t="s">
        <v>1698</v>
      </c>
      <c r="B6" s="35">
        <v>42141</v>
      </c>
      <c r="C6" s="28">
        <v>187</v>
      </c>
      <c r="D6" s="30">
        <v>25</v>
      </c>
      <c r="E6" s="30">
        <v>43.1220647695</v>
      </c>
      <c r="F6" s="30">
        <v>-1.2432854632799999</v>
      </c>
      <c r="G6" s="30">
        <v>13</v>
      </c>
      <c r="H6" s="30">
        <f t="shared" si="0"/>
        <v>12</v>
      </c>
      <c r="I6" s="8"/>
      <c r="J6" s="8"/>
      <c r="K6" s="8"/>
    </row>
    <row r="7" spans="1:12" x14ac:dyDescent="0.25">
      <c r="A7" s="30" t="s">
        <v>1699</v>
      </c>
      <c r="B7" s="35">
        <v>42141</v>
      </c>
      <c r="C7" s="28">
        <v>92</v>
      </c>
      <c r="D7" s="30">
        <v>49.85</v>
      </c>
      <c r="E7" s="30">
        <v>35.101880354999999</v>
      </c>
      <c r="F7" s="30">
        <v>-2.9428491731799999</v>
      </c>
      <c r="G7" s="30">
        <v>1.75</v>
      </c>
      <c r="H7" s="30">
        <f t="shared" si="0"/>
        <v>48.1</v>
      </c>
      <c r="I7" s="8"/>
      <c r="J7" s="8"/>
      <c r="K7" s="8"/>
    </row>
    <row r="8" spans="1:12" x14ac:dyDescent="0.25">
      <c r="A8" t="s">
        <v>1693</v>
      </c>
      <c r="B8" s="35">
        <v>42140</v>
      </c>
      <c r="C8" s="28">
        <v>275</v>
      </c>
      <c r="D8">
        <v>25.7</v>
      </c>
      <c r="E8" s="30">
        <v>39.586119298500002</v>
      </c>
      <c r="F8" s="30">
        <v>-2.7192100854999999</v>
      </c>
      <c r="G8" s="30">
        <v>3.2</v>
      </c>
      <c r="H8" s="30">
        <f t="shared" si="0"/>
        <v>22.5</v>
      </c>
      <c r="I8" s="8"/>
      <c r="J8" s="8"/>
      <c r="K8" s="8"/>
    </row>
    <row r="9" spans="1:12" x14ac:dyDescent="0.25">
      <c r="A9" t="s">
        <v>1694</v>
      </c>
      <c r="B9" s="35">
        <v>42140</v>
      </c>
      <c r="C9" s="28">
        <v>71</v>
      </c>
      <c r="D9">
        <v>33.75</v>
      </c>
      <c r="E9" s="30">
        <v>37.495919117699998</v>
      </c>
      <c r="F9" s="30">
        <v>-4.3880612400299999</v>
      </c>
      <c r="G9" s="30">
        <v>1</v>
      </c>
      <c r="H9" s="30">
        <f t="shared" si="0"/>
        <v>32.75</v>
      </c>
      <c r="I9" s="8"/>
      <c r="J9" s="8"/>
      <c r="K9" s="8"/>
    </row>
    <row r="10" spans="1:12" x14ac:dyDescent="0.25">
      <c r="A10" t="s">
        <v>1695</v>
      </c>
      <c r="B10" s="35">
        <v>42140</v>
      </c>
      <c r="C10" s="28">
        <v>204</v>
      </c>
      <c r="D10">
        <v>25.95</v>
      </c>
      <c r="E10" s="30">
        <v>38.021834429800002</v>
      </c>
      <c r="F10" s="30">
        <v>-0.96954816456600001</v>
      </c>
      <c r="G10" s="30">
        <v>3.2</v>
      </c>
      <c r="H10" s="30">
        <f t="shared" si="0"/>
        <v>22.75</v>
      </c>
      <c r="I10" s="8"/>
      <c r="J10" s="8"/>
      <c r="K10" s="8"/>
    </row>
    <row r="11" spans="1:12" x14ac:dyDescent="0.25">
      <c r="A11" t="s">
        <v>1691</v>
      </c>
      <c r="B11" s="35">
        <v>42139</v>
      </c>
      <c r="C11" s="28">
        <v>279</v>
      </c>
      <c r="D11">
        <v>59.7</v>
      </c>
      <c r="E11" s="30">
        <v>39.521709030799997</v>
      </c>
      <c r="F11" s="30">
        <v>-2.8245269521699998</v>
      </c>
      <c r="G11" s="30">
        <v>1.75</v>
      </c>
      <c r="H11" s="30">
        <f t="shared" si="0"/>
        <v>57.95</v>
      </c>
      <c r="I11" s="8"/>
      <c r="J11" s="8"/>
      <c r="K11" s="9"/>
    </row>
    <row r="12" spans="1:12" x14ac:dyDescent="0.25">
      <c r="A12" t="s">
        <v>1692</v>
      </c>
      <c r="B12" s="35">
        <v>42139</v>
      </c>
      <c r="C12" s="28">
        <v>262</v>
      </c>
      <c r="D12">
        <v>68.2</v>
      </c>
      <c r="E12" s="30">
        <v>38.947802109199998</v>
      </c>
      <c r="F12" s="30">
        <v>-2.70999234714</v>
      </c>
      <c r="G12" s="30">
        <v>1.75</v>
      </c>
      <c r="H12" s="30">
        <f t="shared" si="0"/>
        <v>66.45</v>
      </c>
      <c r="I12" s="8"/>
      <c r="J12" s="8"/>
      <c r="K12" s="30">
        <f>4.77+5.78</f>
        <v>10.55</v>
      </c>
    </row>
    <row r="13" spans="1:12" x14ac:dyDescent="0.25">
      <c r="A13" t="s">
        <v>1687</v>
      </c>
      <c r="B13" s="35">
        <v>42138</v>
      </c>
      <c r="C13" s="28">
        <v>207</v>
      </c>
      <c r="D13">
        <v>40.5</v>
      </c>
      <c r="E13">
        <v>37.194735171799998</v>
      </c>
      <c r="F13" s="30">
        <v>-2.6561359266200002</v>
      </c>
      <c r="G13" s="30">
        <v>14</v>
      </c>
      <c r="H13" s="30">
        <f t="shared" si="0"/>
        <v>26.5</v>
      </c>
      <c r="I13" s="8"/>
      <c r="J13" s="8"/>
      <c r="K13" s="8"/>
    </row>
    <row r="14" spans="1:12" x14ac:dyDescent="0.25">
      <c r="A14" t="s">
        <v>1688</v>
      </c>
      <c r="B14" s="35">
        <v>42138</v>
      </c>
      <c r="C14" s="28">
        <v>94</v>
      </c>
      <c r="D14">
        <v>44.5</v>
      </c>
      <c r="E14">
        <v>33.776320411500002</v>
      </c>
      <c r="F14" s="30">
        <v>-8.9233873828799997</v>
      </c>
      <c r="G14" s="30">
        <v>18</v>
      </c>
      <c r="H14" s="30">
        <f t="shared" si="0"/>
        <v>26.5</v>
      </c>
      <c r="I14" s="8"/>
      <c r="J14" s="8"/>
      <c r="K14" s="8"/>
    </row>
    <row r="15" spans="1:12" x14ac:dyDescent="0.25">
      <c r="A15" t="s">
        <v>1689</v>
      </c>
      <c r="B15" s="35">
        <v>42138</v>
      </c>
      <c r="C15" s="28">
        <v>113</v>
      </c>
      <c r="D15">
        <v>27.5</v>
      </c>
      <c r="E15">
        <v>35.002375991199997</v>
      </c>
      <c r="F15" s="30">
        <v>-1.7914075891800001</v>
      </c>
      <c r="G15" s="30">
        <v>14</v>
      </c>
      <c r="H15" s="30">
        <f t="shared" si="0"/>
        <v>13.5</v>
      </c>
      <c r="I15" s="8"/>
      <c r="J15" s="8"/>
      <c r="K15" s="8"/>
    </row>
    <row r="16" spans="1:12" x14ac:dyDescent="0.25">
      <c r="A16" t="s">
        <v>1690</v>
      </c>
      <c r="B16" s="35">
        <v>42138</v>
      </c>
      <c r="C16" s="28">
        <v>37</v>
      </c>
      <c r="D16">
        <v>21.1</v>
      </c>
      <c r="E16">
        <v>30.229709187099999</v>
      </c>
      <c r="F16" s="30">
        <v>-5.9782529667400004</v>
      </c>
      <c r="G16" s="30">
        <v>-0.75</v>
      </c>
      <c r="H16" s="30">
        <f t="shared" si="0"/>
        <v>21.85</v>
      </c>
      <c r="I16" s="8"/>
      <c r="J16" s="8"/>
      <c r="K16" s="8"/>
    </row>
    <row r="17" spans="1:11" x14ac:dyDescent="0.25">
      <c r="A17" t="s">
        <v>1686</v>
      </c>
      <c r="B17" s="35">
        <v>42137</v>
      </c>
      <c r="C17" s="28">
        <v>39</v>
      </c>
      <c r="D17">
        <v>22.5</v>
      </c>
      <c r="E17">
        <v>31.4823806576</v>
      </c>
      <c r="F17" s="30">
        <v>-4.8341290393699996</v>
      </c>
      <c r="G17" s="30">
        <v>18</v>
      </c>
      <c r="H17" s="30">
        <f t="shared" si="0"/>
        <v>4.5</v>
      </c>
      <c r="I17" s="8"/>
      <c r="J17" s="8"/>
      <c r="K17" s="8"/>
    </row>
    <row r="18" spans="1:11" x14ac:dyDescent="0.25">
      <c r="A18" t="s">
        <v>1702</v>
      </c>
      <c r="B18" s="35">
        <v>42136</v>
      </c>
      <c r="C18" s="28">
        <v>278</v>
      </c>
      <c r="D18">
        <v>23.95</v>
      </c>
      <c r="E18">
        <v>38.362853365699998</v>
      </c>
      <c r="F18" s="30">
        <v>-3.17838617042</v>
      </c>
      <c r="G18" s="30">
        <v>4.2</v>
      </c>
      <c r="H18" s="30">
        <f t="shared" si="0"/>
        <v>19.75</v>
      </c>
      <c r="I18" s="8"/>
      <c r="J18" s="8"/>
      <c r="K18" s="8"/>
    </row>
    <row r="19" spans="1:11" x14ac:dyDescent="0.25">
      <c r="A19" s="32" t="s">
        <v>1703</v>
      </c>
      <c r="B19" s="57">
        <v>42136</v>
      </c>
      <c r="C19" s="28">
        <v>258</v>
      </c>
      <c r="D19" s="32">
        <v>38.950000000000003</v>
      </c>
      <c r="E19" s="32">
        <v>38.016818612199998</v>
      </c>
      <c r="F19" s="32">
        <v>-4.1603114260899998</v>
      </c>
      <c r="G19" s="32">
        <v>4.2</v>
      </c>
      <c r="H19" s="30">
        <f t="shared" si="0"/>
        <v>34.75</v>
      </c>
      <c r="I19" s="39"/>
      <c r="J19" s="8"/>
      <c r="K19" s="8"/>
    </row>
    <row r="20" spans="1:11" x14ac:dyDescent="0.25">
      <c r="A20" s="32" t="s">
        <v>1704</v>
      </c>
      <c r="B20" s="57">
        <v>42136</v>
      </c>
      <c r="C20" s="28">
        <v>113</v>
      </c>
      <c r="D20" s="32">
        <v>44.5</v>
      </c>
      <c r="E20" s="32">
        <v>35.414617435099998</v>
      </c>
      <c r="F20" s="32">
        <v>-0.45697453954200001</v>
      </c>
      <c r="G20" s="32">
        <v>19</v>
      </c>
      <c r="H20" s="30">
        <f t="shared" si="0"/>
        <v>25.5</v>
      </c>
      <c r="I20" s="39"/>
      <c r="J20" s="8"/>
      <c r="K20" s="8"/>
    </row>
    <row r="21" spans="1:11" x14ac:dyDescent="0.25">
      <c r="A21" s="32" t="s">
        <v>1705</v>
      </c>
      <c r="B21" s="57">
        <v>42136</v>
      </c>
      <c r="C21" s="28">
        <v>92</v>
      </c>
      <c r="D21" s="32">
        <v>34.950000000000003</v>
      </c>
      <c r="E21" s="32">
        <v>35.361068258099998</v>
      </c>
      <c r="F21" s="32">
        <v>-4.5424410339200003</v>
      </c>
      <c r="G21" s="32">
        <v>4.2</v>
      </c>
      <c r="H21" s="30">
        <f t="shared" si="0"/>
        <v>30.750000000000004</v>
      </c>
      <c r="I21" s="39"/>
      <c r="J21" s="8"/>
      <c r="K21" s="8"/>
    </row>
    <row r="22" spans="1:11" x14ac:dyDescent="0.25">
      <c r="A22" t="s">
        <v>1706</v>
      </c>
      <c r="B22" s="35">
        <v>42136</v>
      </c>
      <c r="C22" s="28">
        <v>73</v>
      </c>
      <c r="D22">
        <v>51.5</v>
      </c>
      <c r="E22">
        <v>35.457834125799998</v>
      </c>
      <c r="F22" s="30">
        <v>-3.10857870743</v>
      </c>
      <c r="G22" s="30">
        <v>21</v>
      </c>
      <c r="H22" s="30">
        <f t="shared" si="0"/>
        <v>30.5</v>
      </c>
      <c r="I22" s="8"/>
      <c r="J22" s="8"/>
      <c r="K22" s="8"/>
    </row>
    <row r="23" spans="1:11" x14ac:dyDescent="0.25">
      <c r="A23" t="s">
        <v>1707</v>
      </c>
      <c r="B23" s="35">
        <v>42135</v>
      </c>
      <c r="C23" s="28">
        <v>184</v>
      </c>
      <c r="D23">
        <v>39.5</v>
      </c>
      <c r="E23">
        <v>37.778889076299997</v>
      </c>
      <c r="F23" s="30">
        <v>-1.18542538148</v>
      </c>
      <c r="G23" s="30">
        <v>13</v>
      </c>
      <c r="H23" s="30">
        <f t="shared" si="0"/>
        <v>26.5</v>
      </c>
      <c r="I23" s="8"/>
      <c r="J23" s="8"/>
      <c r="K23" s="8"/>
    </row>
    <row r="24" spans="1:11" x14ac:dyDescent="0.25">
      <c r="A24" s="30" t="s">
        <v>1708</v>
      </c>
      <c r="B24" s="35">
        <v>42135</v>
      </c>
      <c r="C24" s="28">
        <v>55</v>
      </c>
      <c r="D24">
        <v>33.75</v>
      </c>
      <c r="E24">
        <v>32.594914552699997</v>
      </c>
      <c r="F24" s="30">
        <v>-8.1375189190100006</v>
      </c>
      <c r="G24" s="30">
        <v>2.5</v>
      </c>
      <c r="H24" s="30">
        <f t="shared" si="0"/>
        <v>31.25</v>
      </c>
      <c r="I24" s="8"/>
      <c r="J24" s="8"/>
      <c r="K24" s="8"/>
    </row>
    <row r="25" spans="1:11" x14ac:dyDescent="0.25">
      <c r="A25" s="30" t="s">
        <v>1709</v>
      </c>
      <c r="B25" s="35">
        <v>42135</v>
      </c>
      <c r="C25" s="28">
        <v>37</v>
      </c>
      <c r="D25">
        <v>27.5</v>
      </c>
      <c r="E25">
        <v>33.183949329800001</v>
      </c>
      <c r="F25" s="30">
        <v>-1.34632654365</v>
      </c>
      <c r="G25" s="30">
        <v>13</v>
      </c>
      <c r="H25" s="30">
        <f t="shared" si="0"/>
        <v>14.5</v>
      </c>
      <c r="I25" s="8"/>
      <c r="J25" s="8"/>
      <c r="K25" s="8"/>
    </row>
    <row r="26" spans="1:11" x14ac:dyDescent="0.25">
      <c r="A26" s="30" t="s">
        <v>1710</v>
      </c>
      <c r="B26" s="35">
        <v>42134</v>
      </c>
      <c r="C26" s="28">
        <v>280</v>
      </c>
      <c r="D26">
        <v>26.5</v>
      </c>
      <c r="E26">
        <v>41.951667734700003</v>
      </c>
      <c r="F26" s="30">
        <v>-2.2866002647900001</v>
      </c>
      <c r="G26" s="30">
        <v>11</v>
      </c>
      <c r="H26" s="30">
        <f t="shared" si="0"/>
        <v>15.5</v>
      </c>
      <c r="I26" s="8"/>
      <c r="J26" s="8"/>
      <c r="K26" s="8"/>
    </row>
    <row r="27" spans="1:11" x14ac:dyDescent="0.25">
      <c r="A27" t="s">
        <v>1711</v>
      </c>
      <c r="B27" s="35">
        <v>42134</v>
      </c>
      <c r="C27" s="28">
        <v>169</v>
      </c>
      <c r="D27">
        <v>32</v>
      </c>
      <c r="E27">
        <v>41.295394751800004</v>
      </c>
      <c r="F27" s="30">
        <v>-1.9562455131200001</v>
      </c>
      <c r="G27" s="30">
        <v>11</v>
      </c>
      <c r="H27" s="30">
        <f t="shared" si="0"/>
        <v>21</v>
      </c>
      <c r="I27" s="8"/>
      <c r="J27" s="8"/>
      <c r="K27" s="8"/>
    </row>
    <row r="28" spans="1:11" x14ac:dyDescent="0.25">
      <c r="A28" t="s">
        <v>1712</v>
      </c>
      <c r="B28" s="35">
        <v>42134</v>
      </c>
      <c r="C28" s="28">
        <v>91</v>
      </c>
      <c r="D28">
        <v>13.95</v>
      </c>
      <c r="E28">
        <v>35.827941139099998</v>
      </c>
      <c r="F28" s="30">
        <v>-2.81513226549</v>
      </c>
      <c r="G28" s="30">
        <v>-0.75</v>
      </c>
      <c r="H28" s="30">
        <f t="shared" si="0"/>
        <v>14.7</v>
      </c>
      <c r="I28" s="8"/>
      <c r="J28" s="8"/>
      <c r="K28" s="8"/>
    </row>
    <row r="29" spans="1:11" x14ac:dyDescent="0.25">
      <c r="A29" s="30" t="s">
        <v>1713</v>
      </c>
      <c r="B29" s="35">
        <v>42133</v>
      </c>
      <c r="C29" s="28">
        <v>158</v>
      </c>
      <c r="D29">
        <v>37.35</v>
      </c>
      <c r="E29">
        <v>36.882855118999998</v>
      </c>
      <c r="F29" s="30">
        <v>-3.1817720240499998</v>
      </c>
      <c r="G29" s="30">
        <v>15.1</v>
      </c>
      <c r="H29" s="30">
        <f t="shared" si="0"/>
        <v>22.25</v>
      </c>
      <c r="I29" s="8"/>
      <c r="J29" s="8"/>
      <c r="K29" s="8"/>
    </row>
    <row r="30" spans="1:11" x14ac:dyDescent="0.25">
      <c r="A30" t="s">
        <v>1714</v>
      </c>
      <c r="B30" s="35">
        <v>42133</v>
      </c>
      <c r="C30" s="28">
        <v>57</v>
      </c>
      <c r="D30">
        <v>26.25</v>
      </c>
      <c r="E30">
        <v>33.224893901999998</v>
      </c>
      <c r="F30" s="30">
        <v>-1.7795118088599999</v>
      </c>
      <c r="G30" s="30">
        <v>5</v>
      </c>
      <c r="H30" s="30">
        <f t="shared" si="0"/>
        <v>21.25</v>
      </c>
      <c r="I30" s="8"/>
      <c r="J30" s="8"/>
      <c r="K30" s="8"/>
    </row>
    <row r="31" spans="1:11" x14ac:dyDescent="0.25">
      <c r="A31" t="s">
        <v>1715</v>
      </c>
      <c r="B31" s="35">
        <v>42132</v>
      </c>
      <c r="C31" s="28">
        <v>262</v>
      </c>
      <c r="D31">
        <v>40.5</v>
      </c>
      <c r="E31">
        <v>37.5503663633</v>
      </c>
      <c r="F31" s="30">
        <v>-3.6277185057699999</v>
      </c>
      <c r="G31" s="30">
        <v>14</v>
      </c>
      <c r="H31" s="30">
        <f t="shared" si="0"/>
        <v>26.5</v>
      </c>
      <c r="I31" s="8"/>
      <c r="J31" s="8"/>
      <c r="K31" s="8"/>
    </row>
    <row r="32" spans="1:11" x14ac:dyDescent="0.25">
      <c r="A32" t="s">
        <v>1716</v>
      </c>
      <c r="B32" s="35">
        <v>42131</v>
      </c>
      <c r="C32" s="28">
        <v>112</v>
      </c>
      <c r="D32">
        <v>47.85</v>
      </c>
      <c r="E32">
        <v>34.328218004900002</v>
      </c>
      <c r="F32" s="30">
        <v>-2.5540219725000002</v>
      </c>
      <c r="G32" s="30">
        <v>12.1</v>
      </c>
      <c r="H32" s="30">
        <f t="shared" si="0"/>
        <v>35.75</v>
      </c>
      <c r="I32" s="8"/>
      <c r="J32" s="8"/>
      <c r="K32" s="8"/>
    </row>
    <row r="33" spans="1:11" x14ac:dyDescent="0.25">
      <c r="A33" t="s">
        <v>1717</v>
      </c>
      <c r="B33" s="35">
        <v>42130</v>
      </c>
      <c r="C33" s="28">
        <v>224</v>
      </c>
      <c r="D33">
        <v>42.1</v>
      </c>
      <c r="E33">
        <v>39.906281999900003</v>
      </c>
      <c r="F33" s="30">
        <v>-9.70442896548</v>
      </c>
      <c r="G33" s="30">
        <v>6.1</v>
      </c>
      <c r="H33" s="30">
        <f t="shared" si="0"/>
        <v>36</v>
      </c>
      <c r="I33" s="8"/>
      <c r="J33" s="8"/>
      <c r="K33" s="8"/>
    </row>
    <row r="34" spans="1:11" x14ac:dyDescent="0.25">
      <c r="A34" t="s">
        <v>1718</v>
      </c>
      <c r="B34" s="35">
        <v>42129</v>
      </c>
      <c r="C34" s="28">
        <v>261</v>
      </c>
      <c r="D34">
        <v>20.25</v>
      </c>
      <c r="E34">
        <v>38.440740461200001</v>
      </c>
      <c r="F34" s="30">
        <v>-1.98930498253</v>
      </c>
      <c r="G34" s="30">
        <v>3</v>
      </c>
      <c r="H34" s="30">
        <f t="shared" si="0"/>
        <v>17.25</v>
      </c>
      <c r="I34" s="8"/>
      <c r="J34" s="8"/>
      <c r="K34" s="8"/>
    </row>
    <row r="35" spans="1:11" x14ac:dyDescent="0.25">
      <c r="A35" t="s">
        <v>1719</v>
      </c>
      <c r="B35" s="35">
        <v>42128</v>
      </c>
      <c r="C35" s="28">
        <v>188</v>
      </c>
      <c r="D35">
        <v>15.35</v>
      </c>
      <c r="E35">
        <v>40.281433584799998</v>
      </c>
      <c r="F35" s="30">
        <v>-5.2746463025099999</v>
      </c>
      <c r="G35" s="30">
        <v>-1</v>
      </c>
      <c r="H35" s="30">
        <f t="shared" si="0"/>
        <v>16.350000000000001</v>
      </c>
      <c r="I35" s="8"/>
      <c r="J35" s="8"/>
      <c r="K35" s="8"/>
    </row>
    <row r="36" spans="1:11" x14ac:dyDescent="0.25">
      <c r="A36" t="s">
        <v>1720</v>
      </c>
      <c r="B36" s="35">
        <v>42128</v>
      </c>
      <c r="C36" s="28">
        <v>58</v>
      </c>
      <c r="D36">
        <v>32.25</v>
      </c>
      <c r="E36">
        <v>34.134396993099998</v>
      </c>
      <c r="F36" s="30">
        <v>-5.5727248953100004</v>
      </c>
      <c r="G36" s="30">
        <v>7</v>
      </c>
      <c r="H36" s="30">
        <f t="shared" si="0"/>
        <v>25.25</v>
      </c>
      <c r="I36" s="8"/>
      <c r="J36" s="8"/>
      <c r="K36" s="8"/>
    </row>
    <row r="37" spans="1:11" x14ac:dyDescent="0.25">
      <c r="A37" t="s">
        <v>1721</v>
      </c>
      <c r="B37" s="35">
        <v>42128</v>
      </c>
      <c r="C37" s="28">
        <v>38</v>
      </c>
      <c r="D37">
        <v>21.75</v>
      </c>
      <c r="E37">
        <v>34.023318682000003</v>
      </c>
      <c r="F37" s="30">
        <v>-4.13003217666E-2</v>
      </c>
      <c r="G37" s="30">
        <v>18</v>
      </c>
      <c r="H37" s="30">
        <f t="shared" si="0"/>
        <v>3.75</v>
      </c>
      <c r="I37" s="8"/>
      <c r="J37" s="8"/>
      <c r="K37" s="8"/>
    </row>
    <row r="38" spans="1:11" x14ac:dyDescent="0.25">
      <c r="A38" t="s">
        <v>1722</v>
      </c>
      <c r="B38" s="35">
        <v>42127</v>
      </c>
      <c r="C38" s="28">
        <v>73</v>
      </c>
      <c r="D38">
        <v>26.2</v>
      </c>
      <c r="E38">
        <v>33.046231625300003</v>
      </c>
      <c r="F38" s="30">
        <v>-2.5190270301300002</v>
      </c>
      <c r="G38" s="30">
        <v>2.2000000000000002</v>
      </c>
      <c r="H38" s="30">
        <f t="shared" si="0"/>
        <v>24</v>
      </c>
      <c r="I38" s="8"/>
      <c r="J38" s="8"/>
      <c r="K38" s="8"/>
    </row>
    <row r="39" spans="1:11" x14ac:dyDescent="0.25">
      <c r="A39" t="s">
        <v>1723</v>
      </c>
      <c r="B39" s="35">
        <v>42126</v>
      </c>
      <c r="C39" s="28">
        <v>279</v>
      </c>
      <c r="D39">
        <v>17.75</v>
      </c>
      <c r="E39">
        <v>45.922661785999999</v>
      </c>
      <c r="F39" s="30">
        <v>-8.5683706515699996</v>
      </c>
      <c r="G39" s="30">
        <v>7</v>
      </c>
      <c r="H39" s="30">
        <f t="shared" si="0"/>
        <v>10.75</v>
      </c>
      <c r="I39" s="8"/>
      <c r="J39" s="8"/>
      <c r="K39" s="8"/>
    </row>
    <row r="40" spans="1:11" x14ac:dyDescent="0.25">
      <c r="A40" s="28" t="s">
        <v>1724</v>
      </c>
      <c r="B40" s="35">
        <v>42126</v>
      </c>
      <c r="C40" s="28">
        <v>129</v>
      </c>
      <c r="D40">
        <v>35</v>
      </c>
      <c r="E40">
        <v>44.876737863800003</v>
      </c>
      <c r="F40" s="30">
        <v>-6.4033159844799998</v>
      </c>
      <c r="G40" s="30">
        <v>7</v>
      </c>
      <c r="H40" s="30">
        <f t="shared" si="0"/>
        <v>28</v>
      </c>
      <c r="I40" s="8"/>
      <c r="J40" s="8"/>
      <c r="K40" s="8"/>
    </row>
    <row r="41" spans="1:11" x14ac:dyDescent="0.25">
      <c r="A41" t="s">
        <v>1725</v>
      </c>
      <c r="B41" s="35">
        <v>42126</v>
      </c>
      <c r="C41" s="28">
        <v>150</v>
      </c>
      <c r="D41">
        <v>24.75</v>
      </c>
      <c r="E41">
        <v>37.361939002699998</v>
      </c>
      <c r="F41" s="30">
        <v>-6.5997734239900003</v>
      </c>
      <c r="G41" s="30">
        <v>15</v>
      </c>
      <c r="H41" s="30">
        <f t="shared" si="0"/>
        <v>9.75</v>
      </c>
      <c r="I41" s="8"/>
      <c r="J41" s="8"/>
      <c r="K41" s="8"/>
    </row>
    <row r="42" spans="1:11" x14ac:dyDescent="0.25">
      <c r="A42" t="s">
        <v>1726</v>
      </c>
      <c r="B42" s="35">
        <v>42126</v>
      </c>
      <c r="C42" s="28">
        <v>54</v>
      </c>
      <c r="D42">
        <v>33.25</v>
      </c>
      <c r="E42">
        <v>37.004605717899999</v>
      </c>
      <c r="F42" s="30">
        <v>-3.97564162817</v>
      </c>
      <c r="G42" s="30">
        <v>4</v>
      </c>
      <c r="H42" s="30">
        <f t="shared" si="0"/>
        <v>29.25</v>
      </c>
      <c r="I42" s="8"/>
      <c r="J42" s="8"/>
      <c r="K42" s="8"/>
    </row>
    <row r="43" spans="1:11" x14ac:dyDescent="0.25">
      <c r="A43" t="s">
        <v>1756</v>
      </c>
      <c r="B43" s="35">
        <v>42125</v>
      </c>
      <c r="C43" s="28">
        <v>260</v>
      </c>
      <c r="D43">
        <v>28.25</v>
      </c>
      <c r="E43">
        <v>38.711196272800002</v>
      </c>
      <c r="F43" s="30">
        <v>-3.7514925647299999</v>
      </c>
      <c r="G43" s="30">
        <v>14</v>
      </c>
      <c r="H43" s="30">
        <f t="shared" si="0"/>
        <v>14.25</v>
      </c>
      <c r="I43" s="8"/>
      <c r="J43" s="8"/>
      <c r="K43" s="8"/>
    </row>
    <row r="44" spans="1:11" x14ac:dyDescent="0.25">
      <c r="A44" t="s">
        <v>1757</v>
      </c>
      <c r="B44" s="35">
        <v>42125</v>
      </c>
      <c r="C44" s="28">
        <v>98</v>
      </c>
      <c r="D44">
        <v>14.75</v>
      </c>
      <c r="E44">
        <v>34.058180386300002</v>
      </c>
      <c r="F44" s="30">
        <v>-0.916019035343</v>
      </c>
      <c r="G44" s="30">
        <v>-0.5</v>
      </c>
      <c r="H44" s="30">
        <f t="shared" si="0"/>
        <v>15.25</v>
      </c>
      <c r="I44" s="8"/>
      <c r="J44" s="8"/>
      <c r="K44" s="8"/>
    </row>
    <row r="45" spans="1:11" x14ac:dyDescent="0.25">
      <c r="A45" t="s">
        <v>1727</v>
      </c>
      <c r="B45" s="35">
        <v>42123</v>
      </c>
      <c r="C45" s="28">
        <v>146</v>
      </c>
      <c r="D45">
        <v>22.7</v>
      </c>
      <c r="E45">
        <v>36.114555398100002</v>
      </c>
      <c r="F45" s="30">
        <v>-3.6756049238299999</v>
      </c>
      <c r="G45" s="30">
        <v>12.2</v>
      </c>
      <c r="H45" s="30">
        <f t="shared" si="0"/>
        <v>10.5</v>
      </c>
      <c r="I45" s="8"/>
      <c r="J45" s="8"/>
      <c r="K45" s="8"/>
    </row>
    <row r="46" spans="1:11" x14ac:dyDescent="0.25">
      <c r="A46" t="s">
        <v>1728</v>
      </c>
      <c r="B46" s="35">
        <v>42123</v>
      </c>
      <c r="C46" s="28">
        <v>58</v>
      </c>
      <c r="D46">
        <v>14.5</v>
      </c>
      <c r="E46">
        <v>34.417476424900002</v>
      </c>
      <c r="F46" s="30">
        <v>-3.5987903937199999</v>
      </c>
      <c r="G46" s="30">
        <v>13</v>
      </c>
      <c r="H46" s="30">
        <f t="shared" si="0"/>
        <v>1.5</v>
      </c>
      <c r="I46" s="8"/>
      <c r="J46" s="8"/>
      <c r="K46" s="8"/>
    </row>
    <row r="47" spans="1:11" x14ac:dyDescent="0.25">
      <c r="A47" t="s">
        <v>1729</v>
      </c>
      <c r="B47" s="35">
        <v>42122</v>
      </c>
      <c r="C47" s="28">
        <v>219</v>
      </c>
      <c r="D47">
        <v>42</v>
      </c>
      <c r="E47">
        <v>40.086084296300001</v>
      </c>
      <c r="F47" s="30">
        <v>-1.7653434641500001</v>
      </c>
      <c r="G47" s="30">
        <v>-0.5</v>
      </c>
      <c r="H47" s="30">
        <f t="shared" si="0"/>
        <v>42.5</v>
      </c>
      <c r="I47" s="8"/>
      <c r="J47" s="8"/>
      <c r="K47" s="8"/>
    </row>
    <row r="48" spans="1:11" x14ac:dyDescent="0.25">
      <c r="A48" t="s">
        <v>1730</v>
      </c>
      <c r="B48" s="35">
        <v>42122</v>
      </c>
      <c r="C48" s="28">
        <v>113</v>
      </c>
      <c r="D48">
        <v>45.5</v>
      </c>
      <c r="E48">
        <v>35.350183594699999</v>
      </c>
      <c r="F48">
        <v>-1.53304220956</v>
      </c>
      <c r="G48" s="30">
        <v>16</v>
      </c>
      <c r="H48" s="30">
        <f t="shared" si="0"/>
        <v>29.5</v>
      </c>
      <c r="I48" s="8"/>
      <c r="J48" s="8"/>
      <c r="K48" s="8"/>
    </row>
    <row r="49" spans="1:11" x14ac:dyDescent="0.25">
      <c r="A49" s="30" t="s">
        <v>1731</v>
      </c>
      <c r="B49" s="35">
        <v>42121</v>
      </c>
      <c r="C49" s="28">
        <v>241</v>
      </c>
      <c r="D49" s="30">
        <v>33</v>
      </c>
      <c r="E49" s="30">
        <v>40.711891337200001</v>
      </c>
      <c r="F49" s="30">
        <v>-7.5579894669599996</v>
      </c>
      <c r="G49" s="30">
        <v>-0.5</v>
      </c>
      <c r="H49" s="30">
        <f t="shared" si="0"/>
        <v>33.5</v>
      </c>
      <c r="I49" s="8"/>
      <c r="J49" s="8"/>
      <c r="K49" s="8"/>
    </row>
    <row r="50" spans="1:11" x14ac:dyDescent="0.25">
      <c r="A50" s="30" t="s">
        <v>1732</v>
      </c>
      <c r="B50" s="35">
        <v>42121</v>
      </c>
      <c r="C50" s="28">
        <v>202</v>
      </c>
      <c r="D50" s="30">
        <v>34.5</v>
      </c>
      <c r="E50" s="30">
        <v>37.269765502299997</v>
      </c>
      <c r="F50" s="30">
        <v>-7.32175557414</v>
      </c>
      <c r="G50" s="30">
        <v>-0.5</v>
      </c>
      <c r="H50" s="30">
        <f t="shared" si="0"/>
        <v>35</v>
      </c>
      <c r="I50" s="8"/>
      <c r="J50" s="8"/>
      <c r="K50" s="8"/>
    </row>
    <row r="51" spans="1:11" x14ac:dyDescent="0.25">
      <c r="A51" s="30" t="s">
        <v>1733</v>
      </c>
      <c r="B51" s="35">
        <v>42121</v>
      </c>
      <c r="C51" s="28">
        <v>112</v>
      </c>
      <c r="D51" s="30">
        <v>19.850000000000001</v>
      </c>
      <c r="E51" s="30">
        <v>39.306140112800001</v>
      </c>
      <c r="F51" s="30">
        <v>-9.1989752445100006</v>
      </c>
      <c r="G51" s="30">
        <v>7.1</v>
      </c>
      <c r="H51" s="30">
        <f t="shared" si="0"/>
        <v>12.750000000000002</v>
      </c>
      <c r="I51" s="8"/>
      <c r="J51" s="8"/>
      <c r="K51" s="8"/>
    </row>
    <row r="52" spans="1:11" s="30" customFormat="1" x14ac:dyDescent="0.25">
      <c r="A52" t="s">
        <v>1734</v>
      </c>
      <c r="B52" s="35">
        <v>42120</v>
      </c>
      <c r="C52" s="28">
        <v>266</v>
      </c>
      <c r="D52">
        <v>20</v>
      </c>
      <c r="E52">
        <v>51.293304787899999</v>
      </c>
      <c r="F52">
        <v>0.96970124983399997</v>
      </c>
      <c r="G52" s="30">
        <v>14</v>
      </c>
      <c r="H52" s="30">
        <f t="shared" si="0"/>
        <v>6</v>
      </c>
      <c r="I52" s="8"/>
      <c r="J52" s="8"/>
      <c r="K52" s="8"/>
    </row>
    <row r="53" spans="1:11" s="30" customFormat="1" x14ac:dyDescent="0.25">
      <c r="A53" t="s">
        <v>1735</v>
      </c>
      <c r="B53" s="35">
        <v>42120</v>
      </c>
      <c r="C53" s="28">
        <v>96</v>
      </c>
      <c r="D53">
        <v>37.1</v>
      </c>
      <c r="E53">
        <v>34.144379492799999</v>
      </c>
      <c r="F53">
        <v>-0.374732047367</v>
      </c>
      <c r="G53" s="30">
        <v>17.100000000000001</v>
      </c>
      <c r="H53" s="30">
        <f t="shared" si="0"/>
        <v>20</v>
      </c>
      <c r="I53" s="8"/>
      <c r="J53" s="8"/>
      <c r="K53" s="8"/>
    </row>
    <row r="54" spans="1:11" x14ac:dyDescent="0.25">
      <c r="A54" s="30" t="s">
        <v>1736</v>
      </c>
      <c r="B54" s="35">
        <v>42119</v>
      </c>
      <c r="C54" s="28">
        <v>147</v>
      </c>
      <c r="D54" s="30">
        <v>37.75</v>
      </c>
      <c r="E54" s="30">
        <v>35.422884566199997</v>
      </c>
      <c r="F54" s="30">
        <v>-0.42851423195900001</v>
      </c>
      <c r="G54" s="30">
        <v>-0.5</v>
      </c>
      <c r="H54" s="30">
        <f t="shared" si="0"/>
        <v>38.25</v>
      </c>
      <c r="I54" s="8"/>
      <c r="J54" s="8"/>
      <c r="K54" s="8"/>
    </row>
    <row r="55" spans="1:11" s="30" customFormat="1" x14ac:dyDescent="0.25">
      <c r="A55" s="30" t="s">
        <v>1737</v>
      </c>
      <c r="B55" s="35">
        <v>42119</v>
      </c>
      <c r="C55" s="28">
        <v>76</v>
      </c>
      <c r="D55" s="30">
        <v>46</v>
      </c>
      <c r="E55" s="30">
        <v>43.787678654300002</v>
      </c>
      <c r="F55" s="30">
        <v>-5.3907585945800003</v>
      </c>
      <c r="G55" s="30">
        <v>8</v>
      </c>
      <c r="H55" s="30">
        <f t="shared" si="0"/>
        <v>38</v>
      </c>
      <c r="I55" s="8"/>
      <c r="J55" s="8"/>
      <c r="K55" s="8"/>
    </row>
    <row r="56" spans="1:11" s="30" customFormat="1" x14ac:dyDescent="0.25">
      <c r="A56" s="30" t="s">
        <v>1738</v>
      </c>
      <c r="B56" s="35">
        <v>42118</v>
      </c>
      <c r="C56" s="28">
        <v>283</v>
      </c>
      <c r="D56" s="30">
        <v>38.200000000000003</v>
      </c>
      <c r="E56" s="30">
        <v>50.430236798999999</v>
      </c>
      <c r="F56" s="30">
        <v>-6.5642871991399998</v>
      </c>
      <c r="G56" s="30">
        <v>17.2</v>
      </c>
      <c r="H56" s="30">
        <f t="shared" si="0"/>
        <v>21.000000000000004</v>
      </c>
      <c r="I56" s="8"/>
      <c r="J56" s="8"/>
      <c r="K56" s="8"/>
    </row>
    <row r="57" spans="1:11" s="30" customFormat="1" x14ac:dyDescent="0.25">
      <c r="A57" s="30" t="s">
        <v>1739</v>
      </c>
      <c r="B57" s="35">
        <v>42118</v>
      </c>
      <c r="C57" s="28">
        <v>94</v>
      </c>
      <c r="D57" s="30">
        <v>24.7</v>
      </c>
      <c r="E57" s="30">
        <v>34.952391524900001</v>
      </c>
      <c r="F57" s="30">
        <v>-2.0741224854700002</v>
      </c>
      <c r="G57" s="30">
        <v>1.5</v>
      </c>
      <c r="H57" s="30">
        <f t="shared" si="0"/>
        <v>23.2</v>
      </c>
      <c r="I57" s="8"/>
      <c r="J57" s="8"/>
      <c r="K57" s="8"/>
    </row>
    <row r="58" spans="1:11" s="30" customFormat="1" x14ac:dyDescent="0.25">
      <c r="A58" s="30" t="s">
        <v>1740</v>
      </c>
      <c r="B58" s="35">
        <v>42118</v>
      </c>
      <c r="C58" s="28">
        <v>56</v>
      </c>
      <c r="D58" s="30">
        <v>34.25</v>
      </c>
      <c r="E58" s="30">
        <v>33.453870184499998</v>
      </c>
      <c r="F58" s="30">
        <v>-5.3253694507800002</v>
      </c>
      <c r="G58" s="30">
        <v>9</v>
      </c>
      <c r="H58" s="30">
        <f t="shared" si="0"/>
        <v>25.25</v>
      </c>
      <c r="I58" s="8"/>
      <c r="J58" s="8"/>
      <c r="K58" s="8"/>
    </row>
    <row r="59" spans="1:11" s="30" customFormat="1" x14ac:dyDescent="0.25">
      <c r="A59" s="30" t="s">
        <v>1741</v>
      </c>
      <c r="B59" s="35">
        <v>42117</v>
      </c>
      <c r="C59" s="28">
        <v>53</v>
      </c>
      <c r="D59" s="30">
        <v>28.25</v>
      </c>
      <c r="E59" s="30">
        <v>32.598265054400002</v>
      </c>
      <c r="F59" s="30">
        <v>-7.8298608374800001</v>
      </c>
      <c r="G59" s="30">
        <v>10</v>
      </c>
      <c r="H59" s="30">
        <f t="shared" si="0"/>
        <v>18.25</v>
      </c>
      <c r="I59" s="8"/>
      <c r="J59" s="8"/>
      <c r="K59" s="8"/>
    </row>
    <row r="60" spans="1:11" s="30" customFormat="1" x14ac:dyDescent="0.25">
      <c r="A60" s="30" t="s">
        <v>1742</v>
      </c>
      <c r="B60" s="35">
        <v>42117</v>
      </c>
      <c r="C60" s="28">
        <v>79</v>
      </c>
      <c r="D60" s="30">
        <v>27.25</v>
      </c>
      <c r="E60" s="30">
        <v>44.953110128799999</v>
      </c>
      <c r="F60" s="30">
        <v>-9.6822515404700003</v>
      </c>
      <c r="G60" s="30">
        <v>7</v>
      </c>
      <c r="H60" s="30">
        <f t="shared" si="0"/>
        <v>20.25</v>
      </c>
      <c r="I60" s="39"/>
      <c r="J60" s="8"/>
      <c r="K60" s="8"/>
    </row>
    <row r="61" spans="1:11" s="30" customFormat="1" x14ac:dyDescent="0.25">
      <c r="A61" s="30" t="s">
        <v>1743</v>
      </c>
      <c r="B61" s="35">
        <v>42116</v>
      </c>
      <c r="C61" s="28">
        <v>280</v>
      </c>
      <c r="D61" s="30">
        <v>32.25</v>
      </c>
      <c r="E61" s="30">
        <v>38.941306848300002</v>
      </c>
      <c r="F61" s="30">
        <v>0.182323498468</v>
      </c>
      <c r="G61" s="30">
        <v>-0.5</v>
      </c>
      <c r="H61" s="30">
        <f t="shared" si="0"/>
        <v>32.75</v>
      </c>
      <c r="I61" s="39"/>
      <c r="J61" s="8"/>
      <c r="K61" s="8"/>
    </row>
    <row r="62" spans="1:11" s="30" customFormat="1" x14ac:dyDescent="0.25">
      <c r="A62" s="30" t="s">
        <v>1744</v>
      </c>
      <c r="B62" s="35">
        <v>42116</v>
      </c>
      <c r="C62" s="28">
        <v>260</v>
      </c>
      <c r="D62" s="30">
        <v>33.25</v>
      </c>
      <c r="E62" s="30">
        <v>38.7392614858</v>
      </c>
      <c r="F62" s="30">
        <v>-0.30380929589299999</v>
      </c>
      <c r="G62" s="30">
        <v>-0.5</v>
      </c>
      <c r="H62" s="30">
        <f t="shared" si="0"/>
        <v>33.75</v>
      </c>
      <c r="I62" s="39"/>
      <c r="K62" s="8"/>
    </row>
    <row r="63" spans="1:11" s="30" customFormat="1" x14ac:dyDescent="0.25">
      <c r="A63" s="30" t="s">
        <v>1745</v>
      </c>
      <c r="B63" s="35">
        <v>42116</v>
      </c>
      <c r="C63" s="28">
        <v>74</v>
      </c>
      <c r="D63" s="30">
        <v>29.5</v>
      </c>
      <c r="E63" s="30">
        <v>34.751240706099999</v>
      </c>
      <c r="F63" s="30">
        <v>-1.8604978210200001</v>
      </c>
      <c r="G63" s="30">
        <v>-0.5</v>
      </c>
      <c r="H63" s="30">
        <f t="shared" si="0"/>
        <v>30</v>
      </c>
      <c r="I63" s="39"/>
      <c r="K63" s="8"/>
    </row>
    <row r="64" spans="1:11" s="30" customFormat="1" x14ac:dyDescent="0.25">
      <c r="A64" s="30" t="s">
        <v>1746</v>
      </c>
      <c r="B64" s="35">
        <v>42116</v>
      </c>
      <c r="C64" s="28">
        <v>55</v>
      </c>
      <c r="D64" s="30">
        <v>31.75</v>
      </c>
      <c r="E64" s="30">
        <v>34.880590884100002</v>
      </c>
      <c r="F64" s="30">
        <v>-0.69150145655100004</v>
      </c>
      <c r="G64" s="30">
        <v>19</v>
      </c>
      <c r="H64" s="30">
        <f t="shared" si="0"/>
        <v>12.75</v>
      </c>
      <c r="I64" s="39"/>
      <c r="K64" s="8"/>
    </row>
    <row r="65" spans="1:11" s="30" customFormat="1" x14ac:dyDescent="0.25">
      <c r="A65" s="30" t="s">
        <v>1747</v>
      </c>
      <c r="B65" s="35">
        <v>42115</v>
      </c>
      <c r="C65" s="28">
        <v>278</v>
      </c>
      <c r="D65" s="30">
        <v>27.35</v>
      </c>
      <c r="E65" s="30">
        <v>72.565285232799994</v>
      </c>
      <c r="F65" s="30">
        <v>-6.7054458223399998</v>
      </c>
      <c r="G65" s="30">
        <v>12.1</v>
      </c>
      <c r="H65" s="30">
        <f t="shared" si="0"/>
        <v>15.250000000000002</v>
      </c>
      <c r="I65" s="8"/>
      <c r="K65" s="8"/>
    </row>
    <row r="66" spans="1:11" s="30" customFormat="1" x14ac:dyDescent="0.25">
      <c r="A66" s="30" t="s">
        <v>1748</v>
      </c>
      <c r="B66" s="35">
        <v>42115</v>
      </c>
      <c r="C66" s="28">
        <v>74</v>
      </c>
      <c r="D66" s="30">
        <v>49.25</v>
      </c>
      <c r="E66" s="30">
        <v>34.596101814199997</v>
      </c>
      <c r="F66" s="30">
        <v>-6.3939974018300001</v>
      </c>
      <c r="G66" s="58">
        <v>1.75</v>
      </c>
      <c r="H66" s="30">
        <f t="shared" si="0"/>
        <v>47.5</v>
      </c>
      <c r="I66" s="8"/>
      <c r="K66" s="8"/>
    </row>
    <row r="67" spans="1:11" s="30" customFormat="1" x14ac:dyDescent="0.25">
      <c r="A67" s="60" t="s">
        <v>1760</v>
      </c>
      <c r="B67" s="61">
        <v>42114</v>
      </c>
      <c r="C67" s="28">
        <v>152</v>
      </c>
      <c r="D67" s="60">
        <v>4.75</v>
      </c>
      <c r="E67" s="60">
        <v>39.1029623485</v>
      </c>
      <c r="F67" s="60">
        <v>-8.7578257379500002</v>
      </c>
      <c r="G67" s="30">
        <v>0</v>
      </c>
      <c r="H67" s="30">
        <f t="shared" ref="H67:H75" si="1">D67-G67</f>
        <v>4.75</v>
      </c>
      <c r="I67" s="8"/>
    </row>
    <row r="68" spans="1:11" s="30" customFormat="1" x14ac:dyDescent="0.25">
      <c r="A68" s="30" t="s">
        <v>1761</v>
      </c>
      <c r="B68" s="35">
        <v>42114</v>
      </c>
      <c r="C68" s="28">
        <v>57</v>
      </c>
      <c r="D68" s="30">
        <v>15.75</v>
      </c>
      <c r="E68" s="30">
        <v>32.973036750399999</v>
      </c>
      <c r="F68" s="30">
        <v>-0.40815222861799999</v>
      </c>
      <c r="G68" s="30">
        <v>-2</v>
      </c>
      <c r="H68" s="30">
        <f t="shared" si="1"/>
        <v>17.75</v>
      </c>
      <c r="I68" s="8"/>
    </row>
    <row r="69" spans="1:11" s="30" customFormat="1" x14ac:dyDescent="0.25">
      <c r="A69" s="30" t="s">
        <v>1758</v>
      </c>
      <c r="B69" s="35">
        <v>42113</v>
      </c>
      <c r="C69" s="28">
        <v>284</v>
      </c>
      <c r="D69" s="30">
        <v>21.75</v>
      </c>
      <c r="E69" s="30">
        <v>41.166681425299998</v>
      </c>
      <c r="F69" s="30">
        <v>-9.6379958382299993</v>
      </c>
      <c r="G69" s="30">
        <v>4</v>
      </c>
      <c r="H69" s="30">
        <f t="shared" si="1"/>
        <v>17.75</v>
      </c>
      <c r="I69" s="8"/>
    </row>
    <row r="70" spans="1:11" s="30" customFormat="1" x14ac:dyDescent="0.25">
      <c r="A70" s="30" t="s">
        <v>1759</v>
      </c>
      <c r="B70" s="35">
        <v>42113</v>
      </c>
      <c r="C70" s="28">
        <v>211</v>
      </c>
      <c r="D70" s="30">
        <v>16.25</v>
      </c>
      <c r="E70" s="30">
        <v>40.821308838900002</v>
      </c>
      <c r="F70" s="30">
        <v>-9.9615248624199992</v>
      </c>
      <c r="G70" s="30">
        <v>4</v>
      </c>
      <c r="H70" s="30">
        <f t="shared" si="1"/>
        <v>12.25</v>
      </c>
      <c r="I70" s="8"/>
    </row>
    <row r="71" spans="1:11" s="30" customFormat="1" x14ac:dyDescent="0.25">
      <c r="A71" s="30" t="s">
        <v>1753</v>
      </c>
      <c r="B71" s="35">
        <v>42113</v>
      </c>
      <c r="C71" s="28">
        <v>74</v>
      </c>
      <c r="D71" s="30">
        <v>42.75</v>
      </c>
      <c r="E71" s="30">
        <v>33.288536067800003</v>
      </c>
      <c r="F71" s="30">
        <v>-2.4475654003799998</v>
      </c>
      <c r="G71" s="30">
        <v>15</v>
      </c>
      <c r="H71" s="30">
        <f t="shared" si="1"/>
        <v>27.75</v>
      </c>
      <c r="I71" s="8"/>
    </row>
    <row r="72" spans="1:11" s="30" customFormat="1" x14ac:dyDescent="0.25">
      <c r="A72" s="30" t="s">
        <v>1749</v>
      </c>
      <c r="B72" s="35">
        <v>42112</v>
      </c>
      <c r="C72" s="28">
        <v>150</v>
      </c>
      <c r="D72" s="30">
        <v>40.25</v>
      </c>
      <c r="E72" s="30">
        <v>37.1580939822</v>
      </c>
      <c r="F72" s="30">
        <v>-5.7221609402100002</v>
      </c>
      <c r="G72" s="30">
        <v>22</v>
      </c>
      <c r="H72" s="30">
        <f t="shared" si="1"/>
        <v>18.25</v>
      </c>
      <c r="I72" s="8"/>
    </row>
    <row r="73" spans="1:11" s="30" customFormat="1" x14ac:dyDescent="0.25">
      <c r="A73" s="30" t="s">
        <v>1750</v>
      </c>
      <c r="B73" s="35">
        <v>42111</v>
      </c>
      <c r="C73" s="28">
        <v>244</v>
      </c>
      <c r="D73" s="30">
        <v>59.5</v>
      </c>
      <c r="E73" s="30">
        <v>45.672461368100002</v>
      </c>
      <c r="F73" s="30">
        <v>-1.15953948441</v>
      </c>
      <c r="G73" s="30">
        <v>1.75</v>
      </c>
      <c r="H73" s="30">
        <f t="shared" si="1"/>
        <v>57.75</v>
      </c>
      <c r="I73" s="8"/>
    </row>
    <row r="74" spans="1:11" s="30" customFormat="1" x14ac:dyDescent="0.25">
      <c r="A74" s="30" t="s">
        <v>1751</v>
      </c>
      <c r="B74" s="35">
        <v>42111</v>
      </c>
      <c r="C74" s="28">
        <v>55</v>
      </c>
      <c r="D74" s="30">
        <v>46</v>
      </c>
      <c r="E74" s="30">
        <v>34.789040689899998</v>
      </c>
      <c r="F74" s="30">
        <v>-5.3221676207600002</v>
      </c>
      <c r="G74" s="58">
        <v>1.75</v>
      </c>
      <c r="H74" s="30">
        <f t="shared" si="1"/>
        <v>44.25</v>
      </c>
      <c r="I74" s="8"/>
    </row>
    <row r="75" spans="1:11" s="30" customFormat="1" x14ac:dyDescent="0.25">
      <c r="A75" s="30" t="s">
        <v>1752</v>
      </c>
      <c r="B75" s="35">
        <v>42111</v>
      </c>
      <c r="C75" s="28">
        <v>78</v>
      </c>
      <c r="D75" s="30">
        <v>29.25</v>
      </c>
      <c r="E75" s="30">
        <v>35.599015454000003</v>
      </c>
      <c r="F75" s="30">
        <v>-1.19180542895</v>
      </c>
      <c r="G75" s="30">
        <v>13</v>
      </c>
      <c r="H75" s="30">
        <f t="shared" si="1"/>
        <v>16.25</v>
      </c>
      <c r="I75" s="8"/>
    </row>
    <row r="76" spans="1:11" s="30" customFormat="1" x14ac:dyDescent="0.25">
      <c r="A76" s="31"/>
      <c r="B76" s="55"/>
      <c r="C76" s="31"/>
      <c r="D76" s="31"/>
      <c r="E76" s="31"/>
      <c r="F76" s="31"/>
      <c r="I76" s="8"/>
    </row>
    <row r="77" spans="1:11" s="30" customFormat="1" x14ac:dyDescent="0.25">
      <c r="A77" s="31"/>
      <c r="B77" s="55"/>
      <c r="C77" s="31"/>
      <c r="D77" s="31"/>
      <c r="E77" s="31"/>
      <c r="F77" s="31"/>
      <c r="I77" s="8"/>
    </row>
    <row r="78" spans="1:11" s="30" customFormat="1" x14ac:dyDescent="0.25">
      <c r="A78" s="31"/>
      <c r="B78" s="55"/>
      <c r="C78" s="31"/>
      <c r="D78" s="31"/>
      <c r="E78" s="31"/>
      <c r="F78" s="31"/>
      <c r="I78" s="8"/>
    </row>
    <row r="79" spans="1:11" s="30" customFormat="1" x14ac:dyDescent="0.25">
      <c r="A79" s="31"/>
      <c r="B79" s="55"/>
      <c r="C79" s="31"/>
      <c r="D79" s="31"/>
      <c r="E79" s="31"/>
      <c r="F79" s="31"/>
      <c r="I79" s="8"/>
    </row>
    <row r="80" spans="1:11" s="30" customFormat="1" x14ac:dyDescent="0.25">
      <c r="B80" s="8"/>
      <c r="I80" s="8"/>
    </row>
    <row r="81" spans="1:11" s="30" customFormat="1" ht="15.75" thickBot="1" x14ac:dyDescent="0.3">
      <c r="B81" s="8"/>
    </row>
    <row r="82" spans="1:11" s="30" customFormat="1" x14ac:dyDescent="0.25">
      <c r="A82" s="37" t="s">
        <v>1984</v>
      </c>
      <c r="B82" s="38" t="s">
        <v>311</v>
      </c>
      <c r="C82" s="38" t="s">
        <v>1545</v>
      </c>
      <c r="D82" s="38" t="s">
        <v>1527</v>
      </c>
      <c r="E82" s="38" t="s">
        <v>1546</v>
      </c>
      <c r="F82" s="38" t="s">
        <v>1547</v>
      </c>
      <c r="G82" s="40" t="s">
        <v>1861</v>
      </c>
      <c r="H82" s="38" t="s">
        <v>1862</v>
      </c>
      <c r="I82" s="65" t="s">
        <v>1989</v>
      </c>
      <c r="J82" s="66" t="s">
        <v>1990</v>
      </c>
      <c r="K82" s="67" t="s">
        <v>1991</v>
      </c>
    </row>
    <row r="83" spans="1:11" s="30" customFormat="1" x14ac:dyDescent="0.25">
      <c r="A83" s="30" t="s">
        <v>1841</v>
      </c>
      <c r="B83" s="8">
        <v>42111</v>
      </c>
      <c r="C83" s="28">
        <v>244</v>
      </c>
      <c r="D83" s="30">
        <v>69.5</v>
      </c>
      <c r="E83" s="30">
        <v>45.7977403585</v>
      </c>
      <c r="F83" s="30">
        <v>-1.8348345369100001</v>
      </c>
      <c r="G83" s="30">
        <v>1.75</v>
      </c>
      <c r="H83" s="30">
        <f t="shared" ref="H83:H114" si="2">D83-G83</f>
        <v>67.75</v>
      </c>
      <c r="I83" s="68">
        <f>AVERAGE(D83:D220)</f>
        <v>32.877536231884037</v>
      </c>
      <c r="J83" s="68">
        <f>_xlfn.STDEV.P(D83:D220)</f>
        <v>11.02185587699851</v>
      </c>
      <c r="K83" s="68">
        <f>MEDIAN(D83:D220)</f>
        <v>32.125</v>
      </c>
    </row>
    <row r="84" spans="1:11" s="30" customFormat="1" x14ac:dyDescent="0.25">
      <c r="A84" s="30" t="s">
        <v>1784</v>
      </c>
      <c r="B84" s="8">
        <v>42111</v>
      </c>
      <c r="C84" s="28">
        <v>55</v>
      </c>
      <c r="D84" s="30">
        <v>70</v>
      </c>
      <c r="E84" s="30">
        <v>34.921601078499997</v>
      </c>
      <c r="F84" s="30">
        <v>-8.0725101981100007</v>
      </c>
      <c r="G84" s="30">
        <v>1.75</v>
      </c>
      <c r="H84" s="30">
        <f t="shared" si="2"/>
        <v>68.25</v>
      </c>
    </row>
    <row r="85" spans="1:11" s="30" customFormat="1" x14ac:dyDescent="0.25">
      <c r="A85" s="30" t="s">
        <v>1842</v>
      </c>
      <c r="B85" s="8">
        <v>42111</v>
      </c>
      <c r="C85" s="28">
        <v>78</v>
      </c>
      <c r="D85" s="30">
        <v>20.5</v>
      </c>
      <c r="E85" s="30">
        <v>35.380042517200003</v>
      </c>
      <c r="F85" s="30">
        <v>-1.51932096304</v>
      </c>
      <c r="G85" s="30">
        <v>7</v>
      </c>
      <c r="H85" s="30">
        <f t="shared" si="2"/>
        <v>13.5</v>
      </c>
    </row>
    <row r="86" spans="1:11" s="30" customFormat="1" x14ac:dyDescent="0.25">
      <c r="A86" s="30" t="s">
        <v>1783</v>
      </c>
      <c r="B86" s="8">
        <v>42112</v>
      </c>
      <c r="C86" s="28">
        <v>150</v>
      </c>
      <c r="D86" s="30">
        <v>47.75</v>
      </c>
      <c r="E86" s="30">
        <v>37.863196342800002</v>
      </c>
      <c r="F86" s="30">
        <v>-1.0183909926900001</v>
      </c>
      <c r="G86" s="30">
        <v>22</v>
      </c>
      <c r="H86" s="30">
        <f t="shared" si="2"/>
        <v>25.75</v>
      </c>
    </row>
    <row r="87" spans="1:11" s="30" customFormat="1" x14ac:dyDescent="0.25">
      <c r="A87" s="30" t="s">
        <v>1839</v>
      </c>
      <c r="B87" s="8">
        <v>42113</v>
      </c>
      <c r="C87" s="28">
        <v>284</v>
      </c>
      <c r="D87" s="30">
        <v>21.75</v>
      </c>
      <c r="E87" s="30">
        <v>39.895729482299998</v>
      </c>
      <c r="F87" s="30">
        <v>-2.1473382615199998</v>
      </c>
      <c r="G87" s="30">
        <v>6</v>
      </c>
      <c r="H87" s="30">
        <f t="shared" si="2"/>
        <v>15.75</v>
      </c>
    </row>
    <row r="88" spans="1:11" s="30" customFormat="1" x14ac:dyDescent="0.25">
      <c r="A88" s="30" t="s">
        <v>1840</v>
      </c>
      <c r="B88" s="8">
        <v>42113</v>
      </c>
      <c r="C88" s="28">
        <v>211</v>
      </c>
      <c r="D88" s="30">
        <v>22.25</v>
      </c>
      <c r="E88" s="30">
        <v>39.776034635499997</v>
      </c>
      <c r="F88" s="30">
        <v>-1.4600867554100001</v>
      </c>
      <c r="G88" s="30">
        <v>6</v>
      </c>
      <c r="H88" s="30">
        <f t="shared" si="2"/>
        <v>16.25</v>
      </c>
    </row>
    <row r="89" spans="1:11" s="30" customFormat="1" x14ac:dyDescent="0.25">
      <c r="A89" s="30" t="s">
        <v>1782</v>
      </c>
      <c r="B89" s="8">
        <v>42113</v>
      </c>
      <c r="C89" s="28">
        <v>74</v>
      </c>
      <c r="D89" s="30">
        <v>38.5</v>
      </c>
      <c r="E89" s="30">
        <v>33.358434741899998</v>
      </c>
      <c r="F89" s="30">
        <v>-2.40600986833</v>
      </c>
      <c r="G89" s="30">
        <v>15</v>
      </c>
      <c r="H89" s="30">
        <f t="shared" si="2"/>
        <v>23.5</v>
      </c>
    </row>
    <row r="90" spans="1:11" s="30" customFormat="1" x14ac:dyDescent="0.25">
      <c r="A90" s="30" t="s">
        <v>1838</v>
      </c>
      <c r="B90" s="8">
        <v>42114</v>
      </c>
      <c r="C90" s="28">
        <v>152</v>
      </c>
      <c r="D90" s="30">
        <v>23.75</v>
      </c>
      <c r="E90" s="30">
        <v>40.654516958199999</v>
      </c>
      <c r="F90" s="30">
        <v>-8.0861057623499999</v>
      </c>
      <c r="G90" s="30">
        <v>17</v>
      </c>
      <c r="H90" s="30">
        <f t="shared" si="2"/>
        <v>6.75</v>
      </c>
    </row>
    <row r="91" spans="1:11" s="30" customFormat="1" x14ac:dyDescent="0.25">
      <c r="A91" s="30" t="s">
        <v>1781</v>
      </c>
      <c r="B91" s="8">
        <v>42114</v>
      </c>
      <c r="C91" s="28">
        <v>57</v>
      </c>
      <c r="D91" s="30">
        <v>16.75</v>
      </c>
      <c r="E91" s="30">
        <v>34.300779796500002</v>
      </c>
      <c r="F91" s="30">
        <v>-0.37235230055200003</v>
      </c>
      <c r="G91" s="30">
        <v>-2</v>
      </c>
      <c r="H91" s="30">
        <f t="shared" si="2"/>
        <v>18.75</v>
      </c>
    </row>
    <row r="92" spans="1:11" x14ac:dyDescent="0.25">
      <c r="A92" t="s">
        <v>1837</v>
      </c>
      <c r="B92" s="8">
        <v>42115</v>
      </c>
      <c r="C92" s="28">
        <v>278</v>
      </c>
      <c r="D92">
        <v>39.5</v>
      </c>
      <c r="E92">
        <v>41.216614437300002</v>
      </c>
      <c r="F92">
        <v>-8.3285471563600009</v>
      </c>
      <c r="G92">
        <v>11</v>
      </c>
      <c r="H92" s="30">
        <f t="shared" si="2"/>
        <v>28.5</v>
      </c>
    </row>
    <row r="93" spans="1:11" x14ac:dyDescent="0.25">
      <c r="A93" s="30" t="s">
        <v>1780</v>
      </c>
      <c r="B93" s="8">
        <v>42115</v>
      </c>
      <c r="C93" s="28">
        <v>74</v>
      </c>
      <c r="D93" s="30">
        <v>49.25</v>
      </c>
      <c r="E93" s="30">
        <v>34.983759660499999</v>
      </c>
      <c r="F93" s="30">
        <v>-6.3248967696199996</v>
      </c>
      <c r="G93">
        <v>1.75</v>
      </c>
      <c r="H93" s="30">
        <f t="shared" si="2"/>
        <v>47.5</v>
      </c>
    </row>
    <row r="94" spans="1:11" x14ac:dyDescent="0.25">
      <c r="A94" t="s">
        <v>1834</v>
      </c>
      <c r="B94" s="8">
        <v>42116</v>
      </c>
      <c r="C94" s="28">
        <v>280</v>
      </c>
      <c r="D94">
        <v>35</v>
      </c>
      <c r="E94">
        <v>38.486868463500002</v>
      </c>
      <c r="F94">
        <v>-1.7364717763799999</v>
      </c>
      <c r="G94">
        <v>6</v>
      </c>
      <c r="H94" s="30">
        <f t="shared" si="2"/>
        <v>29</v>
      </c>
    </row>
    <row r="95" spans="1:11" x14ac:dyDescent="0.25">
      <c r="A95" t="s">
        <v>1835</v>
      </c>
      <c r="B95" s="8">
        <v>42116</v>
      </c>
      <c r="C95" s="28">
        <v>260</v>
      </c>
      <c r="D95">
        <v>31.75</v>
      </c>
      <c r="E95">
        <v>37.8447070733</v>
      </c>
      <c r="F95">
        <v>-0.58109330865200004</v>
      </c>
      <c r="G95">
        <v>-0.5</v>
      </c>
      <c r="H95" s="30">
        <f t="shared" si="2"/>
        <v>32.25</v>
      </c>
    </row>
    <row r="96" spans="1:11" x14ac:dyDescent="0.25">
      <c r="A96" t="s">
        <v>1779</v>
      </c>
      <c r="B96" s="8">
        <v>42116</v>
      </c>
      <c r="C96" s="28">
        <v>74</v>
      </c>
      <c r="D96">
        <v>31.5</v>
      </c>
      <c r="E96">
        <v>34.966042733899997</v>
      </c>
      <c r="F96">
        <v>-3.06621528251</v>
      </c>
      <c r="G96">
        <v>-0.5</v>
      </c>
      <c r="H96" s="30">
        <f t="shared" si="2"/>
        <v>32</v>
      </c>
    </row>
    <row r="97" spans="1:8" x14ac:dyDescent="0.25">
      <c r="A97" t="s">
        <v>1836</v>
      </c>
      <c r="B97" s="8">
        <v>42116</v>
      </c>
      <c r="C97" s="28">
        <v>55</v>
      </c>
      <c r="D97">
        <v>34</v>
      </c>
      <c r="E97">
        <v>34.7126597894</v>
      </c>
      <c r="F97">
        <v>-2.3984720554400001</v>
      </c>
      <c r="G97">
        <v>19</v>
      </c>
      <c r="H97" s="30">
        <f t="shared" si="2"/>
        <v>15</v>
      </c>
    </row>
    <row r="98" spans="1:8" x14ac:dyDescent="0.25">
      <c r="A98" t="s">
        <v>1833</v>
      </c>
      <c r="B98" s="8">
        <v>42117</v>
      </c>
      <c r="C98" s="28">
        <v>53</v>
      </c>
      <c r="D98">
        <v>28.25</v>
      </c>
      <c r="E98">
        <v>33.481748976200002</v>
      </c>
      <c r="F98">
        <v>-7.6941311036500002</v>
      </c>
      <c r="G98">
        <v>10</v>
      </c>
      <c r="H98" s="30">
        <f t="shared" si="2"/>
        <v>18.25</v>
      </c>
    </row>
    <row r="99" spans="1:8" x14ac:dyDescent="0.25">
      <c r="A99" t="s">
        <v>1778</v>
      </c>
      <c r="B99" s="8">
        <v>42117</v>
      </c>
      <c r="C99" s="28">
        <v>79</v>
      </c>
      <c r="D99">
        <v>18.5</v>
      </c>
      <c r="E99">
        <v>35.055674310999997</v>
      </c>
      <c r="F99">
        <v>-2.6640079940799999</v>
      </c>
      <c r="G99">
        <v>7</v>
      </c>
      <c r="H99" s="30">
        <f t="shared" si="2"/>
        <v>11.5</v>
      </c>
    </row>
    <row r="100" spans="1:8" x14ac:dyDescent="0.25">
      <c r="A100" t="s">
        <v>1831</v>
      </c>
      <c r="B100" s="8">
        <v>42118</v>
      </c>
      <c r="C100" s="28">
        <v>283</v>
      </c>
      <c r="D100">
        <v>36.200000000000003</v>
      </c>
      <c r="E100">
        <v>49.261817678</v>
      </c>
      <c r="F100">
        <v>-5.3461836570800001</v>
      </c>
      <c r="G100">
        <v>17.2</v>
      </c>
      <c r="H100" s="30">
        <f t="shared" si="2"/>
        <v>19.000000000000004</v>
      </c>
    </row>
    <row r="101" spans="1:8" x14ac:dyDescent="0.25">
      <c r="A101" t="s">
        <v>1832</v>
      </c>
      <c r="B101" s="8">
        <v>42118</v>
      </c>
      <c r="C101" s="28">
        <v>94</v>
      </c>
      <c r="D101">
        <v>21.95</v>
      </c>
      <c r="E101">
        <v>35.227743174700002</v>
      </c>
      <c r="F101">
        <v>-2.7397304287300002</v>
      </c>
      <c r="G101">
        <v>1.5</v>
      </c>
      <c r="H101" s="30">
        <f t="shared" si="2"/>
        <v>20.45</v>
      </c>
    </row>
    <row r="102" spans="1:8" x14ac:dyDescent="0.25">
      <c r="A102" t="s">
        <v>1777</v>
      </c>
      <c r="B102" s="8">
        <v>42118</v>
      </c>
      <c r="C102" s="28">
        <v>56</v>
      </c>
      <c r="D102">
        <v>34.25</v>
      </c>
      <c r="E102">
        <v>34.793420570899997</v>
      </c>
      <c r="F102">
        <v>-3.2426791698200002</v>
      </c>
      <c r="G102">
        <v>9</v>
      </c>
      <c r="H102" s="30">
        <f t="shared" si="2"/>
        <v>25.25</v>
      </c>
    </row>
    <row r="103" spans="1:8" x14ac:dyDescent="0.25">
      <c r="A103" t="s">
        <v>1775</v>
      </c>
      <c r="B103" s="8">
        <v>42119</v>
      </c>
      <c r="C103" s="28">
        <v>147</v>
      </c>
      <c r="D103">
        <v>38.5</v>
      </c>
      <c r="E103">
        <v>35.8243360337</v>
      </c>
      <c r="F103">
        <v>-0.87768847197699995</v>
      </c>
      <c r="G103">
        <v>-0.5</v>
      </c>
      <c r="H103" s="30">
        <f t="shared" si="2"/>
        <v>39</v>
      </c>
    </row>
    <row r="104" spans="1:8" x14ac:dyDescent="0.25">
      <c r="A104" t="s">
        <v>1830</v>
      </c>
      <c r="B104" s="8">
        <v>42119</v>
      </c>
      <c r="C104" s="28">
        <v>76</v>
      </c>
      <c r="D104">
        <v>36.75</v>
      </c>
      <c r="E104">
        <v>37.322542065599997</v>
      </c>
      <c r="F104">
        <v>-1.42855990515</v>
      </c>
      <c r="G104">
        <v>8</v>
      </c>
      <c r="H104" s="30">
        <f t="shared" si="2"/>
        <v>28.75</v>
      </c>
    </row>
    <row r="105" spans="1:8" x14ac:dyDescent="0.25">
      <c r="A105" t="s">
        <v>1828</v>
      </c>
      <c r="B105" s="8">
        <v>42120</v>
      </c>
      <c r="C105" s="28">
        <v>266</v>
      </c>
      <c r="D105">
        <v>23.1</v>
      </c>
      <c r="E105">
        <v>51.893816709500001</v>
      </c>
      <c r="F105">
        <v>-1.0288871560699999</v>
      </c>
      <c r="G105">
        <v>17.100000000000001</v>
      </c>
      <c r="H105" s="30">
        <f t="shared" si="2"/>
        <v>6</v>
      </c>
    </row>
    <row r="106" spans="1:8" x14ac:dyDescent="0.25">
      <c r="A106" t="s">
        <v>1829</v>
      </c>
      <c r="B106" s="8">
        <v>42120</v>
      </c>
      <c r="C106" s="28">
        <v>96</v>
      </c>
      <c r="D106">
        <v>37.1</v>
      </c>
      <c r="E106">
        <v>35.277219441699998</v>
      </c>
      <c r="F106">
        <v>-1.57377454779</v>
      </c>
      <c r="G106">
        <v>17.100000000000001</v>
      </c>
      <c r="H106" s="30">
        <f t="shared" si="2"/>
        <v>20</v>
      </c>
    </row>
    <row r="107" spans="1:8" x14ac:dyDescent="0.25">
      <c r="A107" t="s">
        <v>1825</v>
      </c>
      <c r="B107" s="8">
        <v>42121</v>
      </c>
      <c r="C107" s="28">
        <v>241</v>
      </c>
      <c r="D107">
        <v>31.5</v>
      </c>
      <c r="E107">
        <v>40.365861795199997</v>
      </c>
      <c r="F107">
        <v>-8.4999790074400003</v>
      </c>
      <c r="G107">
        <v>-0.5</v>
      </c>
      <c r="H107" s="30">
        <f t="shared" si="2"/>
        <v>32</v>
      </c>
    </row>
    <row r="108" spans="1:8" x14ac:dyDescent="0.25">
      <c r="A108" t="s">
        <v>1826</v>
      </c>
      <c r="B108" s="8">
        <v>42121</v>
      </c>
      <c r="C108" s="28">
        <v>202</v>
      </c>
      <c r="D108">
        <v>34.35</v>
      </c>
      <c r="E108">
        <v>37.2627298831</v>
      </c>
      <c r="F108">
        <v>-7.7296727770300002</v>
      </c>
      <c r="G108">
        <v>14.1</v>
      </c>
      <c r="H108" s="30">
        <f t="shared" si="2"/>
        <v>20.25</v>
      </c>
    </row>
    <row r="109" spans="1:8" x14ac:dyDescent="0.25">
      <c r="A109" t="s">
        <v>1827</v>
      </c>
      <c r="B109" s="8">
        <v>42121</v>
      </c>
      <c r="C109" s="28">
        <v>112</v>
      </c>
      <c r="D109">
        <v>21.35</v>
      </c>
      <c r="E109">
        <v>39.057192263799998</v>
      </c>
      <c r="F109">
        <v>-9.4579794457300004</v>
      </c>
      <c r="G109">
        <v>7.1</v>
      </c>
      <c r="H109" s="30">
        <f t="shared" si="2"/>
        <v>14.250000000000002</v>
      </c>
    </row>
    <row r="110" spans="1:8" x14ac:dyDescent="0.25">
      <c r="A110" t="s">
        <v>1824</v>
      </c>
      <c r="B110" s="8">
        <v>42122</v>
      </c>
      <c r="C110" s="28">
        <v>219</v>
      </c>
      <c r="D110">
        <v>43</v>
      </c>
      <c r="E110">
        <v>40.1271964548</v>
      </c>
      <c r="F110">
        <v>1.1626511083E-2</v>
      </c>
      <c r="G110">
        <v>-0.5</v>
      </c>
      <c r="H110" s="30">
        <f t="shared" si="2"/>
        <v>43.5</v>
      </c>
    </row>
    <row r="111" spans="1:8" x14ac:dyDescent="0.25">
      <c r="A111" t="s">
        <v>1774</v>
      </c>
      <c r="B111" s="8">
        <v>42122</v>
      </c>
      <c r="C111" s="28">
        <v>113</v>
      </c>
      <c r="D111">
        <v>50.75</v>
      </c>
      <c r="E111">
        <v>36.974045938099998</v>
      </c>
      <c r="F111">
        <v>-2.12688044636</v>
      </c>
      <c r="G111">
        <v>16</v>
      </c>
      <c r="H111" s="30">
        <f t="shared" si="2"/>
        <v>34.75</v>
      </c>
    </row>
    <row r="112" spans="1:8" x14ac:dyDescent="0.25">
      <c r="A112" t="s">
        <v>1822</v>
      </c>
      <c r="B112" s="8">
        <v>42123</v>
      </c>
      <c r="C112" s="28">
        <v>146</v>
      </c>
      <c r="D112">
        <v>21.45</v>
      </c>
      <c r="E112">
        <v>37.360378049399998</v>
      </c>
      <c r="F112">
        <v>-3.45363698344</v>
      </c>
      <c r="G112">
        <v>12.2</v>
      </c>
      <c r="H112" s="30">
        <f t="shared" si="2"/>
        <v>9.25</v>
      </c>
    </row>
    <row r="113" spans="1:8" x14ac:dyDescent="0.25">
      <c r="A113" t="s">
        <v>1823</v>
      </c>
      <c r="B113" s="8">
        <v>42123</v>
      </c>
      <c r="C113" s="28">
        <v>58</v>
      </c>
      <c r="D113">
        <v>20.25</v>
      </c>
      <c r="E113">
        <v>35.608440371999997</v>
      </c>
      <c r="F113">
        <v>-4.1663683988400004</v>
      </c>
      <c r="G113">
        <v>13</v>
      </c>
      <c r="H113" s="30">
        <f t="shared" si="2"/>
        <v>7.25</v>
      </c>
    </row>
    <row r="114" spans="1:8" x14ac:dyDescent="0.25">
      <c r="A114" t="s">
        <v>1820</v>
      </c>
      <c r="B114" s="8">
        <v>42125</v>
      </c>
      <c r="C114" s="28">
        <v>260</v>
      </c>
      <c r="D114">
        <v>14.25</v>
      </c>
      <c r="E114">
        <v>44.894128240699999</v>
      </c>
      <c r="F114">
        <v>-4.9652093874099998</v>
      </c>
      <c r="G114">
        <v>7</v>
      </c>
      <c r="H114" s="30">
        <f t="shared" si="2"/>
        <v>7.25</v>
      </c>
    </row>
    <row r="115" spans="1:8" x14ac:dyDescent="0.25">
      <c r="A115" t="s">
        <v>1821</v>
      </c>
      <c r="B115" s="8">
        <v>42125</v>
      </c>
      <c r="C115" s="28">
        <v>98</v>
      </c>
      <c r="D115">
        <v>12.5</v>
      </c>
      <c r="E115">
        <v>34.300666054300002</v>
      </c>
      <c r="F115">
        <v>-1.08573656029</v>
      </c>
      <c r="G115">
        <v>-0.5</v>
      </c>
      <c r="H115" s="30">
        <f t="shared" ref="H115:H146" si="3">D115-G115</f>
        <v>13</v>
      </c>
    </row>
    <row r="116" spans="1:8" x14ac:dyDescent="0.25">
      <c r="A116" t="s">
        <v>1816</v>
      </c>
      <c r="B116" s="8">
        <v>42126</v>
      </c>
      <c r="C116" s="28">
        <v>279</v>
      </c>
      <c r="D116">
        <v>35.25</v>
      </c>
      <c r="E116">
        <v>47.110233859899999</v>
      </c>
      <c r="F116">
        <v>-6.4536020695999996</v>
      </c>
      <c r="G116">
        <v>7</v>
      </c>
      <c r="H116" s="30">
        <f t="shared" si="3"/>
        <v>28.25</v>
      </c>
    </row>
    <row r="117" spans="1:8" x14ac:dyDescent="0.25">
      <c r="A117" t="s">
        <v>1817</v>
      </c>
      <c r="B117" s="8">
        <v>42126</v>
      </c>
      <c r="C117" s="28">
        <v>129</v>
      </c>
      <c r="D117">
        <v>29</v>
      </c>
      <c r="E117">
        <v>46.389721891100002</v>
      </c>
      <c r="F117">
        <v>-6.46423148504</v>
      </c>
      <c r="G117">
        <v>7</v>
      </c>
      <c r="H117" s="30">
        <f t="shared" si="3"/>
        <v>22</v>
      </c>
    </row>
    <row r="118" spans="1:8" x14ac:dyDescent="0.25">
      <c r="A118" t="s">
        <v>1818</v>
      </c>
      <c r="B118" s="8">
        <v>42126</v>
      </c>
      <c r="C118" s="28">
        <v>150</v>
      </c>
      <c r="D118">
        <v>40.5</v>
      </c>
      <c r="E118">
        <v>37.356863246000003</v>
      </c>
      <c r="F118">
        <v>-4.0732235672600003</v>
      </c>
      <c r="G118">
        <v>15</v>
      </c>
      <c r="H118" s="30">
        <f t="shared" si="3"/>
        <v>25.5</v>
      </c>
    </row>
    <row r="119" spans="1:8" x14ac:dyDescent="0.25">
      <c r="A119" t="s">
        <v>1819</v>
      </c>
      <c r="B119" s="8">
        <v>42126</v>
      </c>
      <c r="C119" s="28">
        <v>54</v>
      </c>
      <c r="D119">
        <v>40.25</v>
      </c>
      <c r="E119">
        <v>40.423920815099997</v>
      </c>
      <c r="F119">
        <v>-3.4764141127900001</v>
      </c>
      <c r="G119">
        <v>0.75</v>
      </c>
      <c r="H119" s="30">
        <f t="shared" si="3"/>
        <v>39.5</v>
      </c>
    </row>
    <row r="120" spans="1:8" x14ac:dyDescent="0.25">
      <c r="A120" t="s">
        <v>1815</v>
      </c>
      <c r="B120" s="8">
        <v>42127</v>
      </c>
      <c r="C120" s="28">
        <v>73</v>
      </c>
      <c r="D120">
        <v>13.7</v>
      </c>
      <c r="E120">
        <v>33.477581684900002</v>
      </c>
      <c r="F120">
        <v>-1.5393532353499999</v>
      </c>
      <c r="G120">
        <v>2.2000000000000002</v>
      </c>
      <c r="H120" s="30">
        <f t="shared" si="3"/>
        <v>11.5</v>
      </c>
    </row>
    <row r="121" spans="1:8" x14ac:dyDescent="0.25">
      <c r="A121" t="s">
        <v>1813</v>
      </c>
      <c r="B121" s="8">
        <v>42128</v>
      </c>
      <c r="C121" s="28">
        <v>188</v>
      </c>
      <c r="D121">
        <v>27.6</v>
      </c>
      <c r="E121">
        <v>43.033264776400003</v>
      </c>
      <c r="F121">
        <v>-8.8883315147099999</v>
      </c>
      <c r="G121">
        <v>-1</v>
      </c>
      <c r="H121" s="30">
        <f t="shared" si="3"/>
        <v>28.6</v>
      </c>
    </row>
    <row r="122" spans="1:8" x14ac:dyDescent="0.25">
      <c r="A122" t="s">
        <v>1814</v>
      </c>
      <c r="B122" s="8">
        <v>42128</v>
      </c>
      <c r="C122" s="28">
        <v>58</v>
      </c>
      <c r="D122">
        <v>32.25</v>
      </c>
      <c r="E122">
        <v>33.763669962100003</v>
      </c>
      <c r="F122">
        <v>-5.3239866573799999</v>
      </c>
      <c r="G122">
        <v>7</v>
      </c>
      <c r="H122" s="30">
        <f t="shared" si="3"/>
        <v>25.25</v>
      </c>
    </row>
    <row r="123" spans="1:8" x14ac:dyDescent="0.25">
      <c r="A123" t="s">
        <v>1773</v>
      </c>
      <c r="B123" s="8">
        <v>42128</v>
      </c>
      <c r="C123" s="28">
        <v>38</v>
      </c>
      <c r="D123">
        <v>21.75</v>
      </c>
      <c r="E123">
        <v>34.206223446400003</v>
      </c>
      <c r="F123">
        <v>-1.8780386039600001</v>
      </c>
      <c r="G123">
        <v>18</v>
      </c>
      <c r="H123" s="30">
        <f t="shared" si="3"/>
        <v>3.75</v>
      </c>
    </row>
    <row r="124" spans="1:8" x14ac:dyDescent="0.25">
      <c r="A124" t="s">
        <v>1812</v>
      </c>
      <c r="B124" s="8">
        <v>42129</v>
      </c>
      <c r="C124" s="28">
        <v>261</v>
      </c>
      <c r="D124">
        <v>17.75</v>
      </c>
      <c r="E124">
        <v>42.487158264800001</v>
      </c>
      <c r="F124">
        <v>-1.6101720566</v>
      </c>
      <c r="G124">
        <v>3</v>
      </c>
      <c r="H124" s="30">
        <f t="shared" si="3"/>
        <v>14.75</v>
      </c>
    </row>
    <row r="125" spans="1:8" x14ac:dyDescent="0.25">
      <c r="A125" t="s">
        <v>1811</v>
      </c>
      <c r="B125" s="8">
        <v>42130</v>
      </c>
      <c r="C125" s="28">
        <v>224</v>
      </c>
      <c r="D125">
        <v>42.1</v>
      </c>
      <c r="E125">
        <v>40.240099283399999</v>
      </c>
      <c r="F125">
        <v>-9.5475318535200007</v>
      </c>
      <c r="G125">
        <v>6.1</v>
      </c>
      <c r="H125" s="30">
        <f t="shared" si="3"/>
        <v>36</v>
      </c>
    </row>
    <row r="126" spans="1:8" x14ac:dyDescent="0.25">
      <c r="A126" t="s">
        <v>1810</v>
      </c>
      <c r="B126" s="8">
        <v>42131</v>
      </c>
      <c r="C126" s="28">
        <v>112</v>
      </c>
      <c r="D126">
        <v>48.6</v>
      </c>
      <c r="E126">
        <v>34.319797257799998</v>
      </c>
      <c r="F126">
        <v>-1.46830665875</v>
      </c>
      <c r="G126">
        <v>12.1</v>
      </c>
      <c r="H126" s="30">
        <f t="shared" si="3"/>
        <v>36.5</v>
      </c>
    </row>
    <row r="127" spans="1:8" x14ac:dyDescent="0.25">
      <c r="A127" t="s">
        <v>1809</v>
      </c>
      <c r="B127" s="8">
        <v>42132</v>
      </c>
      <c r="C127" s="28">
        <v>262</v>
      </c>
      <c r="D127">
        <v>21.6</v>
      </c>
      <c r="E127">
        <v>38.3488594863</v>
      </c>
      <c r="F127">
        <v>-3.1297507657299999</v>
      </c>
      <c r="G127">
        <v>3.1</v>
      </c>
      <c r="H127" s="30">
        <f t="shared" si="3"/>
        <v>18.5</v>
      </c>
    </row>
    <row r="128" spans="1:8" x14ac:dyDescent="0.25">
      <c r="A128" t="s">
        <v>1807</v>
      </c>
      <c r="B128" s="8">
        <v>42133</v>
      </c>
      <c r="C128" s="28">
        <v>158</v>
      </c>
      <c r="D128">
        <v>39.6</v>
      </c>
      <c r="E128">
        <v>36.811258478100001</v>
      </c>
      <c r="F128">
        <v>-8.1073534182400007</v>
      </c>
      <c r="G128">
        <v>15.1</v>
      </c>
      <c r="H128" s="30">
        <f t="shared" si="3"/>
        <v>24.5</v>
      </c>
    </row>
    <row r="129" spans="1:8" x14ac:dyDescent="0.25">
      <c r="A129" t="s">
        <v>1808</v>
      </c>
      <c r="B129" s="8">
        <v>42133</v>
      </c>
      <c r="C129" s="28">
        <v>57</v>
      </c>
      <c r="D129">
        <v>40.1</v>
      </c>
      <c r="E129">
        <v>33.737255623000003</v>
      </c>
      <c r="F129">
        <v>-1.0347450653600001</v>
      </c>
      <c r="G129">
        <v>10.1</v>
      </c>
      <c r="H129" s="30">
        <f t="shared" si="3"/>
        <v>30</v>
      </c>
    </row>
    <row r="130" spans="1:8" x14ac:dyDescent="0.25">
      <c r="A130" t="s">
        <v>1770</v>
      </c>
      <c r="B130" s="8">
        <v>42134</v>
      </c>
      <c r="C130" s="28">
        <v>280</v>
      </c>
      <c r="D130">
        <v>30.5</v>
      </c>
      <c r="E130">
        <v>42.965377412300001</v>
      </c>
      <c r="F130">
        <v>-2.1548092365099998</v>
      </c>
      <c r="G130">
        <v>11</v>
      </c>
      <c r="H130" s="30">
        <f t="shared" si="3"/>
        <v>19.5</v>
      </c>
    </row>
    <row r="131" spans="1:8" x14ac:dyDescent="0.25">
      <c r="A131" t="s">
        <v>1771</v>
      </c>
      <c r="B131" s="8">
        <v>42134</v>
      </c>
      <c r="C131" s="28">
        <v>169</v>
      </c>
      <c r="D131">
        <v>26.75</v>
      </c>
      <c r="E131">
        <v>41.773882227500003</v>
      </c>
      <c r="F131">
        <v>-1.91604617278</v>
      </c>
      <c r="G131">
        <v>11</v>
      </c>
      <c r="H131" s="30">
        <f t="shared" si="3"/>
        <v>15.75</v>
      </c>
    </row>
    <row r="132" spans="1:8" x14ac:dyDescent="0.25">
      <c r="A132" t="s">
        <v>1806</v>
      </c>
      <c r="B132" s="8">
        <v>42134</v>
      </c>
      <c r="C132" s="28">
        <v>91</v>
      </c>
      <c r="D132">
        <v>33.450000000000003</v>
      </c>
      <c r="E132">
        <v>36.288082685500001</v>
      </c>
      <c r="F132">
        <v>-2.16582704605</v>
      </c>
      <c r="G132">
        <v>-0.75</v>
      </c>
      <c r="H132" s="30">
        <f t="shared" si="3"/>
        <v>34.200000000000003</v>
      </c>
    </row>
    <row r="133" spans="1:8" x14ac:dyDescent="0.25">
      <c r="A133" t="s">
        <v>1805</v>
      </c>
      <c r="B133" s="8">
        <v>42135</v>
      </c>
      <c r="C133" s="28">
        <v>184</v>
      </c>
      <c r="D133">
        <v>38.5</v>
      </c>
      <c r="E133">
        <v>39.789019715999999</v>
      </c>
      <c r="F133">
        <v>-3.7659570618</v>
      </c>
      <c r="G133">
        <v>-0.75</v>
      </c>
      <c r="H133" s="30">
        <f t="shared" si="3"/>
        <v>39.25</v>
      </c>
    </row>
    <row r="134" spans="1:8" x14ac:dyDescent="0.25">
      <c r="A134" t="s">
        <v>1768</v>
      </c>
      <c r="B134" s="8">
        <v>42135</v>
      </c>
      <c r="C134" s="28">
        <v>55</v>
      </c>
      <c r="D134">
        <v>33.75</v>
      </c>
      <c r="E134">
        <v>33.195511224900002</v>
      </c>
      <c r="F134">
        <v>-7.8939428914700001</v>
      </c>
      <c r="G134">
        <v>2.5</v>
      </c>
      <c r="H134" s="30">
        <f t="shared" si="3"/>
        <v>31.25</v>
      </c>
    </row>
    <row r="135" spans="1:8" x14ac:dyDescent="0.25">
      <c r="A135" t="s">
        <v>1769</v>
      </c>
      <c r="B135" s="8">
        <v>42135</v>
      </c>
      <c r="C135" s="28">
        <v>37</v>
      </c>
      <c r="D135">
        <v>32</v>
      </c>
      <c r="E135">
        <v>34.089128210699997</v>
      </c>
      <c r="F135">
        <v>-1.35375093407</v>
      </c>
      <c r="G135">
        <v>13</v>
      </c>
      <c r="H135" s="30">
        <f t="shared" si="3"/>
        <v>19</v>
      </c>
    </row>
    <row r="136" spans="1:8" x14ac:dyDescent="0.25">
      <c r="A136" t="s">
        <v>1801</v>
      </c>
      <c r="B136" s="8">
        <v>42136</v>
      </c>
      <c r="C136" s="28">
        <v>278</v>
      </c>
      <c r="D136">
        <v>29.95</v>
      </c>
      <c r="E136">
        <v>39.317769391699997</v>
      </c>
      <c r="F136">
        <v>-2.6691406348600002</v>
      </c>
      <c r="G136">
        <v>4.2</v>
      </c>
      <c r="H136" s="30">
        <f t="shared" si="3"/>
        <v>25.75</v>
      </c>
    </row>
    <row r="137" spans="1:8" x14ac:dyDescent="0.25">
      <c r="A137" t="s">
        <v>1802</v>
      </c>
      <c r="B137" s="8">
        <v>42136</v>
      </c>
      <c r="C137" s="28">
        <v>258</v>
      </c>
      <c r="D137">
        <v>30.2</v>
      </c>
      <c r="E137">
        <v>38.886356177400003</v>
      </c>
      <c r="F137">
        <v>-3.5483373281400001</v>
      </c>
      <c r="G137">
        <v>4.2</v>
      </c>
      <c r="H137" s="30">
        <f t="shared" si="3"/>
        <v>26</v>
      </c>
    </row>
    <row r="138" spans="1:8" x14ac:dyDescent="0.25">
      <c r="A138" t="s">
        <v>1803</v>
      </c>
      <c r="B138" s="8">
        <v>42136</v>
      </c>
      <c r="C138" s="28">
        <v>113</v>
      </c>
      <c r="D138">
        <v>42.25</v>
      </c>
      <c r="E138">
        <v>36.486073116900002</v>
      </c>
      <c r="F138">
        <v>-1.8640514288100001</v>
      </c>
      <c r="G138">
        <v>19</v>
      </c>
      <c r="H138" s="30">
        <f t="shared" si="3"/>
        <v>23.25</v>
      </c>
    </row>
    <row r="139" spans="1:8" x14ac:dyDescent="0.25">
      <c r="A139" t="s">
        <v>1804</v>
      </c>
      <c r="B139" s="8">
        <v>42136</v>
      </c>
      <c r="C139" s="28">
        <v>92</v>
      </c>
      <c r="D139">
        <v>41.95</v>
      </c>
      <c r="E139">
        <v>35.369137773799999</v>
      </c>
      <c r="F139">
        <v>-2.88774086466</v>
      </c>
      <c r="G139">
        <v>4.2</v>
      </c>
      <c r="H139" s="30">
        <f t="shared" si="3"/>
        <v>37.75</v>
      </c>
    </row>
    <row r="140" spans="1:8" x14ac:dyDescent="0.25">
      <c r="A140" t="s">
        <v>1767</v>
      </c>
      <c r="B140" s="8">
        <v>42136</v>
      </c>
      <c r="C140" s="28">
        <v>73</v>
      </c>
      <c r="D140">
        <v>22.7</v>
      </c>
      <c r="E140">
        <v>35.544685097399999</v>
      </c>
      <c r="F140">
        <v>-4.1839351032999996</v>
      </c>
      <c r="G140">
        <v>4.2</v>
      </c>
      <c r="H140" s="30">
        <f t="shared" si="3"/>
        <v>18.5</v>
      </c>
    </row>
    <row r="141" spans="1:8" x14ac:dyDescent="0.25">
      <c r="A141" t="s">
        <v>1800</v>
      </c>
      <c r="B141" s="8">
        <v>42137</v>
      </c>
      <c r="C141" s="28">
        <v>39</v>
      </c>
      <c r="D141">
        <v>24.75</v>
      </c>
      <c r="E141">
        <v>31.035026526500001</v>
      </c>
      <c r="F141">
        <v>-3.2583534815799999</v>
      </c>
      <c r="G141">
        <v>18</v>
      </c>
      <c r="H141" s="30">
        <f t="shared" si="3"/>
        <v>6.75</v>
      </c>
    </row>
    <row r="142" spans="1:8" x14ac:dyDescent="0.25">
      <c r="A142" t="s">
        <v>1785</v>
      </c>
      <c r="B142" s="8">
        <v>42138</v>
      </c>
      <c r="C142" s="28">
        <v>207</v>
      </c>
      <c r="D142">
        <v>33</v>
      </c>
      <c r="E142">
        <v>39.953156767300001</v>
      </c>
      <c r="F142">
        <v>-3.4952696859399999</v>
      </c>
      <c r="G142">
        <v>14</v>
      </c>
      <c r="H142" s="30">
        <f t="shared" si="3"/>
        <v>19</v>
      </c>
    </row>
    <row r="143" spans="1:8" x14ac:dyDescent="0.25">
      <c r="A143" t="s">
        <v>1786</v>
      </c>
      <c r="B143" s="8">
        <v>42138</v>
      </c>
      <c r="C143" s="28">
        <v>94</v>
      </c>
      <c r="D143">
        <v>44.5</v>
      </c>
      <c r="E143">
        <v>35.592174591800003</v>
      </c>
      <c r="F143">
        <v>-8.7616422032100001</v>
      </c>
      <c r="G143">
        <v>18</v>
      </c>
      <c r="H143" s="30">
        <f t="shared" si="3"/>
        <v>26.5</v>
      </c>
    </row>
    <row r="144" spans="1:8" x14ac:dyDescent="0.25">
      <c r="A144" t="s">
        <v>1787</v>
      </c>
      <c r="B144" s="8">
        <v>42138</v>
      </c>
      <c r="C144" s="28">
        <v>113</v>
      </c>
      <c r="D144">
        <v>23.75</v>
      </c>
      <c r="E144">
        <v>38.0481041209</v>
      </c>
      <c r="F144">
        <v>-1.87975842891</v>
      </c>
      <c r="G144">
        <v>14</v>
      </c>
      <c r="H144" s="30">
        <f t="shared" si="3"/>
        <v>9.75</v>
      </c>
    </row>
    <row r="145" spans="1:17" x14ac:dyDescent="0.25">
      <c r="A145" t="s">
        <v>1788</v>
      </c>
      <c r="B145" s="8">
        <v>42138</v>
      </c>
      <c r="C145" s="28">
        <v>37</v>
      </c>
      <c r="D145">
        <v>25.35</v>
      </c>
      <c r="E145">
        <v>31.191352310199999</v>
      </c>
      <c r="F145">
        <v>-8.9079390708900004</v>
      </c>
      <c r="G145">
        <v>-0.75</v>
      </c>
      <c r="H145" s="30">
        <f t="shared" si="3"/>
        <v>26.1</v>
      </c>
    </row>
    <row r="146" spans="1:17" x14ac:dyDescent="0.25">
      <c r="A146" t="s">
        <v>1789</v>
      </c>
      <c r="B146" s="8">
        <v>42139</v>
      </c>
      <c r="C146" s="28">
        <v>279</v>
      </c>
      <c r="D146">
        <v>56.95</v>
      </c>
      <c r="E146">
        <v>40.764881138200003</v>
      </c>
      <c r="F146">
        <v>-3.9136702058599999</v>
      </c>
      <c r="G146">
        <v>1.75</v>
      </c>
      <c r="H146" s="30">
        <f t="shared" si="3"/>
        <v>55.2</v>
      </c>
    </row>
    <row r="147" spans="1:17" x14ac:dyDescent="0.25">
      <c r="A147" t="s">
        <v>1790</v>
      </c>
      <c r="B147" s="8">
        <v>42139</v>
      </c>
      <c r="C147" s="28">
        <v>262</v>
      </c>
      <c r="D147">
        <v>59.2</v>
      </c>
      <c r="E147">
        <v>39.993857119899999</v>
      </c>
      <c r="F147">
        <v>-3.99106605382</v>
      </c>
      <c r="G147">
        <v>1.75</v>
      </c>
      <c r="H147" s="30">
        <f t="shared" ref="H147:H178" si="4">D147-G147</f>
        <v>57.45</v>
      </c>
    </row>
    <row r="148" spans="1:17" x14ac:dyDescent="0.25">
      <c r="A148" t="s">
        <v>1791</v>
      </c>
      <c r="B148" s="8">
        <v>42140</v>
      </c>
      <c r="C148" s="28">
        <v>275</v>
      </c>
      <c r="D148">
        <v>25.7</v>
      </c>
      <c r="E148">
        <v>41.770626215599997</v>
      </c>
      <c r="F148">
        <v>-2.4937709809599999</v>
      </c>
      <c r="G148">
        <v>3.2</v>
      </c>
      <c r="H148" s="30">
        <f t="shared" si="4"/>
        <v>22.5</v>
      </c>
    </row>
    <row r="149" spans="1:17" x14ac:dyDescent="0.25">
      <c r="A149" t="s">
        <v>1792</v>
      </c>
      <c r="B149" s="8">
        <v>42140</v>
      </c>
      <c r="C149" s="28">
        <v>71</v>
      </c>
      <c r="D149">
        <v>37.5</v>
      </c>
      <c r="E149">
        <v>37.958759217400001</v>
      </c>
      <c r="F149">
        <v>-4.4466695000599996</v>
      </c>
      <c r="G149">
        <v>1</v>
      </c>
      <c r="H149" s="30">
        <f t="shared" si="4"/>
        <v>36.5</v>
      </c>
    </row>
    <row r="150" spans="1:17" x14ac:dyDescent="0.25">
      <c r="A150" t="s">
        <v>1793</v>
      </c>
      <c r="B150" s="8">
        <v>42140</v>
      </c>
      <c r="C150" s="28">
        <v>204</v>
      </c>
      <c r="D150">
        <v>26.95</v>
      </c>
      <c r="E150">
        <v>40.194108587899997</v>
      </c>
      <c r="F150">
        <v>-2.1829975293000001</v>
      </c>
      <c r="G150">
        <v>3.2</v>
      </c>
      <c r="H150" s="30">
        <f t="shared" si="4"/>
        <v>23.75</v>
      </c>
    </row>
    <row r="151" spans="1:17" x14ac:dyDescent="0.25">
      <c r="A151" t="s">
        <v>1794</v>
      </c>
      <c r="B151" s="8">
        <v>42141</v>
      </c>
      <c r="C151" s="28">
        <v>279</v>
      </c>
      <c r="D151">
        <v>29</v>
      </c>
      <c r="E151">
        <v>44.391126289900001</v>
      </c>
      <c r="F151">
        <v>-1.22581482688</v>
      </c>
      <c r="G151">
        <v>13</v>
      </c>
      <c r="H151" s="30">
        <f t="shared" si="4"/>
        <v>16</v>
      </c>
    </row>
    <row r="152" spans="1:17" x14ac:dyDescent="0.25">
      <c r="A152" t="s">
        <v>1795</v>
      </c>
      <c r="B152" s="8">
        <v>42141</v>
      </c>
      <c r="C152" s="30">
        <v>97</v>
      </c>
      <c r="D152">
        <v>28.5</v>
      </c>
      <c r="E152">
        <v>43.395922979700003</v>
      </c>
      <c r="F152">
        <v>-1.49030451192</v>
      </c>
      <c r="G152">
        <v>13</v>
      </c>
      <c r="H152" s="30">
        <f t="shared" si="4"/>
        <v>15.5</v>
      </c>
    </row>
    <row r="153" spans="1:17" x14ac:dyDescent="0.25">
      <c r="A153" t="s">
        <v>1796</v>
      </c>
      <c r="B153" s="8">
        <v>42141</v>
      </c>
      <c r="C153" s="28">
        <v>187</v>
      </c>
      <c r="D153">
        <v>26.5</v>
      </c>
      <c r="E153">
        <v>44.045389329400003</v>
      </c>
      <c r="F153">
        <v>-1.3066463022699999</v>
      </c>
      <c r="G153">
        <v>13</v>
      </c>
      <c r="H153" s="30">
        <f t="shared" si="4"/>
        <v>13.5</v>
      </c>
    </row>
    <row r="154" spans="1:17" x14ac:dyDescent="0.25">
      <c r="A154" t="s">
        <v>1797</v>
      </c>
      <c r="B154" s="8">
        <v>42141</v>
      </c>
      <c r="C154" s="28">
        <v>92</v>
      </c>
      <c r="D154">
        <v>49.85</v>
      </c>
      <c r="E154">
        <v>35.715983035699999</v>
      </c>
      <c r="F154">
        <v>-3.0296750718399998</v>
      </c>
      <c r="G154">
        <v>1.75</v>
      </c>
      <c r="H154" s="30">
        <f t="shared" si="4"/>
        <v>48.1</v>
      </c>
    </row>
    <row r="155" spans="1:17" x14ac:dyDescent="0.25">
      <c r="A155" t="s">
        <v>1798</v>
      </c>
      <c r="B155" s="8">
        <v>42142</v>
      </c>
      <c r="C155" s="28">
        <v>130</v>
      </c>
      <c r="D155">
        <v>41</v>
      </c>
      <c r="E155">
        <v>38.314685115899998</v>
      </c>
      <c r="F155">
        <v>-4.1952215298700004</v>
      </c>
      <c r="G155">
        <v>20</v>
      </c>
      <c r="H155" s="30">
        <f t="shared" si="4"/>
        <v>21</v>
      </c>
      <c r="I155" s="68"/>
      <c r="J155" s="68"/>
      <c r="K155" s="68"/>
    </row>
    <row r="156" spans="1:17" x14ac:dyDescent="0.25">
      <c r="A156" t="s">
        <v>1799</v>
      </c>
      <c r="B156" s="8">
        <v>42142</v>
      </c>
      <c r="C156" s="28">
        <v>110</v>
      </c>
      <c r="D156">
        <v>21.25</v>
      </c>
      <c r="E156">
        <v>37.925050021499999</v>
      </c>
      <c r="F156">
        <v>-3.8749924975200001</v>
      </c>
      <c r="G156">
        <v>20</v>
      </c>
      <c r="H156" s="30">
        <f t="shared" si="4"/>
        <v>1.25</v>
      </c>
    </row>
    <row r="157" spans="1:17" x14ac:dyDescent="0.25">
      <c r="A157" s="30" t="s">
        <v>2472</v>
      </c>
      <c r="B157" s="8">
        <v>42143</v>
      </c>
      <c r="C157" s="30">
        <v>279</v>
      </c>
      <c r="D157" s="30">
        <v>31.5</v>
      </c>
      <c r="E157" s="30">
        <v>38.032469364400001</v>
      </c>
      <c r="F157" s="30">
        <v>-4.5884272611099997</v>
      </c>
      <c r="G157" s="30">
        <v>8</v>
      </c>
      <c r="H157" s="30">
        <f t="shared" si="4"/>
        <v>23.5</v>
      </c>
      <c r="I157" s="30"/>
      <c r="J157" s="30"/>
      <c r="K157" s="30"/>
      <c r="L157" s="30"/>
      <c r="M157" s="30"/>
      <c r="N157" s="30"/>
      <c r="O157" s="30"/>
      <c r="P157" s="30"/>
      <c r="Q157" s="30"/>
    </row>
    <row r="158" spans="1:17" x14ac:dyDescent="0.25">
      <c r="A158" s="30" t="s">
        <v>2473</v>
      </c>
      <c r="B158" s="8">
        <v>42144</v>
      </c>
      <c r="C158" s="30">
        <v>277</v>
      </c>
      <c r="D158" s="30">
        <v>29.75</v>
      </c>
      <c r="E158" s="30">
        <v>38.138706247999998</v>
      </c>
      <c r="F158" s="30">
        <v>-0.34507736469799999</v>
      </c>
      <c r="G158" s="30">
        <v>2</v>
      </c>
      <c r="H158" s="30">
        <f t="shared" si="4"/>
        <v>27.75</v>
      </c>
      <c r="I158" s="30"/>
      <c r="J158" s="30"/>
      <c r="K158" s="30"/>
      <c r="L158" s="30"/>
      <c r="M158" s="30"/>
      <c r="N158" s="30"/>
      <c r="O158" s="30"/>
      <c r="P158" s="30"/>
      <c r="Q158" s="30"/>
    </row>
    <row r="159" spans="1:17" x14ac:dyDescent="0.25">
      <c r="A159" s="30" t="s">
        <v>2474</v>
      </c>
      <c r="B159" s="8">
        <v>42144</v>
      </c>
      <c r="C159" s="30">
        <v>257</v>
      </c>
      <c r="D159" s="30">
        <v>28.25</v>
      </c>
      <c r="E159" s="30">
        <v>37.570349180199997</v>
      </c>
      <c r="F159" s="30">
        <v>-0.81502261671499998</v>
      </c>
      <c r="G159" s="30">
        <v>2</v>
      </c>
      <c r="H159" s="30">
        <f t="shared" si="4"/>
        <v>26.25</v>
      </c>
      <c r="I159" s="30"/>
      <c r="J159" s="30"/>
      <c r="K159" s="30"/>
      <c r="L159" s="30"/>
      <c r="M159" s="30"/>
      <c r="N159" s="30"/>
      <c r="O159" s="30"/>
      <c r="P159" s="30"/>
      <c r="Q159" s="30"/>
    </row>
    <row r="160" spans="1:17" x14ac:dyDescent="0.25">
      <c r="A160" s="30" t="s">
        <v>2475</v>
      </c>
      <c r="B160" s="8">
        <v>42145</v>
      </c>
      <c r="C160" s="30">
        <v>223</v>
      </c>
      <c r="D160" s="30">
        <v>34.85</v>
      </c>
      <c r="E160" s="30">
        <v>39.4933904114</v>
      </c>
      <c r="F160" s="30">
        <v>-7.6332253689399998</v>
      </c>
      <c r="G160" s="30">
        <v>-0.75</v>
      </c>
      <c r="H160" s="30">
        <f t="shared" si="4"/>
        <v>35.6</v>
      </c>
      <c r="I160" s="30"/>
      <c r="J160" s="30"/>
      <c r="K160" s="30"/>
      <c r="L160" s="30"/>
      <c r="M160" s="30"/>
      <c r="N160" s="30"/>
      <c r="O160" s="30"/>
      <c r="P160" s="30"/>
      <c r="Q160" s="30"/>
    </row>
    <row r="161" spans="1:17" x14ac:dyDescent="0.25">
      <c r="A161" s="30" t="s">
        <v>2476</v>
      </c>
      <c r="B161" s="8">
        <v>42145</v>
      </c>
      <c r="C161" s="30">
        <v>109</v>
      </c>
      <c r="D161" s="30">
        <v>60.35</v>
      </c>
      <c r="E161" s="30">
        <v>37.903711391800002</v>
      </c>
      <c r="F161" s="30">
        <v>-8.4685564664800008</v>
      </c>
      <c r="G161" s="30">
        <v>-0.75</v>
      </c>
      <c r="H161" s="30">
        <f t="shared" si="4"/>
        <v>61.1</v>
      </c>
      <c r="I161" s="30"/>
      <c r="J161" s="30"/>
      <c r="K161" s="30"/>
      <c r="L161" s="30"/>
      <c r="M161" s="30"/>
      <c r="N161" s="30"/>
      <c r="O161" s="30"/>
      <c r="P161" s="30"/>
      <c r="Q161" s="30"/>
    </row>
    <row r="162" spans="1:17" x14ac:dyDescent="0.25">
      <c r="A162" s="30" t="s">
        <v>2477</v>
      </c>
      <c r="B162" s="8">
        <v>42145</v>
      </c>
      <c r="C162" s="30">
        <v>34</v>
      </c>
      <c r="D162" s="30">
        <v>36.35</v>
      </c>
      <c r="E162" s="30">
        <v>34.726825335400001</v>
      </c>
      <c r="F162" s="30">
        <v>-5.0737112120600001</v>
      </c>
      <c r="G162" s="30">
        <v>-0.75</v>
      </c>
      <c r="H162" s="30">
        <f t="shared" si="4"/>
        <v>37.1</v>
      </c>
      <c r="I162" s="30"/>
      <c r="J162" s="30"/>
      <c r="K162" s="30"/>
      <c r="L162" s="30"/>
      <c r="M162" s="30"/>
      <c r="N162" s="30"/>
      <c r="O162" s="30"/>
      <c r="P162" s="30"/>
      <c r="Q162" s="30"/>
    </row>
    <row r="163" spans="1:17" x14ac:dyDescent="0.25">
      <c r="A163" s="30" t="s">
        <v>2478</v>
      </c>
      <c r="B163" s="8">
        <v>42145</v>
      </c>
      <c r="C163" s="30">
        <v>114</v>
      </c>
      <c r="D163" s="30">
        <v>31.5</v>
      </c>
      <c r="E163" s="30">
        <v>33.148410482099997</v>
      </c>
      <c r="F163" s="30">
        <v>2.6675624043100001E-2</v>
      </c>
      <c r="G163" s="30">
        <v>18</v>
      </c>
      <c r="H163" s="30">
        <f t="shared" si="4"/>
        <v>13.5</v>
      </c>
      <c r="I163" s="30"/>
      <c r="J163" s="30"/>
      <c r="K163" s="30"/>
      <c r="L163" s="30"/>
      <c r="M163" s="30"/>
      <c r="N163" s="30"/>
      <c r="O163" s="30"/>
      <c r="P163" s="30"/>
      <c r="Q163" s="30"/>
    </row>
    <row r="164" spans="1:17" x14ac:dyDescent="0.25">
      <c r="A164" s="30" t="s">
        <v>2479</v>
      </c>
      <c r="B164" s="8">
        <v>42146</v>
      </c>
      <c r="C164" s="30">
        <v>278</v>
      </c>
      <c r="D164" s="30">
        <v>41.25</v>
      </c>
      <c r="E164" s="30">
        <v>37.712264952600002</v>
      </c>
      <c r="F164" s="30">
        <v>-3.4692807249299999</v>
      </c>
      <c r="G164" s="30">
        <v>18</v>
      </c>
      <c r="H164" s="30">
        <f t="shared" si="4"/>
        <v>23.25</v>
      </c>
      <c r="I164" s="30"/>
      <c r="J164" s="30"/>
      <c r="K164" s="30"/>
      <c r="L164" s="30"/>
      <c r="M164" s="30"/>
      <c r="N164" s="30"/>
      <c r="O164" s="30"/>
      <c r="P164" s="30"/>
      <c r="Q164" s="30"/>
    </row>
    <row r="165" spans="1:17" x14ac:dyDescent="0.25">
      <c r="A165" s="30" t="s">
        <v>2480</v>
      </c>
      <c r="B165" s="8">
        <v>42146</v>
      </c>
      <c r="C165" s="30">
        <v>58</v>
      </c>
      <c r="D165" s="30">
        <v>21.75</v>
      </c>
      <c r="E165" s="30">
        <v>33.551434677000003</v>
      </c>
      <c r="F165" s="30">
        <v>-0.182674179277</v>
      </c>
      <c r="G165" s="30">
        <v>8</v>
      </c>
      <c r="H165" s="30">
        <f t="shared" si="4"/>
        <v>13.75</v>
      </c>
      <c r="I165" s="30"/>
      <c r="J165" s="30"/>
      <c r="K165" s="30"/>
      <c r="L165" s="30"/>
      <c r="M165" s="30"/>
      <c r="N165" s="30"/>
      <c r="O165" s="30"/>
      <c r="P165" s="30"/>
      <c r="Q165" s="30"/>
    </row>
    <row r="166" spans="1:17" x14ac:dyDescent="0.25">
      <c r="A166" s="30" t="s">
        <v>2481</v>
      </c>
      <c r="B166" s="8">
        <v>42147</v>
      </c>
      <c r="C166" s="30">
        <v>118</v>
      </c>
      <c r="D166" s="30">
        <v>28.25</v>
      </c>
      <c r="E166" s="30">
        <v>38.149089915200001</v>
      </c>
      <c r="F166" s="30">
        <v>-1.42088434092</v>
      </c>
      <c r="G166" s="30">
        <v>10</v>
      </c>
      <c r="H166" s="30">
        <f t="shared" si="4"/>
        <v>18.25</v>
      </c>
      <c r="I166" s="30"/>
      <c r="J166" s="30"/>
      <c r="K166" s="30"/>
      <c r="L166" s="30"/>
      <c r="M166" s="30"/>
      <c r="N166" s="30"/>
      <c r="O166" s="30"/>
      <c r="P166" s="30"/>
      <c r="Q166" s="30"/>
    </row>
    <row r="167" spans="1:17" x14ac:dyDescent="0.25">
      <c r="A167" s="30" t="s">
        <v>2482</v>
      </c>
      <c r="B167" s="8">
        <v>42147</v>
      </c>
      <c r="C167" s="30">
        <v>61</v>
      </c>
      <c r="D167" s="30">
        <v>22.75</v>
      </c>
      <c r="E167" s="30">
        <v>36.472596319700003</v>
      </c>
      <c r="F167" s="30">
        <v>-1.0633131252800001</v>
      </c>
      <c r="G167" s="30">
        <v>10</v>
      </c>
      <c r="H167" s="30">
        <f t="shared" si="4"/>
        <v>12.75</v>
      </c>
      <c r="I167" s="30"/>
      <c r="J167" s="30"/>
      <c r="K167" s="30"/>
      <c r="L167" s="30"/>
      <c r="M167" s="30"/>
      <c r="N167" s="30"/>
      <c r="O167" s="30"/>
      <c r="P167" s="30"/>
      <c r="Q167" s="30"/>
    </row>
    <row r="168" spans="1:17" x14ac:dyDescent="0.25">
      <c r="A168" s="30" t="s">
        <v>2483</v>
      </c>
      <c r="B168" s="8">
        <v>42147</v>
      </c>
      <c r="C168" s="30">
        <v>34</v>
      </c>
      <c r="D168" s="30">
        <v>30.5</v>
      </c>
      <c r="E168" s="30">
        <v>35.2409193007</v>
      </c>
      <c r="F168" s="30">
        <v>-0.63725713292999997</v>
      </c>
      <c r="G168" s="30">
        <v>10</v>
      </c>
      <c r="H168" s="30">
        <f t="shared" si="4"/>
        <v>20.5</v>
      </c>
      <c r="I168" s="30"/>
      <c r="J168" s="30"/>
      <c r="K168" s="30"/>
      <c r="L168" s="30"/>
      <c r="M168" s="30"/>
      <c r="N168" s="30"/>
      <c r="O168" s="30"/>
      <c r="P168" s="30"/>
      <c r="Q168" s="30"/>
    </row>
    <row r="169" spans="1:17" x14ac:dyDescent="0.25">
      <c r="A169" s="30" t="s">
        <v>2484</v>
      </c>
      <c r="B169" s="8">
        <v>42148</v>
      </c>
      <c r="C169" s="30">
        <v>281</v>
      </c>
      <c r="D169" s="30">
        <v>25</v>
      </c>
      <c r="E169" s="30">
        <v>36.789451130400003</v>
      </c>
      <c r="F169" s="30">
        <v>-9.2268847283500008</v>
      </c>
      <c r="G169" s="30">
        <v>13</v>
      </c>
      <c r="H169" s="30">
        <f t="shared" si="4"/>
        <v>12</v>
      </c>
      <c r="I169" s="30"/>
      <c r="J169" s="30"/>
      <c r="K169" s="30"/>
      <c r="L169" s="30"/>
      <c r="M169" s="30"/>
      <c r="N169" s="30"/>
      <c r="O169" s="30"/>
      <c r="P169" s="30"/>
      <c r="Q169" s="30"/>
    </row>
    <row r="170" spans="1:17" x14ac:dyDescent="0.25">
      <c r="A170" s="30" t="s">
        <v>2485</v>
      </c>
      <c r="B170" s="8">
        <v>42148</v>
      </c>
      <c r="C170" s="30">
        <v>209</v>
      </c>
      <c r="D170" s="30">
        <v>37.75</v>
      </c>
      <c r="E170" s="30">
        <v>36.040479275499997</v>
      </c>
      <c r="F170" s="30">
        <v>-9.8738428973100003</v>
      </c>
      <c r="G170" s="30">
        <v>13</v>
      </c>
      <c r="H170" s="30">
        <f t="shared" si="4"/>
        <v>24.75</v>
      </c>
      <c r="I170" s="30"/>
      <c r="J170" s="30"/>
      <c r="K170" s="30"/>
      <c r="L170" s="30"/>
      <c r="M170" s="30"/>
      <c r="N170" s="30"/>
      <c r="O170" s="30"/>
      <c r="P170" s="30"/>
      <c r="Q170" s="30"/>
    </row>
    <row r="171" spans="1:17" x14ac:dyDescent="0.25">
      <c r="A171" s="30" t="s">
        <v>2486</v>
      </c>
      <c r="B171" s="8">
        <v>42148</v>
      </c>
      <c r="C171" s="30">
        <v>72</v>
      </c>
      <c r="D171" s="30">
        <v>25.75</v>
      </c>
      <c r="E171" s="30">
        <v>33.1432952312</v>
      </c>
      <c r="F171" s="30">
        <v>-4.2229257530500002</v>
      </c>
      <c r="G171" s="30">
        <v>15</v>
      </c>
      <c r="H171" s="30">
        <f t="shared" si="4"/>
        <v>10.75</v>
      </c>
      <c r="I171" s="30"/>
      <c r="J171" s="30"/>
      <c r="K171" s="30"/>
      <c r="L171" s="30"/>
      <c r="M171" s="30"/>
      <c r="N171" s="30"/>
      <c r="O171" s="30"/>
      <c r="P171" s="30"/>
      <c r="Q171" s="30"/>
    </row>
    <row r="172" spans="1:17" x14ac:dyDescent="0.25">
      <c r="A172" s="30" t="s">
        <v>2487</v>
      </c>
      <c r="B172" s="8">
        <v>42149</v>
      </c>
      <c r="C172" s="30">
        <v>280</v>
      </c>
      <c r="D172" s="30">
        <v>22.5</v>
      </c>
      <c r="E172" s="30">
        <v>35.728144183700003</v>
      </c>
      <c r="F172" s="30">
        <v>-5.7438574756599996</v>
      </c>
      <c r="G172" s="30">
        <v>11</v>
      </c>
      <c r="H172" s="30">
        <f t="shared" si="4"/>
        <v>11.5</v>
      </c>
      <c r="I172" s="30"/>
      <c r="J172" s="30"/>
      <c r="K172" s="30"/>
      <c r="L172" s="30"/>
      <c r="M172" s="30"/>
      <c r="N172" s="30"/>
      <c r="O172" s="30"/>
      <c r="P172" s="30"/>
      <c r="Q172" s="30"/>
    </row>
    <row r="173" spans="1:17" x14ac:dyDescent="0.25">
      <c r="A173" s="30" t="s">
        <v>2488</v>
      </c>
      <c r="B173" s="8">
        <v>42149</v>
      </c>
      <c r="C173" s="30">
        <v>96</v>
      </c>
      <c r="D173" s="30">
        <v>25.5</v>
      </c>
      <c r="E173" s="30">
        <v>34.631321159499997</v>
      </c>
      <c r="F173" s="30">
        <v>-0.74005602373000001</v>
      </c>
      <c r="G173" s="30">
        <v>11</v>
      </c>
      <c r="H173" s="30">
        <f t="shared" si="4"/>
        <v>14.5</v>
      </c>
      <c r="I173" s="30"/>
      <c r="J173" s="30"/>
      <c r="K173" s="30"/>
      <c r="L173" s="30"/>
      <c r="M173" s="30"/>
      <c r="N173" s="30"/>
      <c r="O173" s="30"/>
      <c r="P173" s="30"/>
      <c r="Q173" s="30"/>
    </row>
    <row r="174" spans="1:17" x14ac:dyDescent="0.25">
      <c r="A174" s="30" t="s">
        <v>2489</v>
      </c>
      <c r="B174" s="8">
        <v>42149</v>
      </c>
      <c r="C174" s="30">
        <v>184</v>
      </c>
      <c r="D174" s="30">
        <v>35.700000000000003</v>
      </c>
      <c r="E174" s="30">
        <v>34.539808793399999</v>
      </c>
      <c r="F174" s="30">
        <v>-7.73311293125</v>
      </c>
      <c r="G174" s="30">
        <v>5.2</v>
      </c>
      <c r="H174" s="30">
        <f t="shared" si="4"/>
        <v>30.500000000000004</v>
      </c>
      <c r="I174" s="30"/>
      <c r="J174" s="30"/>
      <c r="K174" s="30"/>
      <c r="L174" s="30"/>
      <c r="M174" s="30"/>
      <c r="N174" s="30"/>
      <c r="O174" s="30"/>
      <c r="P174" s="30"/>
      <c r="Q174" s="30"/>
    </row>
    <row r="175" spans="1:17" x14ac:dyDescent="0.25">
      <c r="A175" s="30" t="s">
        <v>2490</v>
      </c>
      <c r="B175" s="8">
        <v>42150</v>
      </c>
      <c r="C175" s="30">
        <v>279</v>
      </c>
      <c r="D175" s="30">
        <v>49</v>
      </c>
      <c r="E175" s="30">
        <v>39.838771483199999</v>
      </c>
      <c r="F175" s="30">
        <v>-3.1138342744299998</v>
      </c>
      <c r="G175" s="30">
        <v>1.5</v>
      </c>
      <c r="H175" s="30">
        <f t="shared" si="4"/>
        <v>47.5</v>
      </c>
      <c r="I175" s="30"/>
      <c r="J175" s="30"/>
      <c r="K175" s="30"/>
      <c r="L175" s="30"/>
      <c r="M175" s="30"/>
      <c r="N175" s="30"/>
      <c r="O175" s="30"/>
      <c r="P175" s="30"/>
      <c r="Q175" s="30"/>
    </row>
    <row r="176" spans="1:17" x14ac:dyDescent="0.25">
      <c r="A176" s="30" t="s">
        <v>2491</v>
      </c>
      <c r="B176" s="8">
        <v>42151</v>
      </c>
      <c r="C176" s="30">
        <v>279</v>
      </c>
      <c r="D176" s="30">
        <v>53.75</v>
      </c>
      <c r="E176" s="30">
        <v>37.728578786699998</v>
      </c>
      <c r="F176" s="30">
        <v>0.59032337335399998</v>
      </c>
      <c r="G176" s="30">
        <v>21</v>
      </c>
      <c r="H176" s="30">
        <f t="shared" si="4"/>
        <v>32.75</v>
      </c>
      <c r="I176" s="30"/>
      <c r="J176" s="30"/>
      <c r="K176" s="30"/>
      <c r="L176" s="30"/>
      <c r="M176" s="30"/>
      <c r="N176" s="30"/>
      <c r="O176" s="30"/>
      <c r="P176" s="30"/>
      <c r="Q176" s="30"/>
    </row>
    <row r="177" spans="1:17" x14ac:dyDescent="0.25">
      <c r="A177" s="30" t="s">
        <v>2492</v>
      </c>
      <c r="B177" s="8">
        <v>42151</v>
      </c>
      <c r="C177" s="30">
        <v>166</v>
      </c>
      <c r="D177" s="30">
        <v>48.75</v>
      </c>
      <c r="E177" s="30">
        <v>37.513857647800002</v>
      </c>
      <c r="F177" s="30">
        <v>0.30758495215699999</v>
      </c>
      <c r="G177" s="30">
        <v>21</v>
      </c>
      <c r="H177" s="30">
        <f t="shared" si="4"/>
        <v>27.75</v>
      </c>
      <c r="I177" s="30"/>
      <c r="J177" s="30"/>
      <c r="K177" s="30"/>
      <c r="L177" s="30"/>
      <c r="M177" s="30"/>
      <c r="N177" s="30"/>
      <c r="O177" s="30"/>
      <c r="P177" s="30"/>
      <c r="Q177" s="30"/>
    </row>
    <row r="178" spans="1:17" x14ac:dyDescent="0.25">
      <c r="A178" s="30" t="s">
        <v>2493</v>
      </c>
      <c r="B178" s="8">
        <v>42151</v>
      </c>
      <c r="C178" s="30">
        <v>73</v>
      </c>
      <c r="D178" s="30">
        <v>33.5</v>
      </c>
      <c r="E178" s="30">
        <v>33.361273260300003</v>
      </c>
      <c r="F178" s="30">
        <v>-9.8075789498199999</v>
      </c>
      <c r="G178" s="30">
        <v>0.5</v>
      </c>
      <c r="H178" s="30">
        <f t="shared" si="4"/>
        <v>33</v>
      </c>
      <c r="I178" s="30"/>
      <c r="J178" s="30"/>
      <c r="K178" s="30"/>
      <c r="L178" s="30"/>
      <c r="M178" s="30"/>
      <c r="N178" s="30"/>
      <c r="O178" s="30"/>
      <c r="P178" s="30"/>
      <c r="Q178" s="30"/>
    </row>
    <row r="179" spans="1:17" x14ac:dyDescent="0.25">
      <c r="A179" s="30" t="s">
        <v>2494</v>
      </c>
      <c r="B179" s="8">
        <v>42151</v>
      </c>
      <c r="C179" s="30">
        <v>93</v>
      </c>
      <c r="D179" s="30">
        <v>30</v>
      </c>
      <c r="E179" s="30">
        <v>36.289956758000002</v>
      </c>
      <c r="F179" s="30">
        <v>6.4804875404299994E-2</v>
      </c>
      <c r="G179" s="30">
        <v>21</v>
      </c>
      <c r="H179" s="30">
        <f t="shared" ref="H179:H210" si="5">D179-G179</f>
        <v>9</v>
      </c>
      <c r="I179" s="30"/>
      <c r="J179" s="30"/>
      <c r="K179" s="30"/>
      <c r="L179" s="30"/>
      <c r="M179" s="30"/>
      <c r="N179" s="30"/>
      <c r="O179" s="30"/>
      <c r="P179" s="30"/>
      <c r="Q179" s="30"/>
    </row>
    <row r="180" spans="1:17" x14ac:dyDescent="0.25">
      <c r="A180" s="30" t="s">
        <v>2495</v>
      </c>
      <c r="B180" s="8">
        <v>42152</v>
      </c>
      <c r="C180" s="30">
        <v>140</v>
      </c>
      <c r="D180" s="30">
        <v>37.200000000000003</v>
      </c>
      <c r="E180" s="30">
        <v>37.997408225699999</v>
      </c>
      <c r="F180" s="30">
        <v>-4.4863845807700002</v>
      </c>
      <c r="G180" s="30">
        <v>23.2</v>
      </c>
      <c r="H180" s="30">
        <f t="shared" si="5"/>
        <v>14.000000000000004</v>
      </c>
      <c r="I180" s="30"/>
      <c r="J180" s="30"/>
      <c r="K180" s="30"/>
      <c r="L180" s="30"/>
      <c r="M180" s="30"/>
      <c r="N180" s="30"/>
      <c r="O180" s="30"/>
      <c r="P180" s="30"/>
      <c r="Q180" s="30"/>
    </row>
    <row r="181" spans="1:17" x14ac:dyDescent="0.25">
      <c r="A181" s="30" t="s">
        <v>2495</v>
      </c>
      <c r="B181" s="8">
        <v>42152</v>
      </c>
      <c r="C181" s="30">
        <v>140</v>
      </c>
      <c r="D181" s="30">
        <v>37.200000000000003</v>
      </c>
      <c r="E181" s="30">
        <v>37.997408225699999</v>
      </c>
      <c r="F181" s="30">
        <v>-4.4863845807700002</v>
      </c>
      <c r="G181" s="30">
        <v>23.2</v>
      </c>
      <c r="H181" s="30">
        <f t="shared" si="5"/>
        <v>14.000000000000004</v>
      </c>
      <c r="I181" s="30"/>
      <c r="J181" s="30"/>
      <c r="K181" s="30"/>
      <c r="L181" s="30"/>
      <c r="M181" s="30"/>
      <c r="N181" s="30"/>
      <c r="O181" s="30"/>
      <c r="P181" s="30"/>
      <c r="Q181" s="30"/>
    </row>
    <row r="182" spans="1:17" x14ac:dyDescent="0.25">
      <c r="A182" s="30" t="s">
        <v>2496</v>
      </c>
      <c r="B182" s="8">
        <v>42152</v>
      </c>
      <c r="C182" s="30">
        <v>93</v>
      </c>
      <c r="D182" s="30">
        <v>43.25</v>
      </c>
      <c r="E182" s="30">
        <v>36.456270055200001</v>
      </c>
      <c r="F182" s="30">
        <v>-3.70922498901</v>
      </c>
      <c r="G182" s="30">
        <v>21</v>
      </c>
      <c r="H182" s="30">
        <f t="shared" si="5"/>
        <v>22.25</v>
      </c>
      <c r="I182" s="30"/>
      <c r="J182" s="30"/>
      <c r="K182" s="30"/>
      <c r="L182" s="30"/>
      <c r="M182" s="30"/>
      <c r="N182" s="30"/>
      <c r="O182" s="30"/>
      <c r="P182" s="30"/>
      <c r="Q182" s="30"/>
    </row>
    <row r="183" spans="1:17" x14ac:dyDescent="0.25">
      <c r="A183" s="30" t="s">
        <v>2497</v>
      </c>
      <c r="B183" s="8">
        <v>42152</v>
      </c>
      <c r="C183" s="30">
        <v>113</v>
      </c>
      <c r="D183" s="30">
        <v>52.75</v>
      </c>
      <c r="E183" s="30">
        <v>36.467841180500002</v>
      </c>
      <c r="F183" s="30">
        <v>-3.6978877623000002</v>
      </c>
      <c r="G183" s="30">
        <v>21</v>
      </c>
      <c r="H183" s="30">
        <f t="shared" si="5"/>
        <v>31.75</v>
      </c>
      <c r="I183" s="30"/>
      <c r="J183" s="30"/>
      <c r="K183" s="30"/>
      <c r="L183" s="30"/>
      <c r="M183" s="30"/>
      <c r="N183" s="30"/>
      <c r="O183" s="30"/>
      <c r="P183" s="30"/>
      <c r="Q183" s="30"/>
    </row>
    <row r="184" spans="1:17" x14ac:dyDescent="0.25">
      <c r="A184" s="30" t="s">
        <v>2498</v>
      </c>
      <c r="B184" s="8">
        <v>42153</v>
      </c>
      <c r="C184" s="30">
        <v>280</v>
      </c>
      <c r="D184" s="30">
        <v>24</v>
      </c>
      <c r="E184" s="30">
        <v>40.358209585499999</v>
      </c>
      <c r="F184" s="30">
        <v>-4.6169484145400004</v>
      </c>
      <c r="G184" s="59">
        <v>-0.5</v>
      </c>
      <c r="H184" s="30">
        <f t="shared" si="5"/>
        <v>24.5</v>
      </c>
      <c r="I184" s="30"/>
      <c r="J184" s="30"/>
      <c r="K184" s="30"/>
      <c r="L184" s="30"/>
      <c r="M184" s="30"/>
      <c r="N184" s="30"/>
      <c r="O184" s="30"/>
      <c r="P184" s="30"/>
      <c r="Q184" s="30"/>
    </row>
    <row r="185" spans="1:17" x14ac:dyDescent="0.25">
      <c r="A185" s="30" t="s">
        <v>2498</v>
      </c>
      <c r="B185" s="8">
        <v>42153</v>
      </c>
      <c r="C185" s="30">
        <v>262</v>
      </c>
      <c r="D185" s="30">
        <v>24</v>
      </c>
      <c r="E185" s="30">
        <v>40.358209585499999</v>
      </c>
      <c r="F185" s="30">
        <v>-4.6169484145400004</v>
      </c>
      <c r="G185" s="30">
        <v>-0.5</v>
      </c>
      <c r="H185" s="30">
        <f t="shared" si="5"/>
        <v>24.5</v>
      </c>
      <c r="I185" s="30"/>
      <c r="J185" s="30"/>
      <c r="K185" s="30"/>
      <c r="L185" s="30"/>
      <c r="M185" s="30"/>
      <c r="N185" s="30"/>
      <c r="O185" s="30"/>
      <c r="P185" s="30"/>
      <c r="Q185" s="30"/>
    </row>
    <row r="186" spans="1:17" x14ac:dyDescent="0.25">
      <c r="A186" s="30" t="s">
        <v>2499</v>
      </c>
      <c r="B186" s="8">
        <v>42154</v>
      </c>
      <c r="C186" s="30">
        <v>262</v>
      </c>
      <c r="D186" s="30">
        <v>33.25</v>
      </c>
      <c r="E186" s="30">
        <v>36.882602195499999</v>
      </c>
      <c r="F186" s="30">
        <v>-9.0882690693899999</v>
      </c>
      <c r="G186" s="30">
        <v>11</v>
      </c>
      <c r="H186" s="30">
        <f t="shared" si="5"/>
        <v>22.25</v>
      </c>
      <c r="I186" s="30"/>
      <c r="J186" s="30"/>
      <c r="K186" s="30"/>
      <c r="L186" s="30"/>
      <c r="M186" s="30"/>
      <c r="N186" s="30"/>
      <c r="O186" s="30"/>
      <c r="P186" s="30"/>
      <c r="Q186" s="30"/>
    </row>
    <row r="187" spans="1:17" x14ac:dyDescent="0.25">
      <c r="A187" s="30" t="s">
        <v>2500</v>
      </c>
      <c r="B187" s="8">
        <v>42154</v>
      </c>
      <c r="C187" s="30">
        <v>130</v>
      </c>
      <c r="D187" s="30">
        <v>26.85</v>
      </c>
      <c r="E187" s="30">
        <v>34.3499801424</v>
      </c>
      <c r="F187" s="30">
        <v>-2.0019491201299999</v>
      </c>
      <c r="G187" s="30">
        <v>4.0999999999999996</v>
      </c>
      <c r="H187" s="30">
        <f t="shared" si="5"/>
        <v>22.75</v>
      </c>
      <c r="I187" s="30"/>
      <c r="J187" s="30"/>
      <c r="K187" s="30"/>
      <c r="L187" s="30"/>
      <c r="M187" s="30"/>
      <c r="N187" s="30"/>
      <c r="O187" s="30"/>
      <c r="P187" s="30"/>
      <c r="Q187" s="30"/>
    </row>
    <row r="188" spans="1:17" x14ac:dyDescent="0.25">
      <c r="A188" s="30" t="s">
        <v>2501</v>
      </c>
      <c r="B188" s="8">
        <v>42154</v>
      </c>
      <c r="C188" s="30">
        <v>132</v>
      </c>
      <c r="D188" s="30">
        <v>35</v>
      </c>
      <c r="E188" s="30">
        <v>36.6126383836</v>
      </c>
      <c r="F188" s="30">
        <v>-9.3981525877899994</v>
      </c>
      <c r="G188" s="30">
        <v>11</v>
      </c>
      <c r="H188" s="30">
        <f t="shared" si="5"/>
        <v>24</v>
      </c>
      <c r="I188" s="30"/>
      <c r="J188" s="30"/>
      <c r="K188" s="30"/>
      <c r="L188" s="30"/>
      <c r="M188" s="30"/>
      <c r="N188" s="30"/>
      <c r="O188" s="30"/>
      <c r="P188" s="30"/>
      <c r="Q188" s="30"/>
    </row>
    <row r="189" spans="1:17" x14ac:dyDescent="0.25">
      <c r="A189" s="30" t="s">
        <v>2502</v>
      </c>
      <c r="B189" s="8">
        <v>42154</v>
      </c>
      <c r="C189" s="30">
        <v>130</v>
      </c>
      <c r="D189" s="30">
        <v>38</v>
      </c>
      <c r="E189" s="30">
        <v>33.204013957000001</v>
      </c>
      <c r="F189" s="30">
        <v>-2.39933741772</v>
      </c>
      <c r="G189" s="30">
        <v>8</v>
      </c>
      <c r="H189" s="30">
        <f t="shared" si="5"/>
        <v>30</v>
      </c>
      <c r="I189" s="30"/>
      <c r="J189" s="30"/>
      <c r="K189" s="30"/>
      <c r="L189" s="30"/>
      <c r="M189" s="30"/>
      <c r="N189" s="30"/>
      <c r="O189" s="30"/>
      <c r="P189" s="30"/>
      <c r="Q189" s="30"/>
    </row>
    <row r="190" spans="1:17" x14ac:dyDescent="0.25">
      <c r="A190" s="30" t="s">
        <v>2503</v>
      </c>
      <c r="B190" s="8">
        <v>42155</v>
      </c>
      <c r="C190" s="30">
        <v>280</v>
      </c>
      <c r="D190" s="30">
        <v>26.2</v>
      </c>
      <c r="E190" s="30">
        <v>37.510399673999999</v>
      </c>
      <c r="F190" s="30">
        <v>-1.0927580099900001</v>
      </c>
      <c r="G190" s="30">
        <v>9.1999999999999993</v>
      </c>
      <c r="H190" s="30">
        <f t="shared" si="5"/>
        <v>17</v>
      </c>
      <c r="I190" s="30"/>
      <c r="J190" s="30"/>
      <c r="K190" s="30"/>
      <c r="L190" s="30"/>
      <c r="M190" s="30"/>
      <c r="N190" s="30"/>
      <c r="O190" s="30"/>
      <c r="P190" s="30"/>
      <c r="Q190" s="30"/>
    </row>
    <row r="191" spans="1:17" x14ac:dyDescent="0.25">
      <c r="A191" s="30" t="s">
        <v>2504</v>
      </c>
      <c r="B191" s="8">
        <v>42155</v>
      </c>
      <c r="C191" s="30">
        <v>94</v>
      </c>
      <c r="D191" s="30">
        <v>18.7</v>
      </c>
      <c r="E191" s="30">
        <v>36.0670306186</v>
      </c>
      <c r="F191" s="30">
        <v>-1.52561910402</v>
      </c>
      <c r="G191" s="30">
        <v>9.1999999999999993</v>
      </c>
      <c r="H191" s="30">
        <f t="shared" si="5"/>
        <v>9.5</v>
      </c>
      <c r="I191" s="30"/>
      <c r="J191" s="30"/>
      <c r="K191" s="30"/>
      <c r="L191" s="30"/>
      <c r="M191" s="30"/>
      <c r="N191" s="30"/>
      <c r="O191" s="30"/>
      <c r="P191" s="30"/>
      <c r="Q191" s="30"/>
    </row>
    <row r="192" spans="1:17" x14ac:dyDescent="0.25">
      <c r="A192" s="30" t="s">
        <v>2505</v>
      </c>
      <c r="B192" s="8">
        <v>42155</v>
      </c>
      <c r="C192" s="30">
        <v>186</v>
      </c>
      <c r="D192" s="30">
        <v>26.75</v>
      </c>
      <c r="E192" s="30">
        <v>33.960115042300004</v>
      </c>
      <c r="F192" s="30">
        <v>-1.401240394</v>
      </c>
      <c r="G192" s="30">
        <v>0.75</v>
      </c>
      <c r="H192" s="30">
        <f t="shared" si="5"/>
        <v>26</v>
      </c>
      <c r="I192" s="30"/>
      <c r="J192" s="30"/>
      <c r="K192" s="30"/>
      <c r="L192" s="30"/>
      <c r="M192" s="30"/>
      <c r="N192" s="30"/>
      <c r="O192" s="30"/>
      <c r="P192" s="30"/>
      <c r="Q192" s="30"/>
    </row>
    <row r="193" spans="1:17" x14ac:dyDescent="0.25">
      <c r="A193" s="30" t="s">
        <v>2506</v>
      </c>
      <c r="B193" s="8">
        <v>42155</v>
      </c>
      <c r="C193" s="30">
        <v>112</v>
      </c>
      <c r="D193" s="30">
        <v>23</v>
      </c>
      <c r="E193" s="30">
        <v>33.092132825599997</v>
      </c>
      <c r="F193" s="30">
        <v>-3.0632860552699999</v>
      </c>
      <c r="G193" s="59">
        <v>0.75</v>
      </c>
      <c r="H193" s="30">
        <f t="shared" si="5"/>
        <v>22.25</v>
      </c>
      <c r="I193" s="30"/>
      <c r="J193" s="30"/>
      <c r="K193" s="30"/>
      <c r="L193" s="30"/>
      <c r="M193" s="30"/>
      <c r="N193" s="30"/>
      <c r="O193" s="30"/>
      <c r="P193" s="30"/>
      <c r="Q193" s="30"/>
    </row>
    <row r="194" spans="1:17" x14ac:dyDescent="0.25">
      <c r="A194" s="30" t="s">
        <v>2507</v>
      </c>
      <c r="B194" s="8">
        <v>42156</v>
      </c>
      <c r="C194" s="30">
        <v>163</v>
      </c>
      <c r="D194" s="30">
        <v>47.75</v>
      </c>
      <c r="E194" s="30">
        <v>37.387511941699998</v>
      </c>
      <c r="F194" s="30">
        <v>-9.0401931097299997</v>
      </c>
      <c r="G194" s="30">
        <v>5.75</v>
      </c>
      <c r="H194" s="30">
        <f t="shared" si="5"/>
        <v>42</v>
      </c>
      <c r="I194" s="30"/>
      <c r="J194" s="30"/>
      <c r="K194" s="30"/>
      <c r="L194" s="30"/>
      <c r="M194" s="30"/>
      <c r="N194" s="30"/>
      <c r="O194" s="30"/>
      <c r="P194" s="30"/>
      <c r="Q194" s="30"/>
    </row>
    <row r="195" spans="1:17" x14ac:dyDescent="0.25">
      <c r="A195" s="30" t="s">
        <v>2508</v>
      </c>
      <c r="B195" s="8">
        <v>42157</v>
      </c>
      <c r="C195" s="30">
        <v>293</v>
      </c>
      <c r="D195" s="30">
        <v>16.2</v>
      </c>
      <c r="E195" s="30">
        <v>43.733610870200003</v>
      </c>
      <c r="F195" s="30">
        <v>-3.6922199194999998</v>
      </c>
      <c r="G195" s="30">
        <v>-0.25</v>
      </c>
      <c r="H195" s="30">
        <f t="shared" si="5"/>
        <v>16.45</v>
      </c>
      <c r="I195" s="30"/>
      <c r="J195" s="30"/>
      <c r="K195" s="30"/>
      <c r="L195" s="30"/>
      <c r="M195" s="30"/>
      <c r="N195" s="30"/>
      <c r="O195" s="30"/>
      <c r="P195" s="30"/>
      <c r="Q195" s="30"/>
    </row>
    <row r="196" spans="1:17" x14ac:dyDescent="0.25">
      <c r="A196" s="30" t="s">
        <v>2509</v>
      </c>
      <c r="B196" s="8">
        <v>42157</v>
      </c>
      <c r="C196" s="30">
        <v>293</v>
      </c>
      <c r="D196" s="30">
        <v>16.2</v>
      </c>
      <c r="E196" s="30">
        <v>43.733610870200003</v>
      </c>
      <c r="F196" s="30">
        <v>-3.6922199194999998</v>
      </c>
      <c r="G196" s="30">
        <v>-0.25</v>
      </c>
      <c r="H196" s="30">
        <f t="shared" si="5"/>
        <v>16.45</v>
      </c>
      <c r="I196" s="30"/>
      <c r="J196" s="30"/>
      <c r="K196" s="30"/>
      <c r="L196" s="30"/>
      <c r="M196" s="30"/>
      <c r="N196" s="30"/>
      <c r="O196" s="30"/>
      <c r="P196" s="30"/>
      <c r="Q196" s="30"/>
    </row>
    <row r="197" spans="1:17" x14ac:dyDescent="0.25">
      <c r="A197" s="30" t="s">
        <v>2510</v>
      </c>
      <c r="B197" s="8">
        <v>42157</v>
      </c>
      <c r="C197" s="30">
        <v>99</v>
      </c>
      <c r="D197" s="30">
        <v>25.75</v>
      </c>
      <c r="E197" s="30">
        <v>34.189425331000002</v>
      </c>
      <c r="F197" s="30">
        <v>-7.6098307953599997</v>
      </c>
      <c r="G197" s="30">
        <v>13</v>
      </c>
      <c r="H197" s="30">
        <f t="shared" si="5"/>
        <v>12.75</v>
      </c>
      <c r="I197" s="30"/>
      <c r="J197" s="30"/>
      <c r="K197" s="30"/>
      <c r="L197" s="30"/>
      <c r="M197" s="30"/>
      <c r="N197" s="30"/>
      <c r="O197" s="30"/>
      <c r="P197" s="30"/>
      <c r="Q197" s="30"/>
    </row>
    <row r="198" spans="1:17" x14ac:dyDescent="0.25">
      <c r="A198" s="30" t="s">
        <v>2511</v>
      </c>
      <c r="B198" s="8">
        <v>42158</v>
      </c>
      <c r="C198" s="30">
        <v>286</v>
      </c>
      <c r="D198" s="30">
        <v>27.25</v>
      </c>
      <c r="E198" s="30">
        <v>39.087600723599998</v>
      </c>
      <c r="F198" s="30">
        <v>-8.4249895982500007</v>
      </c>
      <c r="G198" s="30">
        <v>24</v>
      </c>
      <c r="H198" s="30">
        <f t="shared" si="5"/>
        <v>3.25</v>
      </c>
      <c r="I198" s="30"/>
      <c r="J198" s="30"/>
      <c r="K198" s="30"/>
      <c r="L198" s="30"/>
      <c r="M198" s="30"/>
      <c r="N198" s="30"/>
      <c r="O198" s="30"/>
      <c r="P198" s="30"/>
      <c r="Q198" s="30"/>
    </row>
    <row r="199" spans="1:17" x14ac:dyDescent="0.25">
      <c r="A199" s="30" t="s">
        <v>2512</v>
      </c>
      <c r="B199" s="8">
        <v>42158</v>
      </c>
      <c r="C199" s="30">
        <v>98</v>
      </c>
      <c r="D199" s="30">
        <v>30.75</v>
      </c>
      <c r="E199" s="30">
        <v>32.806224261099999</v>
      </c>
      <c r="F199" s="30">
        <v>-2.3290464962100002</v>
      </c>
      <c r="G199" s="30">
        <v>19</v>
      </c>
      <c r="H199" s="30">
        <f t="shared" si="5"/>
        <v>11.75</v>
      </c>
      <c r="I199" s="30"/>
      <c r="J199" s="30"/>
      <c r="K199" s="30"/>
      <c r="L199" s="30"/>
      <c r="M199" s="30"/>
      <c r="N199" s="30"/>
      <c r="O199" s="30"/>
      <c r="P199" s="30"/>
      <c r="Q199" s="30"/>
    </row>
    <row r="200" spans="1:17" x14ac:dyDescent="0.25">
      <c r="A200" s="30" t="s">
        <v>2513</v>
      </c>
      <c r="B200" s="8">
        <v>42158</v>
      </c>
      <c r="C200" s="30">
        <v>55</v>
      </c>
      <c r="D200" s="30">
        <v>39.5</v>
      </c>
      <c r="E200" s="30">
        <v>31.6077678214</v>
      </c>
      <c r="F200" s="30">
        <v>-9.4397277869699998</v>
      </c>
      <c r="G200" s="30">
        <v>19</v>
      </c>
      <c r="H200" s="30">
        <f t="shared" si="5"/>
        <v>20.5</v>
      </c>
      <c r="I200" s="30"/>
      <c r="J200" s="30"/>
      <c r="K200" s="30"/>
      <c r="L200" s="30"/>
      <c r="M200" s="30"/>
      <c r="N200" s="30"/>
      <c r="O200" s="30"/>
      <c r="P200" s="30"/>
      <c r="Q200" s="30"/>
    </row>
    <row r="201" spans="1:17" x14ac:dyDescent="0.25">
      <c r="A201" s="30" t="s">
        <v>2514</v>
      </c>
      <c r="B201" s="8">
        <v>42158</v>
      </c>
      <c r="C201" s="30">
        <v>214</v>
      </c>
      <c r="D201" s="30">
        <v>46.75</v>
      </c>
      <c r="E201" s="30">
        <v>38.9068635366</v>
      </c>
      <c r="F201" s="30">
        <v>-9.1847600776499991</v>
      </c>
      <c r="G201" s="30">
        <v>24</v>
      </c>
      <c r="H201" s="30">
        <f t="shared" si="5"/>
        <v>22.75</v>
      </c>
      <c r="I201" s="30"/>
      <c r="J201" s="30"/>
      <c r="K201" s="30"/>
      <c r="L201" s="30"/>
      <c r="M201" s="30"/>
      <c r="N201" s="30"/>
      <c r="O201" s="30"/>
      <c r="P201" s="30"/>
      <c r="Q201" s="30"/>
    </row>
    <row r="202" spans="1:17" x14ac:dyDescent="0.25">
      <c r="A202" s="30" t="s">
        <v>2515</v>
      </c>
      <c r="B202" s="8">
        <v>42159</v>
      </c>
      <c r="C202" s="30">
        <v>190</v>
      </c>
      <c r="D202" s="30">
        <v>40</v>
      </c>
      <c r="E202" s="30">
        <v>42.274825873600001</v>
      </c>
      <c r="F202" s="30">
        <v>-6.9336530743400004</v>
      </c>
      <c r="G202" s="30">
        <v>0.5</v>
      </c>
      <c r="H202" s="30">
        <f t="shared" si="5"/>
        <v>39.5</v>
      </c>
      <c r="I202" s="30"/>
      <c r="J202" s="30"/>
      <c r="K202" s="30"/>
      <c r="L202" s="30"/>
      <c r="M202" s="30"/>
      <c r="N202" s="30"/>
      <c r="O202" s="30"/>
      <c r="P202" s="30"/>
      <c r="Q202" s="30"/>
    </row>
    <row r="203" spans="1:17" x14ac:dyDescent="0.25">
      <c r="A203" s="30" t="s">
        <v>2516</v>
      </c>
      <c r="B203" s="8">
        <v>42159</v>
      </c>
      <c r="C203" s="30">
        <v>130</v>
      </c>
      <c r="D203" s="30">
        <v>33.5</v>
      </c>
      <c r="E203" s="30">
        <v>39.805024085100001</v>
      </c>
      <c r="F203" s="30">
        <v>-0.63523274514299999</v>
      </c>
      <c r="G203" s="30">
        <v>0.5</v>
      </c>
      <c r="H203" s="30">
        <f t="shared" si="5"/>
        <v>33</v>
      </c>
      <c r="I203" s="30"/>
      <c r="J203" s="30"/>
      <c r="K203" s="30"/>
      <c r="L203" s="30"/>
      <c r="M203" s="30"/>
      <c r="N203" s="30"/>
      <c r="O203" s="30"/>
      <c r="P203" s="30"/>
      <c r="Q203" s="30"/>
    </row>
    <row r="204" spans="1:17" x14ac:dyDescent="0.25">
      <c r="A204" s="30" t="s">
        <v>2517</v>
      </c>
      <c r="B204" s="8">
        <v>42159</v>
      </c>
      <c r="C204" s="30">
        <v>60</v>
      </c>
      <c r="D204" s="30">
        <v>36.1</v>
      </c>
      <c r="E204" s="30">
        <v>32.462760464299997</v>
      </c>
      <c r="F204" s="30">
        <v>-6.7464285484099999</v>
      </c>
      <c r="G204" s="30">
        <v>13.1</v>
      </c>
      <c r="H204" s="30">
        <f t="shared" si="5"/>
        <v>23</v>
      </c>
      <c r="I204" s="30"/>
      <c r="J204" s="30"/>
      <c r="K204" s="30"/>
      <c r="L204" s="30"/>
      <c r="M204" s="30"/>
      <c r="N204" s="30"/>
      <c r="O204" s="30"/>
      <c r="P204" s="30"/>
      <c r="Q204" s="30"/>
    </row>
    <row r="205" spans="1:17" x14ac:dyDescent="0.25">
      <c r="A205" s="30" t="s">
        <v>2526</v>
      </c>
      <c r="B205" s="8">
        <v>42160</v>
      </c>
      <c r="C205" s="30">
        <v>280</v>
      </c>
      <c r="D205" s="30">
        <v>41.25</v>
      </c>
      <c r="E205" s="30">
        <v>36.764840713300003</v>
      </c>
      <c r="F205" s="30">
        <v>-6.9035247002000002</v>
      </c>
      <c r="G205" s="30">
        <v>14</v>
      </c>
      <c r="H205" s="30">
        <f t="shared" si="5"/>
        <v>27.25</v>
      </c>
      <c r="I205" s="30"/>
      <c r="J205" s="30"/>
      <c r="K205" s="30"/>
      <c r="L205" s="30"/>
      <c r="M205" s="30"/>
      <c r="N205" s="30"/>
      <c r="O205" s="30"/>
      <c r="P205" s="30"/>
      <c r="Q205" s="30"/>
    </row>
    <row r="206" spans="1:17" x14ac:dyDescent="0.25">
      <c r="A206" s="30" t="s">
        <v>2527</v>
      </c>
      <c r="B206" s="8">
        <v>42160</v>
      </c>
      <c r="C206" s="30">
        <v>54</v>
      </c>
      <c r="D206" s="30">
        <v>17.600000000000001</v>
      </c>
      <c r="E206" s="30">
        <v>33.203455777499997</v>
      </c>
      <c r="F206" s="30">
        <v>-1.16900476594</v>
      </c>
      <c r="G206" s="30">
        <v>8.1</v>
      </c>
      <c r="H206" s="30">
        <f t="shared" si="5"/>
        <v>9.5000000000000018</v>
      </c>
      <c r="I206" s="30"/>
      <c r="J206" s="30"/>
      <c r="K206" s="30"/>
      <c r="L206" s="30"/>
      <c r="M206" s="30"/>
      <c r="N206" s="30"/>
      <c r="O206" s="30"/>
      <c r="P206" s="30"/>
      <c r="Q206" s="30"/>
    </row>
    <row r="207" spans="1:17" x14ac:dyDescent="0.25">
      <c r="A207" s="30" t="s">
        <v>2528</v>
      </c>
      <c r="B207" s="8">
        <v>42160</v>
      </c>
      <c r="C207" s="30">
        <v>77</v>
      </c>
      <c r="D207" s="30">
        <v>34</v>
      </c>
      <c r="E207" s="30">
        <v>31.903101189200001</v>
      </c>
      <c r="F207" s="30">
        <v>-2.9210206050199998</v>
      </c>
      <c r="G207" s="30">
        <v>8</v>
      </c>
      <c r="H207" s="30">
        <f t="shared" si="5"/>
        <v>26</v>
      </c>
      <c r="I207" s="30"/>
      <c r="J207" s="30"/>
      <c r="K207" s="30"/>
      <c r="L207" s="30"/>
      <c r="M207" s="30"/>
      <c r="N207" s="30"/>
      <c r="O207" s="30"/>
      <c r="P207" s="30"/>
      <c r="Q207" s="30"/>
    </row>
    <row r="208" spans="1:17" x14ac:dyDescent="0.25">
      <c r="A208" s="30" t="s">
        <v>2529</v>
      </c>
      <c r="B208" s="8">
        <v>42161</v>
      </c>
      <c r="C208" s="30">
        <v>134</v>
      </c>
      <c r="D208" s="30">
        <v>1.2</v>
      </c>
      <c r="E208" s="30">
        <v>36.069092060899997</v>
      </c>
      <c r="F208" s="30">
        <v>-9.8658595785000003</v>
      </c>
      <c r="G208" s="30">
        <v>-4.8</v>
      </c>
      <c r="H208" s="30">
        <f t="shared" si="5"/>
        <v>6</v>
      </c>
      <c r="I208" s="30"/>
      <c r="J208" s="30"/>
      <c r="K208" s="30"/>
      <c r="L208" s="30"/>
      <c r="M208" s="30"/>
      <c r="N208" s="30"/>
      <c r="O208" s="30"/>
      <c r="P208" s="30"/>
      <c r="Q208" s="30"/>
    </row>
    <row r="209" spans="1:17" x14ac:dyDescent="0.25">
      <c r="A209" s="30" t="s">
        <v>2530</v>
      </c>
      <c r="B209" s="8">
        <v>42161</v>
      </c>
      <c r="C209" s="30">
        <v>110</v>
      </c>
      <c r="D209" s="30">
        <v>29.25</v>
      </c>
      <c r="E209" s="30">
        <v>36.728443280199997</v>
      </c>
      <c r="F209" s="30">
        <v>-8.1657950603000007</v>
      </c>
      <c r="G209" s="30">
        <v>-0.5</v>
      </c>
      <c r="H209" s="30">
        <f t="shared" si="5"/>
        <v>29.75</v>
      </c>
      <c r="I209" s="30"/>
      <c r="J209" s="30"/>
      <c r="K209" s="30"/>
      <c r="L209" s="30"/>
      <c r="M209" s="30"/>
      <c r="N209" s="30"/>
      <c r="O209" s="30"/>
      <c r="P209" s="30"/>
      <c r="Q209" s="30"/>
    </row>
    <row r="210" spans="1:17" x14ac:dyDescent="0.25">
      <c r="A210" s="30" t="s">
        <v>2531</v>
      </c>
      <c r="B210" s="8">
        <v>42161</v>
      </c>
      <c r="C210" s="30">
        <v>153</v>
      </c>
      <c r="D210" s="30">
        <v>33</v>
      </c>
      <c r="E210" s="30">
        <v>34.867184830500001</v>
      </c>
      <c r="F210" s="30">
        <v>-9.5509851815599998</v>
      </c>
      <c r="G210" s="30">
        <v>2.5</v>
      </c>
      <c r="H210" s="30">
        <f t="shared" si="5"/>
        <v>30.5</v>
      </c>
      <c r="I210" s="30"/>
      <c r="J210" s="30"/>
      <c r="K210" s="30"/>
      <c r="L210" s="30"/>
      <c r="M210" s="30"/>
      <c r="N210" s="30"/>
      <c r="O210" s="30"/>
      <c r="P210" s="30"/>
      <c r="Q210" s="30"/>
    </row>
    <row r="211" spans="1:17" x14ac:dyDescent="0.25">
      <c r="A211" s="30" t="s">
        <v>2532</v>
      </c>
      <c r="B211" s="8">
        <v>42162</v>
      </c>
      <c r="C211" s="30">
        <v>90</v>
      </c>
      <c r="D211" s="30">
        <v>26.25</v>
      </c>
      <c r="E211" s="30">
        <v>36.496616889999999</v>
      </c>
      <c r="F211" s="30">
        <v>-2.28603651281</v>
      </c>
      <c r="G211" s="30">
        <v>19</v>
      </c>
      <c r="H211" s="30">
        <f t="shared" ref="H211:H220" si="6">D211-G211</f>
        <v>7.25</v>
      </c>
      <c r="I211" s="30"/>
      <c r="J211" s="30"/>
      <c r="K211" s="30"/>
      <c r="L211" s="30"/>
      <c r="M211" s="30"/>
      <c r="N211" s="30"/>
      <c r="O211" s="30"/>
      <c r="P211" s="30"/>
      <c r="Q211" s="30"/>
    </row>
    <row r="212" spans="1:17" x14ac:dyDescent="0.25">
      <c r="A212" s="30" t="s">
        <v>2533</v>
      </c>
      <c r="B212" s="8">
        <v>42163</v>
      </c>
      <c r="C212" s="30">
        <v>146</v>
      </c>
      <c r="D212" s="30">
        <v>40.25</v>
      </c>
      <c r="E212" s="30">
        <v>37.217365942699999</v>
      </c>
      <c r="F212" s="30">
        <v>-4.1724131826399997</v>
      </c>
      <c r="G212" s="30">
        <v>25</v>
      </c>
      <c r="H212" s="30">
        <f t="shared" si="6"/>
        <v>15.25</v>
      </c>
      <c r="I212" s="30"/>
      <c r="J212" s="30"/>
      <c r="K212" s="30"/>
      <c r="L212" s="30"/>
      <c r="M212" s="30"/>
      <c r="N212" s="30"/>
      <c r="O212" s="30"/>
      <c r="P212" s="30"/>
      <c r="Q212" s="30"/>
    </row>
    <row r="213" spans="1:17" x14ac:dyDescent="0.25">
      <c r="A213" s="30" t="s">
        <v>2535</v>
      </c>
      <c r="B213" s="8">
        <v>42164</v>
      </c>
      <c r="C213" s="30">
        <v>280</v>
      </c>
      <c r="D213" s="30">
        <v>33.700000000000003</v>
      </c>
      <c r="E213" s="30">
        <v>38.474636744999998</v>
      </c>
      <c r="F213" s="30">
        <v>-1.72493019779</v>
      </c>
      <c r="G213" s="30">
        <v>9.1999999999999993</v>
      </c>
      <c r="H213" s="30">
        <f t="shared" si="6"/>
        <v>24.500000000000004</v>
      </c>
      <c r="I213" s="30"/>
      <c r="J213" s="30"/>
      <c r="K213" s="30"/>
      <c r="L213" s="30"/>
      <c r="M213" s="30"/>
      <c r="N213" s="30"/>
      <c r="O213" s="30"/>
      <c r="P213" s="30"/>
      <c r="Q213" s="30"/>
    </row>
    <row r="214" spans="1:17" x14ac:dyDescent="0.25">
      <c r="A214" s="30" t="s">
        <v>2536</v>
      </c>
      <c r="B214" s="8">
        <v>42165</v>
      </c>
      <c r="C214" s="30">
        <v>280</v>
      </c>
      <c r="D214" s="30">
        <v>34.75</v>
      </c>
      <c r="E214" s="30">
        <v>38.192586450199997</v>
      </c>
      <c r="F214" s="30">
        <v>-1.24760195539</v>
      </c>
      <c r="G214" s="30">
        <v>15</v>
      </c>
      <c r="H214" s="30">
        <f t="shared" si="6"/>
        <v>19.75</v>
      </c>
      <c r="I214" s="30"/>
      <c r="J214" s="30"/>
      <c r="K214" s="30"/>
      <c r="L214" s="30"/>
      <c r="M214" s="30"/>
      <c r="N214" s="30"/>
      <c r="O214" s="30"/>
      <c r="P214" s="30"/>
      <c r="Q214" s="30"/>
    </row>
    <row r="215" spans="1:17" x14ac:dyDescent="0.25">
      <c r="A215" s="30" t="s">
        <v>2537</v>
      </c>
      <c r="B215" s="8">
        <v>42165</v>
      </c>
      <c r="C215" s="30">
        <v>205</v>
      </c>
      <c r="D215" s="30">
        <v>49</v>
      </c>
      <c r="E215" s="30">
        <v>37.349081020500002</v>
      </c>
      <c r="F215" s="30">
        <v>-0.42198059923300002</v>
      </c>
      <c r="G215" s="30">
        <v>15</v>
      </c>
      <c r="H215" s="30">
        <f t="shared" si="6"/>
        <v>34</v>
      </c>
      <c r="I215" s="30"/>
      <c r="J215" s="30"/>
      <c r="K215" s="30"/>
      <c r="L215" s="30"/>
      <c r="M215" s="30"/>
      <c r="N215" s="30"/>
      <c r="O215" s="30"/>
      <c r="P215" s="30"/>
      <c r="Q215" s="30"/>
    </row>
    <row r="216" spans="1:17" x14ac:dyDescent="0.25">
      <c r="A216" s="30" t="s">
        <v>2538</v>
      </c>
      <c r="B216" s="8">
        <v>42165</v>
      </c>
      <c r="C216" s="30">
        <v>57</v>
      </c>
      <c r="D216" s="30">
        <v>26.5</v>
      </c>
      <c r="E216" s="30">
        <v>30.771197294499999</v>
      </c>
      <c r="F216" s="30">
        <v>-0.69021273048499998</v>
      </c>
      <c r="G216" s="30">
        <v>8</v>
      </c>
      <c r="H216" s="30">
        <f t="shared" si="6"/>
        <v>18.5</v>
      </c>
      <c r="I216" s="30"/>
      <c r="J216" s="30"/>
      <c r="K216" s="30"/>
      <c r="L216" s="30"/>
      <c r="M216" s="30"/>
      <c r="N216" s="30"/>
      <c r="O216" s="30"/>
      <c r="P216" s="30"/>
      <c r="Q216" s="30"/>
    </row>
    <row r="217" spans="1:17" x14ac:dyDescent="0.25">
      <c r="A217" s="30" t="s">
        <v>2539</v>
      </c>
      <c r="B217" s="8">
        <v>42166</v>
      </c>
      <c r="C217" s="30">
        <v>106</v>
      </c>
      <c r="D217" s="30">
        <v>40.75</v>
      </c>
      <c r="E217" s="30">
        <v>34.691315808100001</v>
      </c>
      <c r="F217" s="30">
        <v>-4.89780754449</v>
      </c>
      <c r="G217" s="30">
        <v>16</v>
      </c>
      <c r="H217" s="30">
        <f t="shared" si="6"/>
        <v>24.75</v>
      </c>
      <c r="I217" s="30"/>
      <c r="J217" s="30"/>
      <c r="K217" s="30"/>
      <c r="L217" s="30"/>
      <c r="M217" s="30"/>
      <c r="N217" s="30"/>
      <c r="O217" s="30"/>
      <c r="P217" s="30"/>
      <c r="Q217" s="30"/>
    </row>
    <row r="218" spans="1:17" x14ac:dyDescent="0.25">
      <c r="A218" s="30" t="s">
        <v>2540</v>
      </c>
      <c r="B218" s="8">
        <v>42166</v>
      </c>
      <c r="C218" s="30">
        <v>33</v>
      </c>
      <c r="D218" s="30">
        <v>34.5</v>
      </c>
      <c r="E218" s="30">
        <v>32.242975395099997</v>
      </c>
      <c r="F218" s="30">
        <v>-4.2011047449800003</v>
      </c>
      <c r="G218" s="30">
        <v>11</v>
      </c>
      <c r="H218" s="30">
        <f t="shared" si="6"/>
        <v>23.5</v>
      </c>
      <c r="I218" s="30"/>
      <c r="J218" s="30"/>
      <c r="K218" s="30"/>
      <c r="L218" s="30"/>
      <c r="M218" s="30"/>
      <c r="N218" s="30"/>
      <c r="O218" s="30"/>
      <c r="P218" s="30"/>
      <c r="Q218" s="30"/>
    </row>
    <row r="219" spans="1:17" x14ac:dyDescent="0.25">
      <c r="A219" s="30" t="s">
        <v>2541</v>
      </c>
      <c r="B219" s="8">
        <v>42167</v>
      </c>
      <c r="C219" s="30">
        <v>277</v>
      </c>
      <c r="D219" s="30">
        <v>28.2</v>
      </c>
      <c r="E219" s="30">
        <v>39.358306583299999</v>
      </c>
      <c r="F219" s="30">
        <v>-0.33305589412699999</v>
      </c>
      <c r="G219" s="30">
        <v>-0.5</v>
      </c>
      <c r="H219" s="30">
        <f t="shared" si="6"/>
        <v>28.7</v>
      </c>
      <c r="I219" s="30"/>
      <c r="J219" s="30"/>
      <c r="K219" s="30"/>
      <c r="L219" s="30"/>
      <c r="M219" s="30"/>
      <c r="N219" s="30"/>
      <c r="O219" s="30"/>
      <c r="P219" s="30"/>
      <c r="Q219" s="30"/>
    </row>
    <row r="220" spans="1:17" x14ac:dyDescent="0.25">
      <c r="A220" s="30" t="s">
        <v>2544</v>
      </c>
      <c r="B220" s="8">
        <v>42167</v>
      </c>
      <c r="C220" s="30">
        <v>261</v>
      </c>
      <c r="D220" s="30">
        <v>35.200000000000003</v>
      </c>
      <c r="E220" s="30">
        <v>38.610321188500002</v>
      </c>
      <c r="F220" s="30">
        <v>-0.34696423156</v>
      </c>
      <c r="G220" s="30">
        <v>-0.5</v>
      </c>
      <c r="H220" s="30">
        <f t="shared" si="6"/>
        <v>35.700000000000003</v>
      </c>
      <c r="I220" s="30"/>
      <c r="J220" s="30"/>
      <c r="K220" s="30"/>
      <c r="L220" s="30"/>
      <c r="M220" s="30"/>
      <c r="N220" s="30"/>
      <c r="O220" s="30"/>
      <c r="P220" s="30"/>
      <c r="Q220" s="30"/>
    </row>
    <row r="221" spans="1:17" x14ac:dyDescent="0.25">
      <c r="B221" s="8"/>
    </row>
    <row r="222" spans="1:17" ht="15.75" hidden="1" thickBot="1" x14ac:dyDescent="0.3">
      <c r="B222" s="8"/>
    </row>
    <row r="223" spans="1:17" hidden="1" x14ac:dyDescent="0.25">
      <c r="A223" s="37" t="s">
        <v>1985</v>
      </c>
      <c r="B223" s="38" t="s">
        <v>311</v>
      </c>
      <c r="C223" s="38" t="s">
        <v>1545</v>
      </c>
      <c r="D223" s="38" t="s">
        <v>1527</v>
      </c>
      <c r="E223" s="38" t="s">
        <v>1546</v>
      </c>
      <c r="F223" s="38" t="s">
        <v>1547</v>
      </c>
      <c r="G223" s="40" t="s">
        <v>1861</v>
      </c>
      <c r="H223" s="38" t="s">
        <v>1862</v>
      </c>
      <c r="I223" s="65" t="s">
        <v>1989</v>
      </c>
      <c r="J223" s="66" t="s">
        <v>1990</v>
      </c>
      <c r="K223" s="67" t="s">
        <v>1991</v>
      </c>
    </row>
    <row r="224" spans="1:17" ht="15.75" hidden="1" thickBot="1" x14ac:dyDescent="0.3">
      <c r="A224" t="s">
        <v>1846</v>
      </c>
      <c r="B224" s="8">
        <v>42142</v>
      </c>
      <c r="C224">
        <v>130</v>
      </c>
      <c r="D224">
        <v>41</v>
      </c>
      <c r="E224">
        <v>38.295104024399997</v>
      </c>
      <c r="F224">
        <v>-4.1425225730899999</v>
      </c>
      <c r="G224">
        <v>20</v>
      </c>
      <c r="H224" s="30">
        <f>D224-G224</f>
        <v>21</v>
      </c>
      <c r="I224" s="62">
        <f>AVERAGE(D224:D297)</f>
        <v>32.629054054054059</v>
      </c>
      <c r="J224" s="63">
        <f>_xlfn.STDEV.P(D224:D297)</f>
        <v>12.67105663045562</v>
      </c>
      <c r="K224" s="64">
        <f>MEDIAN(D224:D297)</f>
        <v>31.625</v>
      </c>
    </row>
    <row r="225" spans="1:8" hidden="1" x14ac:dyDescent="0.25">
      <c r="A225" t="s">
        <v>1847</v>
      </c>
      <c r="B225" s="8">
        <v>42142</v>
      </c>
      <c r="C225">
        <v>110</v>
      </c>
      <c r="D225">
        <v>21.25</v>
      </c>
      <c r="E225">
        <v>37.905468929999998</v>
      </c>
      <c r="F225">
        <v>-3.8222935407500001</v>
      </c>
      <c r="G225">
        <v>20</v>
      </c>
      <c r="H225" s="30">
        <f t="shared" ref="H225:H288" si="7">D225-G225</f>
        <v>1.25</v>
      </c>
    </row>
    <row r="226" spans="1:8" hidden="1" x14ac:dyDescent="0.25">
      <c r="A226" t="s">
        <v>1844</v>
      </c>
      <c r="B226" s="8">
        <v>42141</v>
      </c>
      <c r="C226">
        <v>279</v>
      </c>
      <c r="D226">
        <v>9.25</v>
      </c>
      <c r="E226">
        <v>60.013915849900002</v>
      </c>
      <c r="F226">
        <v>-0.50625967757000001</v>
      </c>
      <c r="G226">
        <v>-0.5</v>
      </c>
      <c r="H226" s="30">
        <f t="shared" si="7"/>
        <v>9.75</v>
      </c>
    </row>
    <row r="227" spans="1:8" hidden="1" x14ac:dyDescent="0.25">
      <c r="A227" t="s">
        <v>1795</v>
      </c>
      <c r="B227" s="8">
        <v>42141</v>
      </c>
      <c r="C227">
        <v>97</v>
      </c>
      <c r="D227">
        <v>28.5</v>
      </c>
      <c r="E227">
        <v>43.395922979700003</v>
      </c>
      <c r="F227">
        <v>-1.49030451192</v>
      </c>
      <c r="G227">
        <v>13</v>
      </c>
      <c r="H227" s="30">
        <f t="shared" si="7"/>
        <v>15.5</v>
      </c>
    </row>
    <row r="228" spans="1:8" hidden="1" x14ac:dyDescent="0.25">
      <c r="A228" t="s">
        <v>1845</v>
      </c>
      <c r="B228" s="8">
        <v>42141</v>
      </c>
      <c r="C228">
        <v>187</v>
      </c>
      <c r="D228">
        <v>13.75</v>
      </c>
      <c r="E228">
        <v>59.682654550599999</v>
      </c>
      <c r="F228">
        <v>-0.40809597665000003</v>
      </c>
      <c r="G228">
        <v>-0.5</v>
      </c>
      <c r="H228" s="30">
        <f t="shared" si="7"/>
        <v>14.25</v>
      </c>
    </row>
    <row r="229" spans="1:8" hidden="1" x14ac:dyDescent="0.25">
      <c r="A229" t="s">
        <v>1797</v>
      </c>
      <c r="B229" s="8">
        <v>42141</v>
      </c>
      <c r="C229">
        <v>92</v>
      </c>
      <c r="D229">
        <v>49.85</v>
      </c>
      <c r="E229">
        <v>35.715983035699999</v>
      </c>
      <c r="F229">
        <v>-3.0296750718399998</v>
      </c>
      <c r="G229">
        <v>1.75</v>
      </c>
      <c r="H229" s="30">
        <f t="shared" si="7"/>
        <v>48.1</v>
      </c>
    </row>
    <row r="230" spans="1:8" hidden="1" x14ac:dyDescent="0.25">
      <c r="A230" t="s">
        <v>1791</v>
      </c>
      <c r="B230" s="8">
        <v>42140</v>
      </c>
      <c r="C230">
        <v>275</v>
      </c>
      <c r="D230">
        <v>25.7</v>
      </c>
      <c r="E230">
        <v>41.770626215599997</v>
      </c>
      <c r="F230">
        <v>-2.4937709809599999</v>
      </c>
      <c r="G230">
        <v>3.2</v>
      </c>
      <c r="H230" s="30">
        <f t="shared" si="7"/>
        <v>22.5</v>
      </c>
    </row>
    <row r="231" spans="1:8" hidden="1" x14ac:dyDescent="0.25">
      <c r="A231" t="s">
        <v>1792</v>
      </c>
      <c r="B231" s="8">
        <v>42140</v>
      </c>
      <c r="C231">
        <v>71</v>
      </c>
      <c r="D231">
        <v>37.5</v>
      </c>
      <c r="E231">
        <v>37.958759217400001</v>
      </c>
      <c r="F231">
        <v>-4.4466695000599996</v>
      </c>
      <c r="G231">
        <v>1</v>
      </c>
      <c r="H231" s="30">
        <f t="shared" si="7"/>
        <v>36.5</v>
      </c>
    </row>
    <row r="232" spans="1:8" hidden="1" x14ac:dyDescent="0.25">
      <c r="A232" t="s">
        <v>1793</v>
      </c>
      <c r="B232" s="8">
        <v>42140</v>
      </c>
      <c r="C232">
        <v>204</v>
      </c>
      <c r="D232">
        <v>26.95</v>
      </c>
      <c r="E232">
        <v>40.194108587899997</v>
      </c>
      <c r="F232">
        <v>-2.1829975293000001</v>
      </c>
      <c r="G232">
        <v>3.2</v>
      </c>
      <c r="H232" s="30">
        <f t="shared" si="7"/>
        <v>23.75</v>
      </c>
    </row>
    <row r="233" spans="1:8" hidden="1" x14ac:dyDescent="0.25">
      <c r="A233" t="s">
        <v>1789</v>
      </c>
      <c r="B233" s="8">
        <v>42139</v>
      </c>
      <c r="C233">
        <v>279</v>
      </c>
      <c r="D233">
        <v>56.95</v>
      </c>
      <c r="E233">
        <v>40.764881138200003</v>
      </c>
      <c r="F233">
        <v>-3.9136702058599999</v>
      </c>
      <c r="G233">
        <v>1.75</v>
      </c>
      <c r="H233" s="30">
        <f t="shared" si="7"/>
        <v>55.2</v>
      </c>
    </row>
    <row r="234" spans="1:8" hidden="1" x14ac:dyDescent="0.25">
      <c r="A234" t="s">
        <v>1790</v>
      </c>
      <c r="B234" s="8">
        <v>42139</v>
      </c>
      <c r="C234">
        <v>262</v>
      </c>
      <c r="D234">
        <v>59.2</v>
      </c>
      <c r="E234">
        <v>39.993857119899999</v>
      </c>
      <c r="F234">
        <v>-3.99106605382</v>
      </c>
      <c r="G234">
        <v>1.75</v>
      </c>
      <c r="H234" s="30">
        <f t="shared" si="7"/>
        <v>57.45</v>
      </c>
    </row>
    <row r="235" spans="1:8" hidden="1" x14ac:dyDescent="0.25">
      <c r="A235" t="s">
        <v>1843</v>
      </c>
      <c r="B235" s="8">
        <v>42138</v>
      </c>
      <c r="C235">
        <v>207</v>
      </c>
      <c r="D235">
        <v>33</v>
      </c>
      <c r="E235">
        <v>39.967458011300003</v>
      </c>
      <c r="F235">
        <v>-3.40278855597</v>
      </c>
      <c r="G235">
        <v>14</v>
      </c>
      <c r="H235" s="30">
        <f t="shared" si="7"/>
        <v>19</v>
      </c>
    </row>
    <row r="236" spans="1:8" hidden="1" x14ac:dyDescent="0.25">
      <c r="A236" t="s">
        <v>1786</v>
      </c>
      <c r="B236" s="8">
        <v>42138</v>
      </c>
      <c r="C236">
        <v>94</v>
      </c>
      <c r="D236">
        <v>44.5</v>
      </c>
      <c r="E236">
        <v>35.592174591800003</v>
      </c>
      <c r="F236">
        <v>-8.7616422032100001</v>
      </c>
      <c r="G236">
        <v>18</v>
      </c>
      <c r="H236" s="30">
        <f t="shared" si="7"/>
        <v>26.5</v>
      </c>
    </row>
    <row r="237" spans="1:8" hidden="1" x14ac:dyDescent="0.25">
      <c r="A237" t="s">
        <v>1787</v>
      </c>
      <c r="B237" s="8">
        <v>42138</v>
      </c>
      <c r="C237">
        <v>113</v>
      </c>
      <c r="D237">
        <v>23.75</v>
      </c>
      <c r="E237">
        <v>38.0481041209</v>
      </c>
      <c r="F237">
        <v>-1.87975842891</v>
      </c>
      <c r="G237">
        <v>14</v>
      </c>
      <c r="H237" s="30">
        <f t="shared" si="7"/>
        <v>9.75</v>
      </c>
    </row>
    <row r="238" spans="1:8" hidden="1" x14ac:dyDescent="0.25">
      <c r="A238" t="s">
        <v>1788</v>
      </c>
      <c r="B238" s="8">
        <v>42138</v>
      </c>
      <c r="C238">
        <v>37</v>
      </c>
      <c r="D238">
        <v>25.35</v>
      </c>
      <c r="E238">
        <v>31.191352310199999</v>
      </c>
      <c r="F238">
        <v>-8.9079390708900004</v>
      </c>
      <c r="G238">
        <v>-0.75</v>
      </c>
      <c r="H238" s="30">
        <f t="shared" si="7"/>
        <v>26.1</v>
      </c>
    </row>
    <row r="239" spans="1:8" hidden="1" x14ac:dyDescent="0.25">
      <c r="A239" t="s">
        <v>1800</v>
      </c>
      <c r="B239" s="8">
        <v>42137</v>
      </c>
      <c r="C239">
        <v>39</v>
      </c>
      <c r="D239">
        <v>24.75</v>
      </c>
      <c r="E239">
        <v>31.035026526500001</v>
      </c>
      <c r="F239">
        <v>-3.2583534815799999</v>
      </c>
      <c r="G239">
        <v>18</v>
      </c>
      <c r="H239" s="30">
        <f t="shared" si="7"/>
        <v>6.75</v>
      </c>
    </row>
    <row r="240" spans="1:8" hidden="1" x14ac:dyDescent="0.25">
      <c r="A240" t="s">
        <v>1801</v>
      </c>
      <c r="B240" s="8">
        <v>42136</v>
      </c>
      <c r="C240">
        <v>278</v>
      </c>
      <c r="D240">
        <v>29.95</v>
      </c>
      <c r="E240">
        <v>39.317769391699997</v>
      </c>
      <c r="F240">
        <v>-2.6691406348600002</v>
      </c>
      <c r="G240">
        <v>4.2</v>
      </c>
      <c r="H240" s="30">
        <f t="shared" si="7"/>
        <v>25.75</v>
      </c>
    </row>
    <row r="241" spans="1:8" hidden="1" x14ac:dyDescent="0.25">
      <c r="A241" t="s">
        <v>1802</v>
      </c>
      <c r="B241" s="8">
        <v>42136</v>
      </c>
      <c r="C241">
        <v>258</v>
      </c>
      <c r="D241">
        <v>30.2</v>
      </c>
      <c r="E241">
        <v>38.886356177400003</v>
      </c>
      <c r="F241">
        <v>-3.5483373281400001</v>
      </c>
      <c r="G241">
        <v>4.2</v>
      </c>
      <c r="H241" s="30">
        <f t="shared" si="7"/>
        <v>26</v>
      </c>
    </row>
    <row r="242" spans="1:8" hidden="1" x14ac:dyDescent="0.25">
      <c r="A242" t="s">
        <v>1803</v>
      </c>
      <c r="B242" s="8">
        <v>42136</v>
      </c>
      <c r="C242">
        <v>113</v>
      </c>
      <c r="D242">
        <v>42.25</v>
      </c>
      <c r="E242">
        <v>36.486073116900002</v>
      </c>
      <c r="F242">
        <v>-1.8640514288100001</v>
      </c>
      <c r="G242">
        <v>19</v>
      </c>
      <c r="H242" s="30">
        <f t="shared" si="7"/>
        <v>23.25</v>
      </c>
    </row>
    <row r="243" spans="1:8" hidden="1" x14ac:dyDescent="0.25">
      <c r="A243" t="s">
        <v>1804</v>
      </c>
      <c r="B243" s="8">
        <v>42136</v>
      </c>
      <c r="C243">
        <v>92</v>
      </c>
      <c r="D243">
        <v>41.95</v>
      </c>
      <c r="E243">
        <v>35.369137773799999</v>
      </c>
      <c r="F243">
        <v>-2.88774086466</v>
      </c>
      <c r="G243">
        <v>4.2</v>
      </c>
      <c r="H243" s="30">
        <f t="shared" si="7"/>
        <v>37.75</v>
      </c>
    </row>
    <row r="244" spans="1:8" hidden="1" x14ac:dyDescent="0.25">
      <c r="A244" t="s">
        <v>1848</v>
      </c>
      <c r="B244" s="8">
        <v>42136</v>
      </c>
      <c r="C244">
        <v>73</v>
      </c>
      <c r="D244">
        <v>22.7</v>
      </c>
      <c r="E244">
        <v>35.555608884900003</v>
      </c>
      <c r="F244">
        <v>-4.0247322256900002</v>
      </c>
      <c r="G244">
        <v>4.2</v>
      </c>
      <c r="H244" s="30">
        <f t="shared" si="7"/>
        <v>18.5</v>
      </c>
    </row>
    <row r="245" spans="1:8" hidden="1" x14ac:dyDescent="0.25">
      <c r="A245" t="s">
        <v>1805</v>
      </c>
      <c r="B245" s="8">
        <v>42135</v>
      </c>
      <c r="C245">
        <v>184</v>
      </c>
      <c r="D245">
        <v>38.5</v>
      </c>
      <c r="E245">
        <v>39.789019715999999</v>
      </c>
      <c r="F245">
        <v>-3.7659570618</v>
      </c>
      <c r="G245">
        <v>-0.75</v>
      </c>
      <c r="H245" s="30">
        <f t="shared" si="7"/>
        <v>39.25</v>
      </c>
    </row>
    <row r="246" spans="1:8" hidden="1" x14ac:dyDescent="0.25">
      <c r="A246" t="s">
        <v>1768</v>
      </c>
      <c r="B246" s="8">
        <v>42135</v>
      </c>
      <c r="C246">
        <v>55</v>
      </c>
      <c r="D246">
        <v>33.75</v>
      </c>
      <c r="E246">
        <v>33.195511224900002</v>
      </c>
      <c r="F246">
        <v>-7.8939428914700001</v>
      </c>
      <c r="G246">
        <v>2.5</v>
      </c>
      <c r="H246" s="30">
        <f t="shared" si="7"/>
        <v>31.25</v>
      </c>
    </row>
    <row r="247" spans="1:8" hidden="1" x14ac:dyDescent="0.25">
      <c r="A247" t="s">
        <v>1769</v>
      </c>
      <c r="B247" s="8">
        <v>42135</v>
      </c>
      <c r="C247">
        <v>37</v>
      </c>
      <c r="D247">
        <v>32</v>
      </c>
      <c r="E247">
        <v>34.089128210699997</v>
      </c>
      <c r="F247">
        <v>-1.35375093407</v>
      </c>
      <c r="G247">
        <v>13</v>
      </c>
      <c r="H247" s="30">
        <f t="shared" si="7"/>
        <v>19</v>
      </c>
    </row>
    <row r="248" spans="1:8" hidden="1" x14ac:dyDescent="0.25">
      <c r="A248" t="s">
        <v>1849</v>
      </c>
      <c r="B248" s="8">
        <v>42134</v>
      </c>
      <c r="C248">
        <v>280</v>
      </c>
      <c r="D248">
        <v>30.5</v>
      </c>
      <c r="E248">
        <v>43.018436863700003</v>
      </c>
      <c r="F248">
        <v>-2.1488701692699999</v>
      </c>
      <c r="G248">
        <v>11</v>
      </c>
      <c r="H248" s="30">
        <f t="shared" si="7"/>
        <v>19.5</v>
      </c>
    </row>
    <row r="249" spans="1:8" hidden="1" x14ac:dyDescent="0.25">
      <c r="A249" t="s">
        <v>1771</v>
      </c>
      <c r="B249" s="8">
        <v>42134</v>
      </c>
      <c r="C249">
        <v>169</v>
      </c>
      <c r="D249">
        <v>26.75</v>
      </c>
      <c r="E249">
        <v>41.773882227500003</v>
      </c>
      <c r="F249">
        <v>-1.91604617278</v>
      </c>
      <c r="G249">
        <v>11</v>
      </c>
      <c r="H249" s="30">
        <f t="shared" si="7"/>
        <v>15.75</v>
      </c>
    </row>
    <row r="250" spans="1:8" hidden="1" x14ac:dyDescent="0.25">
      <c r="A250" t="s">
        <v>1806</v>
      </c>
      <c r="B250" s="8">
        <v>42134</v>
      </c>
      <c r="C250">
        <v>91</v>
      </c>
      <c r="D250">
        <v>33.450000000000003</v>
      </c>
      <c r="E250">
        <v>36.288082685500001</v>
      </c>
      <c r="F250">
        <v>-2.16582704605</v>
      </c>
      <c r="G250">
        <v>-0.75</v>
      </c>
      <c r="H250" s="30">
        <f t="shared" si="7"/>
        <v>34.200000000000003</v>
      </c>
    </row>
    <row r="251" spans="1:8" hidden="1" x14ac:dyDescent="0.25">
      <c r="A251" t="s">
        <v>1807</v>
      </c>
      <c r="B251" s="8">
        <v>42133</v>
      </c>
      <c r="C251">
        <v>158</v>
      </c>
      <c r="D251">
        <v>39.6</v>
      </c>
      <c r="E251">
        <v>36.811258478100001</v>
      </c>
      <c r="F251">
        <v>-8.1073534182400007</v>
      </c>
      <c r="G251">
        <v>15.1</v>
      </c>
      <c r="H251" s="30">
        <f t="shared" si="7"/>
        <v>24.5</v>
      </c>
    </row>
    <row r="252" spans="1:8" hidden="1" x14ac:dyDescent="0.25">
      <c r="A252" t="s">
        <v>1808</v>
      </c>
      <c r="B252" s="8">
        <v>42133</v>
      </c>
      <c r="C252">
        <v>57</v>
      </c>
      <c r="D252">
        <v>40.1</v>
      </c>
      <c r="E252">
        <v>33.737255623000003</v>
      </c>
      <c r="F252">
        <v>-1.0347450653600001</v>
      </c>
      <c r="G252">
        <v>10.1</v>
      </c>
      <c r="H252" s="30">
        <f t="shared" si="7"/>
        <v>30</v>
      </c>
    </row>
    <row r="253" spans="1:8" hidden="1" x14ac:dyDescent="0.25">
      <c r="A253" t="s">
        <v>1809</v>
      </c>
      <c r="B253" s="8">
        <v>42132</v>
      </c>
      <c r="C253">
        <v>262</v>
      </c>
      <c r="D253">
        <v>21.6</v>
      </c>
      <c r="E253">
        <v>38.3488594863</v>
      </c>
      <c r="F253">
        <v>-3.1297507657299999</v>
      </c>
      <c r="G253">
        <v>3.1</v>
      </c>
      <c r="H253" s="30">
        <f t="shared" si="7"/>
        <v>18.5</v>
      </c>
    </row>
    <row r="254" spans="1:8" hidden="1" x14ac:dyDescent="0.25">
      <c r="A254" t="s">
        <v>1810</v>
      </c>
      <c r="B254" s="8">
        <v>42131</v>
      </c>
      <c r="C254">
        <v>112</v>
      </c>
      <c r="D254">
        <v>48.6</v>
      </c>
      <c r="E254">
        <v>34.319797257799998</v>
      </c>
      <c r="F254">
        <v>-1.46830665875</v>
      </c>
      <c r="G254">
        <v>12.1</v>
      </c>
      <c r="H254" s="30">
        <f t="shared" si="7"/>
        <v>36.5</v>
      </c>
    </row>
    <row r="255" spans="1:8" hidden="1" x14ac:dyDescent="0.25">
      <c r="A255" t="s">
        <v>1811</v>
      </c>
      <c r="B255" s="8">
        <v>42130</v>
      </c>
      <c r="C255">
        <v>224</v>
      </c>
      <c r="D255">
        <v>42.1</v>
      </c>
      <c r="E255">
        <v>40.240099283399999</v>
      </c>
      <c r="F255">
        <v>-9.5475318535200007</v>
      </c>
      <c r="G255">
        <v>6.1</v>
      </c>
      <c r="H255" s="30">
        <f t="shared" si="7"/>
        <v>36</v>
      </c>
    </row>
    <row r="256" spans="1:8" hidden="1" x14ac:dyDescent="0.25">
      <c r="A256" t="s">
        <v>1812</v>
      </c>
      <c r="B256" s="8">
        <v>42129</v>
      </c>
      <c r="C256">
        <v>261</v>
      </c>
      <c r="D256">
        <v>17.75</v>
      </c>
      <c r="E256">
        <v>42.487158264800001</v>
      </c>
      <c r="F256">
        <v>-1.6101720566</v>
      </c>
      <c r="G256">
        <v>3</v>
      </c>
      <c r="H256" s="30">
        <f t="shared" si="7"/>
        <v>14.75</v>
      </c>
    </row>
    <row r="257" spans="1:8" hidden="1" x14ac:dyDescent="0.25">
      <c r="A257" t="s">
        <v>1813</v>
      </c>
      <c r="B257" s="8">
        <v>42128</v>
      </c>
      <c r="C257">
        <v>188</v>
      </c>
      <c r="D257">
        <v>27.6</v>
      </c>
      <c r="E257">
        <v>43.033264776400003</v>
      </c>
      <c r="F257">
        <v>-8.8883315147099999</v>
      </c>
      <c r="G257">
        <v>-1</v>
      </c>
      <c r="H257" s="30">
        <f t="shared" si="7"/>
        <v>28.6</v>
      </c>
    </row>
    <row r="258" spans="1:8" hidden="1" x14ac:dyDescent="0.25">
      <c r="A258" t="s">
        <v>1814</v>
      </c>
      <c r="B258" s="8">
        <v>42128</v>
      </c>
      <c r="C258">
        <v>58</v>
      </c>
      <c r="D258">
        <v>32.25</v>
      </c>
      <c r="E258">
        <v>33.763669962100003</v>
      </c>
      <c r="F258">
        <v>-5.3239866573799999</v>
      </c>
      <c r="G258">
        <v>7</v>
      </c>
      <c r="H258" s="30">
        <f t="shared" si="7"/>
        <v>25.25</v>
      </c>
    </row>
    <row r="259" spans="1:8" hidden="1" x14ac:dyDescent="0.25">
      <c r="A259" t="s">
        <v>1773</v>
      </c>
      <c r="B259" s="8">
        <v>42128</v>
      </c>
      <c r="C259">
        <v>38</v>
      </c>
      <c r="D259">
        <v>21.75</v>
      </c>
      <c r="E259">
        <v>34.206223446400003</v>
      </c>
      <c r="F259">
        <v>-1.8780386039600001</v>
      </c>
      <c r="G259">
        <v>18</v>
      </c>
      <c r="H259" s="30">
        <f t="shared" si="7"/>
        <v>3.75</v>
      </c>
    </row>
    <row r="260" spans="1:8" hidden="1" x14ac:dyDescent="0.25">
      <c r="A260" t="s">
        <v>1815</v>
      </c>
      <c r="B260" s="8">
        <v>42127</v>
      </c>
      <c r="C260">
        <v>73</v>
      </c>
      <c r="D260">
        <v>13.7</v>
      </c>
      <c r="E260">
        <v>33.477581684900002</v>
      </c>
      <c r="F260">
        <v>-1.5393532353499999</v>
      </c>
      <c r="G260">
        <v>2.2000000000000002</v>
      </c>
      <c r="H260" s="30">
        <f t="shared" si="7"/>
        <v>11.5</v>
      </c>
    </row>
    <row r="261" spans="1:8" hidden="1" x14ac:dyDescent="0.25">
      <c r="A261" t="s">
        <v>1816</v>
      </c>
      <c r="B261" s="8">
        <v>42126</v>
      </c>
      <c r="C261">
        <v>279</v>
      </c>
      <c r="D261">
        <v>35.25</v>
      </c>
      <c r="E261">
        <v>47.110233859899999</v>
      </c>
      <c r="F261">
        <v>-6.4536020695999996</v>
      </c>
      <c r="G261">
        <v>7</v>
      </c>
      <c r="H261" s="30">
        <f t="shared" si="7"/>
        <v>28.25</v>
      </c>
    </row>
    <row r="262" spans="1:8" hidden="1" x14ac:dyDescent="0.25">
      <c r="A262" t="s">
        <v>1817</v>
      </c>
      <c r="B262" s="8">
        <v>42126</v>
      </c>
      <c r="C262">
        <v>129</v>
      </c>
      <c r="D262">
        <v>29</v>
      </c>
      <c r="E262">
        <v>46.389721891100002</v>
      </c>
      <c r="F262">
        <v>-6.46423148504</v>
      </c>
      <c r="G262">
        <v>7</v>
      </c>
      <c r="H262" s="30">
        <f t="shared" si="7"/>
        <v>22</v>
      </c>
    </row>
    <row r="263" spans="1:8" hidden="1" x14ac:dyDescent="0.25">
      <c r="A263" t="s">
        <v>1850</v>
      </c>
      <c r="B263" s="8">
        <v>42126</v>
      </c>
      <c r="C263">
        <v>150</v>
      </c>
      <c r="D263">
        <v>40.5</v>
      </c>
      <c r="E263">
        <v>37.189683580800001</v>
      </c>
      <c r="F263">
        <v>-4.0770265219199997</v>
      </c>
      <c r="G263">
        <v>15</v>
      </c>
      <c r="H263" s="30">
        <f t="shared" si="7"/>
        <v>25.5</v>
      </c>
    </row>
    <row r="264" spans="1:8" hidden="1" x14ac:dyDescent="0.25">
      <c r="A264" t="s">
        <v>1819</v>
      </c>
      <c r="B264" s="8">
        <v>42126</v>
      </c>
      <c r="C264">
        <v>54</v>
      </c>
      <c r="D264">
        <v>40.25</v>
      </c>
      <c r="E264">
        <v>40.423920815099997</v>
      </c>
      <c r="F264">
        <v>-3.4764141127900001</v>
      </c>
      <c r="G264">
        <v>0.75</v>
      </c>
      <c r="H264" s="30">
        <f t="shared" si="7"/>
        <v>39.5</v>
      </c>
    </row>
    <row r="265" spans="1:8" hidden="1" x14ac:dyDescent="0.25">
      <c r="A265" t="s">
        <v>1820</v>
      </c>
      <c r="B265" s="8">
        <v>42125</v>
      </c>
      <c r="C265">
        <v>260</v>
      </c>
      <c r="D265">
        <v>14.25</v>
      </c>
      <c r="E265">
        <v>44.894128240699999</v>
      </c>
      <c r="F265">
        <v>-4.9652093874099998</v>
      </c>
      <c r="G265">
        <v>7</v>
      </c>
      <c r="H265" s="30">
        <f t="shared" si="7"/>
        <v>7.25</v>
      </c>
    </row>
    <row r="266" spans="1:8" hidden="1" x14ac:dyDescent="0.25">
      <c r="A266" t="s">
        <v>1821</v>
      </c>
      <c r="B266" s="8">
        <v>42125</v>
      </c>
      <c r="C266">
        <v>98</v>
      </c>
      <c r="D266">
        <v>12.5</v>
      </c>
      <c r="E266">
        <v>34.300666054300002</v>
      </c>
      <c r="F266">
        <v>-1.08573656029</v>
      </c>
      <c r="G266">
        <v>-0.5</v>
      </c>
      <c r="H266" s="30">
        <f t="shared" si="7"/>
        <v>13</v>
      </c>
    </row>
    <row r="267" spans="1:8" hidden="1" x14ac:dyDescent="0.25">
      <c r="A267" t="s">
        <v>1822</v>
      </c>
      <c r="B267" s="8">
        <v>42123</v>
      </c>
      <c r="C267">
        <v>146</v>
      </c>
      <c r="D267">
        <v>21.45</v>
      </c>
      <c r="E267">
        <v>37.360378049399998</v>
      </c>
      <c r="F267">
        <v>-3.45363698344</v>
      </c>
      <c r="G267">
        <v>12.2</v>
      </c>
      <c r="H267" s="30">
        <f t="shared" si="7"/>
        <v>9.25</v>
      </c>
    </row>
    <row r="268" spans="1:8" hidden="1" x14ac:dyDescent="0.25">
      <c r="A268" t="s">
        <v>1823</v>
      </c>
      <c r="B268" s="8">
        <v>42123</v>
      </c>
      <c r="C268">
        <v>58</v>
      </c>
      <c r="D268">
        <v>20.25</v>
      </c>
      <c r="E268">
        <v>35.608440371999997</v>
      </c>
      <c r="F268">
        <v>-4.1663683988400004</v>
      </c>
      <c r="G268">
        <v>13</v>
      </c>
      <c r="H268" s="30">
        <f t="shared" si="7"/>
        <v>7.25</v>
      </c>
    </row>
    <row r="269" spans="1:8" hidden="1" x14ac:dyDescent="0.25">
      <c r="A269" t="s">
        <v>1824</v>
      </c>
      <c r="B269" s="8">
        <v>42122</v>
      </c>
      <c r="C269">
        <v>219</v>
      </c>
      <c r="D269">
        <v>43</v>
      </c>
      <c r="E269">
        <v>40.1271964548</v>
      </c>
      <c r="F269">
        <v>1.1626511083E-2</v>
      </c>
      <c r="G269">
        <v>-0.5</v>
      </c>
      <c r="H269" s="30">
        <f t="shared" si="7"/>
        <v>43.5</v>
      </c>
    </row>
    <row r="270" spans="1:8" hidden="1" x14ac:dyDescent="0.25">
      <c r="A270" t="s">
        <v>1774</v>
      </c>
      <c r="B270" s="8">
        <v>42122</v>
      </c>
      <c r="C270">
        <v>113</v>
      </c>
      <c r="D270">
        <v>50.75</v>
      </c>
      <c r="E270">
        <v>36.974045938099998</v>
      </c>
      <c r="F270">
        <v>-2.12688044636</v>
      </c>
      <c r="G270">
        <v>16</v>
      </c>
      <c r="H270" s="30">
        <f t="shared" si="7"/>
        <v>34.75</v>
      </c>
    </row>
    <row r="271" spans="1:8" hidden="1" x14ac:dyDescent="0.25">
      <c r="A271" t="s">
        <v>1825</v>
      </c>
      <c r="B271" s="8">
        <v>42121</v>
      </c>
      <c r="C271">
        <v>241</v>
      </c>
      <c r="D271">
        <v>31.5</v>
      </c>
      <c r="E271">
        <v>40.365861795199997</v>
      </c>
      <c r="F271">
        <v>-8.4999790074400003</v>
      </c>
      <c r="G271">
        <v>-0.5</v>
      </c>
      <c r="H271" s="30">
        <f t="shared" si="7"/>
        <v>32</v>
      </c>
    </row>
    <row r="272" spans="1:8" hidden="1" x14ac:dyDescent="0.25">
      <c r="A272" t="s">
        <v>1826</v>
      </c>
      <c r="B272" s="8">
        <v>42121</v>
      </c>
      <c r="C272">
        <v>202</v>
      </c>
      <c r="D272">
        <v>34.35</v>
      </c>
      <c r="E272">
        <v>37.2627298831</v>
      </c>
      <c r="F272">
        <v>-7.7296727770300002</v>
      </c>
      <c r="G272">
        <v>14.1</v>
      </c>
      <c r="H272" s="30">
        <f t="shared" si="7"/>
        <v>20.25</v>
      </c>
    </row>
    <row r="273" spans="1:8" hidden="1" x14ac:dyDescent="0.25">
      <c r="A273" t="s">
        <v>1827</v>
      </c>
      <c r="B273" s="8">
        <v>42121</v>
      </c>
      <c r="C273">
        <v>112</v>
      </c>
      <c r="D273">
        <v>21.35</v>
      </c>
      <c r="E273">
        <v>39.057192263799998</v>
      </c>
      <c r="F273">
        <v>-9.4579794457300004</v>
      </c>
      <c r="G273">
        <v>7.1</v>
      </c>
      <c r="H273" s="30">
        <f t="shared" si="7"/>
        <v>14.250000000000002</v>
      </c>
    </row>
    <row r="274" spans="1:8" hidden="1" x14ac:dyDescent="0.25">
      <c r="A274" t="s">
        <v>1851</v>
      </c>
      <c r="B274" s="8">
        <v>42120</v>
      </c>
      <c r="C274">
        <v>266</v>
      </c>
      <c r="D274">
        <v>23.1</v>
      </c>
      <c r="E274">
        <v>51.8938166338</v>
      </c>
      <c r="F274">
        <v>-1.02888702545</v>
      </c>
      <c r="G274">
        <v>17.100000000000001</v>
      </c>
      <c r="H274" s="30">
        <f t="shared" si="7"/>
        <v>6</v>
      </c>
    </row>
    <row r="275" spans="1:8" hidden="1" x14ac:dyDescent="0.25">
      <c r="A275" t="s">
        <v>1852</v>
      </c>
      <c r="B275" s="8">
        <v>42120</v>
      </c>
      <c r="C275">
        <v>96</v>
      </c>
      <c r="D275">
        <v>37.1</v>
      </c>
      <c r="E275">
        <v>35.185936273499998</v>
      </c>
      <c r="F275">
        <v>-1.50167980476</v>
      </c>
      <c r="G275">
        <v>17.100000000000001</v>
      </c>
      <c r="H275" s="30">
        <f t="shared" si="7"/>
        <v>20</v>
      </c>
    </row>
    <row r="276" spans="1:8" hidden="1" x14ac:dyDescent="0.25">
      <c r="A276" t="s">
        <v>1853</v>
      </c>
      <c r="B276" s="8">
        <v>42119</v>
      </c>
      <c r="C276">
        <v>147</v>
      </c>
      <c r="D276">
        <v>38.5</v>
      </c>
      <c r="E276">
        <v>36.565330230400001</v>
      </c>
      <c r="F276">
        <v>-0.87526580420699995</v>
      </c>
      <c r="G276">
        <v>-0.5</v>
      </c>
      <c r="H276" s="30">
        <f t="shared" si="7"/>
        <v>39</v>
      </c>
    </row>
    <row r="277" spans="1:8" hidden="1" x14ac:dyDescent="0.25">
      <c r="A277" t="s">
        <v>1854</v>
      </c>
      <c r="B277" s="8">
        <v>42119</v>
      </c>
      <c r="C277">
        <v>76</v>
      </c>
      <c r="D277">
        <v>36.75</v>
      </c>
      <c r="E277">
        <v>36.924470390700002</v>
      </c>
      <c r="F277">
        <v>-1.57430350181</v>
      </c>
      <c r="G277">
        <v>8</v>
      </c>
      <c r="H277" s="30">
        <f t="shared" si="7"/>
        <v>28.75</v>
      </c>
    </row>
    <row r="278" spans="1:8" hidden="1" x14ac:dyDescent="0.25">
      <c r="A278" t="s">
        <v>1776</v>
      </c>
      <c r="B278" s="8">
        <v>42118</v>
      </c>
      <c r="C278">
        <v>283</v>
      </c>
      <c r="D278">
        <v>47.2</v>
      </c>
      <c r="E278">
        <v>49.166899731000001</v>
      </c>
      <c r="F278">
        <v>-5.7869052484000001</v>
      </c>
      <c r="G278">
        <v>17.2</v>
      </c>
      <c r="H278" s="30">
        <f t="shared" si="7"/>
        <v>30.000000000000004</v>
      </c>
    </row>
    <row r="279" spans="1:8" hidden="1" x14ac:dyDescent="0.25">
      <c r="A279" t="s">
        <v>1832</v>
      </c>
      <c r="B279" s="8">
        <v>42118</v>
      </c>
      <c r="C279">
        <v>94</v>
      </c>
      <c r="D279">
        <v>21.95</v>
      </c>
      <c r="E279">
        <v>35.227743174700002</v>
      </c>
      <c r="F279">
        <v>-2.7397304287300002</v>
      </c>
      <c r="G279">
        <v>1.5</v>
      </c>
      <c r="H279" s="30">
        <f t="shared" si="7"/>
        <v>20.45</v>
      </c>
    </row>
    <row r="280" spans="1:8" hidden="1" x14ac:dyDescent="0.25">
      <c r="A280" t="s">
        <v>1777</v>
      </c>
      <c r="B280" s="8">
        <v>42118</v>
      </c>
      <c r="C280">
        <v>56</v>
      </c>
      <c r="D280">
        <v>34.25</v>
      </c>
      <c r="E280">
        <v>34.793420570899997</v>
      </c>
      <c r="F280">
        <v>-3.2426791698200002</v>
      </c>
      <c r="G280">
        <v>9</v>
      </c>
      <c r="H280" s="30">
        <f t="shared" si="7"/>
        <v>25.25</v>
      </c>
    </row>
    <row r="281" spans="1:8" hidden="1" x14ac:dyDescent="0.25">
      <c r="A281" t="s">
        <v>1855</v>
      </c>
      <c r="B281" s="8">
        <v>42117</v>
      </c>
      <c r="C281">
        <v>53</v>
      </c>
      <c r="D281">
        <v>23.5</v>
      </c>
      <c r="E281">
        <v>32.861656938800003</v>
      </c>
      <c r="F281">
        <v>-6.9077377882500004</v>
      </c>
      <c r="G281">
        <v>-0.5</v>
      </c>
      <c r="H281" s="30">
        <f t="shared" si="7"/>
        <v>24</v>
      </c>
    </row>
    <row r="282" spans="1:8" hidden="1" x14ac:dyDescent="0.25">
      <c r="A282" t="s">
        <v>1778</v>
      </c>
      <c r="B282" s="8">
        <v>42117</v>
      </c>
      <c r="C282">
        <v>79</v>
      </c>
      <c r="D282">
        <v>18.5</v>
      </c>
      <c r="E282">
        <v>35.055674310999997</v>
      </c>
      <c r="F282">
        <v>-2.6640079940799999</v>
      </c>
      <c r="G282">
        <v>7</v>
      </c>
      <c r="H282" s="30">
        <f t="shared" si="7"/>
        <v>11.5</v>
      </c>
    </row>
    <row r="283" spans="1:8" hidden="1" x14ac:dyDescent="0.25">
      <c r="A283" t="s">
        <v>1856</v>
      </c>
      <c r="B283" s="8">
        <v>42116</v>
      </c>
      <c r="C283">
        <v>280</v>
      </c>
      <c r="D283">
        <v>20.25</v>
      </c>
      <c r="E283">
        <v>38.466342931900002</v>
      </c>
      <c r="F283">
        <v>-0.84349372730200001</v>
      </c>
      <c r="G283">
        <v>6</v>
      </c>
      <c r="H283" s="30">
        <f t="shared" si="7"/>
        <v>14.25</v>
      </c>
    </row>
    <row r="284" spans="1:8" hidden="1" x14ac:dyDescent="0.25">
      <c r="A284" t="s">
        <v>1835</v>
      </c>
      <c r="B284" s="8">
        <v>42116</v>
      </c>
      <c r="C284">
        <v>260</v>
      </c>
      <c r="D284">
        <v>31.75</v>
      </c>
      <c r="E284">
        <v>37.8447070733</v>
      </c>
      <c r="F284">
        <v>-0.58109330865200004</v>
      </c>
      <c r="G284">
        <v>-0.5</v>
      </c>
      <c r="H284" s="30">
        <f t="shared" si="7"/>
        <v>32.25</v>
      </c>
    </row>
    <row r="285" spans="1:8" hidden="1" x14ac:dyDescent="0.25">
      <c r="A285" t="s">
        <v>1779</v>
      </c>
      <c r="B285" s="8">
        <v>42116</v>
      </c>
      <c r="C285">
        <v>74</v>
      </c>
      <c r="D285">
        <v>31.5</v>
      </c>
      <c r="E285">
        <v>34.966042733899997</v>
      </c>
      <c r="F285">
        <v>-3.06621528251</v>
      </c>
      <c r="G285">
        <v>-0.5</v>
      </c>
      <c r="H285" s="30">
        <f t="shared" si="7"/>
        <v>32</v>
      </c>
    </row>
    <row r="286" spans="1:8" hidden="1" x14ac:dyDescent="0.25">
      <c r="A286" t="s">
        <v>1836</v>
      </c>
      <c r="B286" s="8">
        <v>42116</v>
      </c>
      <c r="C286">
        <v>55</v>
      </c>
      <c r="D286">
        <v>34</v>
      </c>
      <c r="E286">
        <v>34.7126597894</v>
      </c>
      <c r="F286">
        <v>-2.3984720554400001</v>
      </c>
      <c r="G286">
        <v>19</v>
      </c>
      <c r="H286" s="30">
        <f t="shared" si="7"/>
        <v>15</v>
      </c>
    </row>
    <row r="287" spans="1:8" hidden="1" x14ac:dyDescent="0.25">
      <c r="A287" t="s">
        <v>1837</v>
      </c>
      <c r="B287" s="8">
        <v>42115</v>
      </c>
      <c r="C287">
        <v>278</v>
      </c>
      <c r="D287">
        <v>39.5</v>
      </c>
      <c r="E287">
        <v>41.216614437300002</v>
      </c>
      <c r="F287">
        <v>-8.3285471563600009</v>
      </c>
      <c r="G287">
        <v>11</v>
      </c>
      <c r="H287" s="30">
        <f t="shared" si="7"/>
        <v>28.5</v>
      </c>
    </row>
    <row r="288" spans="1:8" hidden="1" x14ac:dyDescent="0.25">
      <c r="A288" t="s">
        <v>1780</v>
      </c>
      <c r="B288" s="8">
        <v>42115</v>
      </c>
      <c r="C288">
        <v>74</v>
      </c>
      <c r="D288">
        <v>49.25</v>
      </c>
      <c r="E288">
        <v>34.983759660499999</v>
      </c>
      <c r="F288">
        <v>-6.3248967696199996</v>
      </c>
      <c r="G288">
        <v>1.75</v>
      </c>
      <c r="H288" s="30">
        <f t="shared" si="7"/>
        <v>47.5</v>
      </c>
    </row>
    <row r="289" spans="1:11" hidden="1" x14ac:dyDescent="0.25">
      <c r="A289" t="s">
        <v>1838</v>
      </c>
      <c r="B289" s="8">
        <v>42114</v>
      </c>
      <c r="C289">
        <v>152</v>
      </c>
      <c r="D289">
        <v>23.75</v>
      </c>
      <c r="E289">
        <v>40.654516958199999</v>
      </c>
      <c r="F289">
        <v>-8.0861057623499999</v>
      </c>
      <c r="G289">
        <v>17</v>
      </c>
      <c r="H289" s="30">
        <f t="shared" ref="H289:H297" si="8">D289-G289</f>
        <v>6.75</v>
      </c>
    </row>
    <row r="290" spans="1:11" hidden="1" x14ac:dyDescent="0.25">
      <c r="A290" t="s">
        <v>1857</v>
      </c>
      <c r="B290" s="8">
        <v>42114</v>
      </c>
      <c r="C290">
        <v>57</v>
      </c>
      <c r="D290">
        <v>16.75</v>
      </c>
      <c r="E290">
        <v>34.519815088900003</v>
      </c>
      <c r="F290">
        <v>-0.42334266954400002</v>
      </c>
      <c r="G290">
        <v>-2</v>
      </c>
      <c r="H290" s="30">
        <f t="shared" si="8"/>
        <v>18.75</v>
      </c>
    </row>
    <row r="291" spans="1:11" hidden="1" x14ac:dyDescent="0.25">
      <c r="A291" t="s">
        <v>1839</v>
      </c>
      <c r="B291" s="8">
        <v>42113</v>
      </c>
      <c r="C291">
        <v>284</v>
      </c>
      <c r="D291">
        <v>21.75</v>
      </c>
      <c r="E291">
        <v>39.895729482299998</v>
      </c>
      <c r="F291">
        <v>-2.1473382615199998</v>
      </c>
      <c r="G291">
        <v>6</v>
      </c>
      <c r="H291" s="30">
        <f t="shared" si="8"/>
        <v>15.75</v>
      </c>
    </row>
    <row r="292" spans="1:11" hidden="1" x14ac:dyDescent="0.25">
      <c r="A292" t="s">
        <v>1840</v>
      </c>
      <c r="B292" s="8">
        <v>42113</v>
      </c>
      <c r="C292">
        <v>211</v>
      </c>
      <c r="D292">
        <v>22.25</v>
      </c>
      <c r="E292">
        <v>39.776034635499997</v>
      </c>
      <c r="F292">
        <v>-1.4600867554100001</v>
      </c>
      <c r="G292">
        <v>6</v>
      </c>
      <c r="H292" s="30">
        <f t="shared" si="8"/>
        <v>16.25</v>
      </c>
    </row>
    <row r="293" spans="1:11" hidden="1" x14ac:dyDescent="0.25">
      <c r="A293" t="s">
        <v>1858</v>
      </c>
      <c r="B293" s="8">
        <v>42113</v>
      </c>
      <c r="C293">
        <v>74</v>
      </c>
      <c r="D293">
        <v>52.5</v>
      </c>
      <c r="E293">
        <v>33.540953741999999</v>
      </c>
      <c r="F293">
        <v>-3.0930930395499998</v>
      </c>
      <c r="G293">
        <v>-0.25</v>
      </c>
      <c r="H293" s="30">
        <f t="shared" si="8"/>
        <v>52.75</v>
      </c>
    </row>
    <row r="294" spans="1:11" hidden="1" x14ac:dyDescent="0.25">
      <c r="A294" t="s">
        <v>1859</v>
      </c>
      <c r="B294" s="8">
        <v>42112</v>
      </c>
      <c r="C294">
        <v>150</v>
      </c>
      <c r="D294">
        <v>47.75</v>
      </c>
      <c r="E294">
        <v>37.532343994199998</v>
      </c>
      <c r="F294">
        <v>-1.0501009419</v>
      </c>
      <c r="G294">
        <v>22</v>
      </c>
      <c r="H294" s="30">
        <f t="shared" si="8"/>
        <v>25.75</v>
      </c>
    </row>
    <row r="295" spans="1:11" hidden="1" x14ac:dyDescent="0.25">
      <c r="A295" t="s">
        <v>1860</v>
      </c>
      <c r="B295" s="8">
        <v>42111</v>
      </c>
      <c r="C295">
        <v>244</v>
      </c>
      <c r="D295">
        <v>69.5</v>
      </c>
      <c r="E295">
        <v>45.541513265500001</v>
      </c>
      <c r="F295">
        <v>-1.51354268818</v>
      </c>
      <c r="G295">
        <v>1.75</v>
      </c>
      <c r="H295" s="30">
        <f t="shared" si="8"/>
        <v>67.75</v>
      </c>
    </row>
    <row r="296" spans="1:11" hidden="1" x14ac:dyDescent="0.25">
      <c r="A296" t="s">
        <v>1784</v>
      </c>
      <c r="B296" s="8">
        <v>42111</v>
      </c>
      <c r="C296">
        <v>55</v>
      </c>
      <c r="D296">
        <v>70</v>
      </c>
      <c r="E296">
        <v>34.921601078499997</v>
      </c>
      <c r="F296">
        <v>-8.0725101981100007</v>
      </c>
      <c r="G296">
        <v>1.75</v>
      </c>
      <c r="H296" s="30">
        <f t="shared" si="8"/>
        <v>68.25</v>
      </c>
    </row>
    <row r="297" spans="1:11" hidden="1" x14ac:dyDescent="0.25">
      <c r="A297" t="s">
        <v>1842</v>
      </c>
      <c r="B297" s="8">
        <v>42111</v>
      </c>
      <c r="C297">
        <v>78</v>
      </c>
      <c r="D297">
        <v>20.5</v>
      </c>
      <c r="E297">
        <v>35.380042517200003</v>
      </c>
      <c r="F297">
        <v>-1.51932096304</v>
      </c>
      <c r="G297">
        <v>7</v>
      </c>
      <c r="H297" s="30">
        <f t="shared" si="8"/>
        <v>13.5</v>
      </c>
    </row>
    <row r="298" spans="1:11" hidden="1" x14ac:dyDescent="0.25"/>
    <row r="299" spans="1:11" hidden="1" x14ac:dyDescent="0.25"/>
    <row r="300" spans="1:11" ht="15.75" hidden="1" thickBot="1" x14ac:dyDescent="0.3"/>
    <row r="301" spans="1:11" hidden="1" x14ac:dyDescent="0.25">
      <c r="A301" s="37" t="s">
        <v>1986</v>
      </c>
      <c r="B301" s="38" t="s">
        <v>311</v>
      </c>
      <c r="C301" s="38" t="s">
        <v>1545</v>
      </c>
      <c r="D301" s="38" t="s">
        <v>1527</v>
      </c>
      <c r="E301" s="38" t="s">
        <v>1546</v>
      </c>
      <c r="F301" s="38" t="s">
        <v>1547</v>
      </c>
      <c r="G301" s="40" t="s">
        <v>1861</v>
      </c>
      <c r="H301" s="38" t="s">
        <v>1862</v>
      </c>
      <c r="I301" s="65" t="s">
        <v>1989</v>
      </c>
      <c r="J301" s="66" t="s">
        <v>1990</v>
      </c>
      <c r="K301" s="67" t="s">
        <v>1991</v>
      </c>
    </row>
    <row r="302" spans="1:11" ht="15.75" hidden="1" thickBot="1" x14ac:dyDescent="0.3">
      <c r="A302" t="s">
        <v>1843</v>
      </c>
      <c r="B302" s="8">
        <v>42138</v>
      </c>
      <c r="C302">
        <v>207</v>
      </c>
      <c r="D302">
        <v>33</v>
      </c>
      <c r="E302">
        <v>39.967458011300003</v>
      </c>
      <c r="F302">
        <v>-3.40278855597</v>
      </c>
      <c r="G302">
        <v>14</v>
      </c>
      <c r="H302" s="30">
        <f>D302-G302</f>
        <v>19</v>
      </c>
      <c r="I302" s="62">
        <f>AVERAGE(D302:D439)</f>
        <v>32.767028985507231</v>
      </c>
      <c r="J302" s="63">
        <f>_xlfn.STDEV.P(D302:D439)</f>
        <v>11.157343874439579</v>
      </c>
      <c r="K302" s="64">
        <f>MEDIAN(D302:D439)</f>
        <v>31.625</v>
      </c>
    </row>
    <row r="303" spans="1:11" hidden="1" x14ac:dyDescent="0.25">
      <c r="A303" t="s">
        <v>1786</v>
      </c>
      <c r="B303" s="8">
        <v>42138</v>
      </c>
      <c r="C303">
        <v>94</v>
      </c>
      <c r="D303">
        <v>44.5</v>
      </c>
      <c r="E303">
        <v>35.592174591800003</v>
      </c>
      <c r="F303">
        <v>-8.7616422032100001</v>
      </c>
      <c r="G303">
        <v>18</v>
      </c>
      <c r="H303" s="30">
        <f t="shared" ref="H303:H366" si="9">D303-G303</f>
        <v>26.5</v>
      </c>
    </row>
    <row r="304" spans="1:11" hidden="1" x14ac:dyDescent="0.25">
      <c r="A304" t="s">
        <v>1787</v>
      </c>
      <c r="B304" s="8">
        <v>42138</v>
      </c>
      <c r="C304">
        <v>113</v>
      </c>
      <c r="D304">
        <v>23.75</v>
      </c>
      <c r="E304">
        <v>38.0481041209</v>
      </c>
      <c r="F304">
        <v>-1.87975842891</v>
      </c>
      <c r="G304">
        <v>14</v>
      </c>
      <c r="H304" s="30">
        <f t="shared" si="9"/>
        <v>9.75</v>
      </c>
    </row>
    <row r="305" spans="1:8" hidden="1" x14ac:dyDescent="0.25">
      <c r="A305" t="s">
        <v>1788</v>
      </c>
      <c r="B305" s="8">
        <v>42138</v>
      </c>
      <c r="C305">
        <v>37</v>
      </c>
      <c r="D305">
        <v>25.35</v>
      </c>
      <c r="E305">
        <v>31.191352310199999</v>
      </c>
      <c r="F305">
        <v>-8.9079390708900004</v>
      </c>
      <c r="G305">
        <v>-0.75</v>
      </c>
      <c r="H305" s="30">
        <f t="shared" si="9"/>
        <v>26.1</v>
      </c>
    </row>
    <row r="306" spans="1:8" hidden="1" x14ac:dyDescent="0.25">
      <c r="A306" t="s">
        <v>1789</v>
      </c>
      <c r="B306" s="8">
        <v>42139</v>
      </c>
      <c r="C306">
        <v>279</v>
      </c>
      <c r="D306">
        <v>56.95</v>
      </c>
      <c r="E306">
        <v>40.764881138200003</v>
      </c>
      <c r="F306">
        <v>-3.9136702058599999</v>
      </c>
      <c r="G306">
        <v>1.75</v>
      </c>
      <c r="H306" s="30">
        <f t="shared" si="9"/>
        <v>55.2</v>
      </c>
    </row>
    <row r="307" spans="1:8" hidden="1" x14ac:dyDescent="0.25">
      <c r="A307" t="s">
        <v>1790</v>
      </c>
      <c r="B307" s="8">
        <v>42139</v>
      </c>
      <c r="C307">
        <v>262</v>
      </c>
      <c r="D307">
        <v>59.2</v>
      </c>
      <c r="E307">
        <v>39.993857119899999</v>
      </c>
      <c r="F307">
        <v>-3.99106605382</v>
      </c>
      <c r="G307">
        <v>1.75</v>
      </c>
      <c r="H307" s="30">
        <f t="shared" si="9"/>
        <v>57.45</v>
      </c>
    </row>
    <row r="308" spans="1:8" hidden="1" x14ac:dyDescent="0.25">
      <c r="A308" t="s">
        <v>1791</v>
      </c>
      <c r="B308" s="8">
        <v>42140</v>
      </c>
      <c r="C308">
        <v>275</v>
      </c>
      <c r="D308">
        <v>25.7</v>
      </c>
      <c r="E308">
        <v>41.770626215599997</v>
      </c>
      <c r="F308">
        <v>-2.4937709809599999</v>
      </c>
      <c r="G308">
        <v>3.2</v>
      </c>
      <c r="H308" s="30">
        <f t="shared" si="9"/>
        <v>22.5</v>
      </c>
    </row>
    <row r="309" spans="1:8" hidden="1" x14ac:dyDescent="0.25">
      <c r="A309" t="s">
        <v>1792</v>
      </c>
      <c r="B309" s="8">
        <v>42140</v>
      </c>
      <c r="C309">
        <v>71</v>
      </c>
      <c r="D309">
        <v>37.5</v>
      </c>
      <c r="E309">
        <v>37.958759217400001</v>
      </c>
      <c r="F309">
        <v>-4.4466695000599996</v>
      </c>
      <c r="G309">
        <v>1</v>
      </c>
      <c r="H309" s="30">
        <f t="shared" si="9"/>
        <v>36.5</v>
      </c>
    </row>
    <row r="310" spans="1:8" hidden="1" x14ac:dyDescent="0.25">
      <c r="A310" t="s">
        <v>1793</v>
      </c>
      <c r="B310" s="8">
        <v>42140</v>
      </c>
      <c r="C310">
        <v>204</v>
      </c>
      <c r="D310">
        <v>26.95</v>
      </c>
      <c r="E310">
        <v>40.194108587899997</v>
      </c>
      <c r="F310">
        <v>-2.1829975293000001</v>
      </c>
      <c r="G310">
        <v>3.2</v>
      </c>
      <c r="H310" s="30">
        <f t="shared" si="9"/>
        <v>23.75</v>
      </c>
    </row>
    <row r="311" spans="1:8" hidden="1" x14ac:dyDescent="0.25">
      <c r="A311" t="s">
        <v>1794</v>
      </c>
      <c r="B311" s="8">
        <v>42141</v>
      </c>
      <c r="C311">
        <v>279</v>
      </c>
      <c r="D311">
        <v>29</v>
      </c>
      <c r="E311">
        <v>44.391126289900001</v>
      </c>
      <c r="F311">
        <v>-1.22581482688</v>
      </c>
      <c r="G311">
        <v>13</v>
      </c>
      <c r="H311" s="30">
        <f t="shared" si="9"/>
        <v>16</v>
      </c>
    </row>
    <row r="312" spans="1:8" hidden="1" x14ac:dyDescent="0.25">
      <c r="A312" t="s">
        <v>1795</v>
      </c>
      <c r="B312" s="8">
        <v>42141</v>
      </c>
      <c r="C312">
        <v>97</v>
      </c>
      <c r="D312">
        <v>28.5</v>
      </c>
      <c r="E312">
        <v>43.395922979700003</v>
      </c>
      <c r="F312">
        <v>-1.49030451192</v>
      </c>
      <c r="G312">
        <v>13</v>
      </c>
      <c r="H312" s="30">
        <f t="shared" si="9"/>
        <v>15.5</v>
      </c>
    </row>
    <row r="313" spans="1:8" hidden="1" x14ac:dyDescent="0.25">
      <c r="A313" t="s">
        <v>1796</v>
      </c>
      <c r="B313" s="8">
        <v>42141</v>
      </c>
      <c r="C313">
        <v>187</v>
      </c>
      <c r="D313">
        <v>26.5</v>
      </c>
      <c r="E313">
        <v>44.045389329400003</v>
      </c>
      <c r="F313">
        <v>-1.3066463022699999</v>
      </c>
      <c r="G313">
        <v>13</v>
      </c>
      <c r="H313" s="30">
        <f t="shared" si="9"/>
        <v>13.5</v>
      </c>
    </row>
    <row r="314" spans="1:8" hidden="1" x14ac:dyDescent="0.25">
      <c r="A314" t="s">
        <v>1797</v>
      </c>
      <c r="B314" s="8">
        <v>42141</v>
      </c>
      <c r="C314">
        <v>92</v>
      </c>
      <c r="D314">
        <v>49.85</v>
      </c>
      <c r="E314">
        <v>35.715983035699999</v>
      </c>
      <c r="F314">
        <v>-3.0296750718399998</v>
      </c>
      <c r="G314">
        <v>1.75</v>
      </c>
      <c r="H314" s="30">
        <f t="shared" si="9"/>
        <v>48.1</v>
      </c>
    </row>
    <row r="315" spans="1:8" hidden="1" x14ac:dyDescent="0.25">
      <c r="A315" t="s">
        <v>1846</v>
      </c>
      <c r="B315" s="8">
        <v>42142</v>
      </c>
      <c r="C315">
        <v>130</v>
      </c>
      <c r="D315">
        <v>41</v>
      </c>
      <c r="E315">
        <v>38.295104024399997</v>
      </c>
      <c r="F315">
        <v>-4.1425225730899999</v>
      </c>
      <c r="G315">
        <v>20</v>
      </c>
      <c r="H315" s="30">
        <f t="shared" si="9"/>
        <v>21</v>
      </c>
    </row>
    <row r="316" spans="1:8" hidden="1" x14ac:dyDescent="0.25">
      <c r="A316" t="s">
        <v>1847</v>
      </c>
      <c r="B316" s="8">
        <v>42142</v>
      </c>
      <c r="C316">
        <v>110</v>
      </c>
      <c r="D316">
        <v>21.25</v>
      </c>
      <c r="E316">
        <v>37.905468929999998</v>
      </c>
      <c r="F316">
        <v>-3.8222935407500001</v>
      </c>
      <c r="G316">
        <v>20</v>
      </c>
      <c r="H316" s="30">
        <f t="shared" si="9"/>
        <v>1.25</v>
      </c>
    </row>
    <row r="317" spans="1:8" hidden="1" x14ac:dyDescent="0.25">
      <c r="A317" t="s">
        <v>1800</v>
      </c>
      <c r="B317" s="8">
        <v>42137</v>
      </c>
      <c r="C317">
        <v>39</v>
      </c>
      <c r="D317">
        <v>24.75</v>
      </c>
      <c r="E317">
        <v>31.035026526500001</v>
      </c>
      <c r="F317">
        <v>-3.2583534815799999</v>
      </c>
      <c r="G317">
        <v>18</v>
      </c>
      <c r="H317" s="30">
        <f t="shared" si="9"/>
        <v>6.75</v>
      </c>
    </row>
    <row r="318" spans="1:8" hidden="1" x14ac:dyDescent="0.25">
      <c r="A318" t="s">
        <v>1801</v>
      </c>
      <c r="B318" s="8">
        <v>42136</v>
      </c>
      <c r="C318">
        <v>278</v>
      </c>
      <c r="D318">
        <v>29.95</v>
      </c>
      <c r="E318">
        <v>39.317769391699997</v>
      </c>
      <c r="F318">
        <v>-2.6691406348600002</v>
      </c>
      <c r="G318">
        <v>4.2</v>
      </c>
      <c r="H318" s="30">
        <f t="shared" si="9"/>
        <v>25.75</v>
      </c>
    </row>
    <row r="319" spans="1:8" hidden="1" x14ac:dyDescent="0.25">
      <c r="A319" t="s">
        <v>1802</v>
      </c>
      <c r="B319" s="8">
        <v>42136</v>
      </c>
      <c r="C319">
        <v>258</v>
      </c>
      <c r="D319">
        <v>30.2</v>
      </c>
      <c r="E319">
        <v>38.886356177400003</v>
      </c>
      <c r="F319">
        <v>-3.5483373281400001</v>
      </c>
      <c r="G319">
        <v>4.2</v>
      </c>
      <c r="H319" s="30">
        <f t="shared" si="9"/>
        <v>26</v>
      </c>
    </row>
    <row r="320" spans="1:8" hidden="1" x14ac:dyDescent="0.25">
      <c r="A320" t="s">
        <v>1803</v>
      </c>
      <c r="B320" s="8">
        <v>42136</v>
      </c>
      <c r="C320">
        <v>113</v>
      </c>
      <c r="D320">
        <v>42.25</v>
      </c>
      <c r="E320">
        <v>36.486073116900002</v>
      </c>
      <c r="F320">
        <v>-1.8640514288100001</v>
      </c>
      <c r="G320">
        <v>19</v>
      </c>
      <c r="H320" s="30">
        <f t="shared" si="9"/>
        <v>23.25</v>
      </c>
    </row>
    <row r="321" spans="1:8" hidden="1" x14ac:dyDescent="0.25">
      <c r="A321" t="s">
        <v>1804</v>
      </c>
      <c r="B321" s="8">
        <v>42136</v>
      </c>
      <c r="C321">
        <v>92</v>
      </c>
      <c r="D321">
        <v>41.95</v>
      </c>
      <c r="E321">
        <v>35.369137773799999</v>
      </c>
      <c r="F321">
        <v>-2.88774086466</v>
      </c>
      <c r="G321">
        <v>4.2</v>
      </c>
      <c r="H321" s="30">
        <f t="shared" si="9"/>
        <v>37.75</v>
      </c>
    </row>
    <row r="322" spans="1:8" hidden="1" x14ac:dyDescent="0.25">
      <c r="A322" t="s">
        <v>1848</v>
      </c>
      <c r="B322" s="8">
        <v>42136</v>
      </c>
      <c r="C322">
        <v>73</v>
      </c>
      <c r="D322">
        <v>22.7</v>
      </c>
      <c r="E322">
        <v>35.555608884900003</v>
      </c>
      <c r="F322">
        <v>-4.0247322256900002</v>
      </c>
      <c r="G322">
        <v>4.2</v>
      </c>
      <c r="H322" s="30">
        <f t="shared" si="9"/>
        <v>18.5</v>
      </c>
    </row>
    <row r="323" spans="1:8" hidden="1" x14ac:dyDescent="0.25">
      <c r="A323" t="s">
        <v>1805</v>
      </c>
      <c r="B323" s="8">
        <v>42135</v>
      </c>
      <c r="C323">
        <v>184</v>
      </c>
      <c r="D323">
        <v>38.5</v>
      </c>
      <c r="E323">
        <v>39.789019715999999</v>
      </c>
      <c r="F323">
        <v>-3.7659570618</v>
      </c>
      <c r="G323">
        <v>-0.75</v>
      </c>
      <c r="H323" s="30">
        <f t="shared" si="9"/>
        <v>39.25</v>
      </c>
    </row>
    <row r="324" spans="1:8" hidden="1" x14ac:dyDescent="0.25">
      <c r="A324" t="s">
        <v>1768</v>
      </c>
      <c r="B324" s="8">
        <v>42135</v>
      </c>
      <c r="C324">
        <v>55</v>
      </c>
      <c r="D324">
        <v>33.75</v>
      </c>
      <c r="E324">
        <v>33.195511224900002</v>
      </c>
      <c r="F324">
        <v>-7.8939428914700001</v>
      </c>
      <c r="G324">
        <v>2.5</v>
      </c>
      <c r="H324" s="30">
        <f t="shared" si="9"/>
        <v>31.25</v>
      </c>
    </row>
    <row r="325" spans="1:8" hidden="1" x14ac:dyDescent="0.25">
      <c r="A325" t="s">
        <v>1769</v>
      </c>
      <c r="B325" s="8">
        <v>42135</v>
      </c>
      <c r="C325">
        <v>37</v>
      </c>
      <c r="D325">
        <v>32</v>
      </c>
      <c r="E325">
        <v>34.089128210699997</v>
      </c>
      <c r="F325">
        <v>-1.35375093407</v>
      </c>
      <c r="G325">
        <v>13</v>
      </c>
      <c r="H325" s="30">
        <f t="shared" si="9"/>
        <v>19</v>
      </c>
    </row>
    <row r="326" spans="1:8" hidden="1" x14ac:dyDescent="0.25">
      <c r="A326" t="s">
        <v>1849</v>
      </c>
      <c r="B326" s="8">
        <v>42134</v>
      </c>
      <c r="C326">
        <v>280</v>
      </c>
      <c r="D326">
        <v>30.5</v>
      </c>
      <c r="E326">
        <v>43.018436863700003</v>
      </c>
      <c r="F326">
        <v>-2.1488701692699999</v>
      </c>
      <c r="G326">
        <v>11</v>
      </c>
      <c r="H326" s="30">
        <f t="shared" si="9"/>
        <v>19.5</v>
      </c>
    </row>
    <row r="327" spans="1:8" hidden="1" x14ac:dyDescent="0.25">
      <c r="A327" t="s">
        <v>1771</v>
      </c>
      <c r="B327" s="8">
        <v>42134</v>
      </c>
      <c r="C327">
        <v>169</v>
      </c>
      <c r="D327">
        <v>26.75</v>
      </c>
      <c r="E327">
        <v>41.773882227500003</v>
      </c>
      <c r="F327">
        <v>-1.91604617278</v>
      </c>
      <c r="G327">
        <v>11</v>
      </c>
      <c r="H327" s="30">
        <f t="shared" si="9"/>
        <v>15.75</v>
      </c>
    </row>
    <row r="328" spans="1:8" hidden="1" x14ac:dyDescent="0.25">
      <c r="A328" t="s">
        <v>1806</v>
      </c>
      <c r="B328" s="8">
        <v>42134</v>
      </c>
      <c r="C328">
        <v>91</v>
      </c>
      <c r="D328">
        <v>33.450000000000003</v>
      </c>
      <c r="E328">
        <v>36.288082685500001</v>
      </c>
      <c r="F328">
        <v>-2.16582704605</v>
      </c>
      <c r="G328">
        <v>-0.75</v>
      </c>
      <c r="H328" s="30">
        <f t="shared" si="9"/>
        <v>34.200000000000003</v>
      </c>
    </row>
    <row r="329" spans="1:8" hidden="1" x14ac:dyDescent="0.25">
      <c r="A329" t="s">
        <v>1807</v>
      </c>
      <c r="B329" s="8">
        <v>42133</v>
      </c>
      <c r="C329">
        <v>158</v>
      </c>
      <c r="D329">
        <v>39.6</v>
      </c>
      <c r="E329">
        <v>36.811258478100001</v>
      </c>
      <c r="F329">
        <v>-8.1073534182400007</v>
      </c>
      <c r="G329">
        <v>15.1</v>
      </c>
      <c r="H329" s="30">
        <f t="shared" si="9"/>
        <v>24.5</v>
      </c>
    </row>
    <row r="330" spans="1:8" hidden="1" x14ac:dyDescent="0.25">
      <c r="A330" t="s">
        <v>1808</v>
      </c>
      <c r="B330" s="8">
        <v>42133</v>
      </c>
      <c r="C330">
        <v>57</v>
      </c>
      <c r="D330">
        <v>40.1</v>
      </c>
      <c r="E330">
        <v>33.737255623000003</v>
      </c>
      <c r="F330">
        <v>-1.0347450653600001</v>
      </c>
      <c r="G330">
        <v>10.1</v>
      </c>
      <c r="H330" s="30">
        <f t="shared" si="9"/>
        <v>30</v>
      </c>
    </row>
    <row r="331" spans="1:8" hidden="1" x14ac:dyDescent="0.25">
      <c r="A331" t="s">
        <v>1809</v>
      </c>
      <c r="B331" s="8">
        <v>42132</v>
      </c>
      <c r="C331">
        <v>262</v>
      </c>
      <c r="D331">
        <v>21.6</v>
      </c>
      <c r="E331">
        <v>38.3488594863</v>
      </c>
      <c r="F331">
        <v>-3.1297507657299999</v>
      </c>
      <c r="G331">
        <v>3.1</v>
      </c>
      <c r="H331" s="30">
        <f t="shared" si="9"/>
        <v>18.5</v>
      </c>
    </row>
    <row r="332" spans="1:8" hidden="1" x14ac:dyDescent="0.25">
      <c r="A332" t="s">
        <v>1810</v>
      </c>
      <c r="B332" s="8">
        <v>42131</v>
      </c>
      <c r="C332">
        <v>112</v>
      </c>
      <c r="D332">
        <v>48.6</v>
      </c>
      <c r="E332">
        <v>34.319797257799998</v>
      </c>
      <c r="F332">
        <v>-1.46830665875</v>
      </c>
      <c r="G332">
        <v>12.1</v>
      </c>
      <c r="H332" s="30">
        <f t="shared" si="9"/>
        <v>36.5</v>
      </c>
    </row>
    <row r="333" spans="1:8" hidden="1" x14ac:dyDescent="0.25">
      <c r="A333" t="s">
        <v>1811</v>
      </c>
      <c r="B333" s="8">
        <v>42130</v>
      </c>
      <c r="C333">
        <v>224</v>
      </c>
      <c r="D333">
        <v>42.1</v>
      </c>
      <c r="E333">
        <v>40.240099283399999</v>
      </c>
      <c r="F333">
        <v>-9.5475318535200007</v>
      </c>
      <c r="G333">
        <v>6.1</v>
      </c>
      <c r="H333" s="30">
        <f t="shared" si="9"/>
        <v>36</v>
      </c>
    </row>
    <row r="334" spans="1:8" hidden="1" x14ac:dyDescent="0.25">
      <c r="A334" t="s">
        <v>1812</v>
      </c>
      <c r="B334" s="8">
        <v>42129</v>
      </c>
      <c r="C334">
        <v>261</v>
      </c>
      <c r="D334">
        <v>17.75</v>
      </c>
      <c r="E334">
        <v>42.487158264800001</v>
      </c>
      <c r="F334">
        <v>-1.6101720566</v>
      </c>
      <c r="G334">
        <v>3</v>
      </c>
      <c r="H334" s="30">
        <f t="shared" si="9"/>
        <v>14.75</v>
      </c>
    </row>
    <row r="335" spans="1:8" hidden="1" x14ac:dyDescent="0.25">
      <c r="A335" t="s">
        <v>1813</v>
      </c>
      <c r="B335" s="8">
        <v>42128</v>
      </c>
      <c r="C335">
        <v>188</v>
      </c>
      <c r="D335">
        <v>27.6</v>
      </c>
      <c r="E335">
        <v>43.033264776400003</v>
      </c>
      <c r="F335">
        <v>-8.8883315147099999</v>
      </c>
      <c r="G335">
        <v>-1</v>
      </c>
      <c r="H335" s="30">
        <f t="shared" si="9"/>
        <v>28.6</v>
      </c>
    </row>
    <row r="336" spans="1:8" hidden="1" x14ac:dyDescent="0.25">
      <c r="A336" t="s">
        <v>1814</v>
      </c>
      <c r="B336" s="8">
        <v>42128</v>
      </c>
      <c r="C336">
        <v>58</v>
      </c>
      <c r="D336">
        <v>32.25</v>
      </c>
      <c r="E336">
        <v>33.763669962100003</v>
      </c>
      <c r="F336">
        <v>-5.3239866573799999</v>
      </c>
      <c r="G336">
        <v>7</v>
      </c>
      <c r="H336" s="30">
        <f t="shared" si="9"/>
        <v>25.25</v>
      </c>
    </row>
    <row r="337" spans="1:8" hidden="1" x14ac:dyDescent="0.25">
      <c r="A337" t="s">
        <v>1773</v>
      </c>
      <c r="B337" s="8">
        <v>42128</v>
      </c>
      <c r="C337">
        <v>38</v>
      </c>
      <c r="D337">
        <v>21.75</v>
      </c>
      <c r="E337">
        <v>34.206223446400003</v>
      </c>
      <c r="F337">
        <v>-1.8780386039600001</v>
      </c>
      <c r="G337">
        <v>18</v>
      </c>
      <c r="H337" s="30">
        <f t="shared" si="9"/>
        <v>3.75</v>
      </c>
    </row>
    <row r="338" spans="1:8" hidden="1" x14ac:dyDescent="0.25">
      <c r="A338" t="s">
        <v>1815</v>
      </c>
      <c r="B338" s="8">
        <v>42127</v>
      </c>
      <c r="C338">
        <v>73</v>
      </c>
      <c r="D338">
        <v>13.7</v>
      </c>
      <c r="E338">
        <v>33.477581684900002</v>
      </c>
      <c r="F338">
        <v>-1.5393532353499999</v>
      </c>
      <c r="G338">
        <v>2.2000000000000002</v>
      </c>
      <c r="H338" s="30">
        <f t="shared" si="9"/>
        <v>11.5</v>
      </c>
    </row>
    <row r="339" spans="1:8" hidden="1" x14ac:dyDescent="0.25">
      <c r="A339" t="s">
        <v>1816</v>
      </c>
      <c r="B339" s="8">
        <v>42126</v>
      </c>
      <c r="C339">
        <v>279</v>
      </c>
      <c r="D339">
        <v>35.25</v>
      </c>
      <c r="E339">
        <v>47.110233859899999</v>
      </c>
      <c r="F339">
        <v>-6.4536020695999996</v>
      </c>
      <c r="G339">
        <v>7</v>
      </c>
      <c r="H339" s="30">
        <f t="shared" si="9"/>
        <v>28.25</v>
      </c>
    </row>
    <row r="340" spans="1:8" hidden="1" x14ac:dyDescent="0.25">
      <c r="A340" t="s">
        <v>1817</v>
      </c>
      <c r="B340" s="8">
        <v>42126</v>
      </c>
      <c r="C340">
        <v>129</v>
      </c>
      <c r="D340">
        <v>29</v>
      </c>
      <c r="E340">
        <v>46.389721891100002</v>
      </c>
      <c r="F340">
        <v>-6.46423148504</v>
      </c>
      <c r="G340">
        <v>7</v>
      </c>
      <c r="H340" s="30">
        <f t="shared" si="9"/>
        <v>22</v>
      </c>
    </row>
    <row r="341" spans="1:8" hidden="1" x14ac:dyDescent="0.25">
      <c r="A341" t="s">
        <v>1850</v>
      </c>
      <c r="B341" s="8">
        <v>42126</v>
      </c>
      <c r="C341">
        <v>150</v>
      </c>
      <c r="D341">
        <v>40.5</v>
      </c>
      <c r="E341">
        <v>37.189683580800001</v>
      </c>
      <c r="F341">
        <v>-4.0770265219199997</v>
      </c>
      <c r="G341">
        <v>15</v>
      </c>
      <c r="H341" s="30">
        <f t="shared" si="9"/>
        <v>25.5</v>
      </c>
    </row>
    <row r="342" spans="1:8" hidden="1" x14ac:dyDescent="0.25">
      <c r="A342" t="s">
        <v>1819</v>
      </c>
      <c r="B342" s="8">
        <v>42126</v>
      </c>
      <c r="C342">
        <v>54</v>
      </c>
      <c r="D342">
        <v>40.25</v>
      </c>
      <c r="E342">
        <v>40.423920815099997</v>
      </c>
      <c r="F342">
        <v>-3.4764141127900001</v>
      </c>
      <c r="G342">
        <v>0.75</v>
      </c>
      <c r="H342" s="30">
        <f t="shared" si="9"/>
        <v>39.5</v>
      </c>
    </row>
    <row r="343" spans="1:8" hidden="1" x14ac:dyDescent="0.25">
      <c r="A343" t="s">
        <v>1820</v>
      </c>
      <c r="B343" s="8">
        <v>42125</v>
      </c>
      <c r="C343">
        <v>260</v>
      </c>
      <c r="D343">
        <v>14.25</v>
      </c>
      <c r="E343">
        <v>44.894128240699999</v>
      </c>
      <c r="F343">
        <v>-4.9652093874099998</v>
      </c>
      <c r="G343">
        <v>7</v>
      </c>
      <c r="H343" s="30">
        <f t="shared" si="9"/>
        <v>7.25</v>
      </c>
    </row>
    <row r="344" spans="1:8" hidden="1" x14ac:dyDescent="0.25">
      <c r="A344" t="s">
        <v>1821</v>
      </c>
      <c r="B344" s="8">
        <v>42125</v>
      </c>
      <c r="C344">
        <v>98</v>
      </c>
      <c r="D344">
        <v>12.5</v>
      </c>
      <c r="E344">
        <v>34.300666054300002</v>
      </c>
      <c r="F344">
        <v>-1.08573656029</v>
      </c>
      <c r="G344">
        <v>-0.5</v>
      </c>
      <c r="H344" s="30">
        <f t="shared" si="9"/>
        <v>13</v>
      </c>
    </row>
    <row r="345" spans="1:8" hidden="1" x14ac:dyDescent="0.25">
      <c r="A345" t="s">
        <v>1822</v>
      </c>
      <c r="B345" s="8">
        <v>42123</v>
      </c>
      <c r="C345">
        <v>146</v>
      </c>
      <c r="D345">
        <v>21.45</v>
      </c>
      <c r="E345">
        <v>37.360378049399998</v>
      </c>
      <c r="F345">
        <v>-3.45363698344</v>
      </c>
      <c r="G345">
        <v>12.2</v>
      </c>
      <c r="H345" s="30">
        <f t="shared" si="9"/>
        <v>9.25</v>
      </c>
    </row>
    <row r="346" spans="1:8" hidden="1" x14ac:dyDescent="0.25">
      <c r="A346" t="s">
        <v>1823</v>
      </c>
      <c r="B346" s="8">
        <v>42123</v>
      </c>
      <c r="C346">
        <v>58</v>
      </c>
      <c r="D346">
        <v>20.25</v>
      </c>
      <c r="E346">
        <v>35.608440371999997</v>
      </c>
      <c r="F346">
        <v>-4.1663683988400004</v>
      </c>
      <c r="G346">
        <v>13</v>
      </c>
      <c r="H346" s="30">
        <f t="shared" si="9"/>
        <v>7.25</v>
      </c>
    </row>
    <row r="347" spans="1:8" hidden="1" x14ac:dyDescent="0.25">
      <c r="A347" t="s">
        <v>1824</v>
      </c>
      <c r="B347" s="8">
        <v>42122</v>
      </c>
      <c r="C347">
        <v>219</v>
      </c>
      <c r="D347">
        <v>43</v>
      </c>
      <c r="E347">
        <v>40.1271964548</v>
      </c>
      <c r="F347">
        <v>1.1626511083E-2</v>
      </c>
      <c r="G347">
        <v>-0.5</v>
      </c>
      <c r="H347" s="30">
        <f t="shared" si="9"/>
        <v>43.5</v>
      </c>
    </row>
    <row r="348" spans="1:8" hidden="1" x14ac:dyDescent="0.25">
      <c r="A348" t="s">
        <v>1774</v>
      </c>
      <c r="B348" s="8">
        <v>42122</v>
      </c>
      <c r="C348">
        <v>113</v>
      </c>
      <c r="D348">
        <v>50.75</v>
      </c>
      <c r="E348">
        <v>36.974045938099998</v>
      </c>
      <c r="F348">
        <v>-2.12688044636</v>
      </c>
      <c r="G348">
        <v>16</v>
      </c>
      <c r="H348" s="30">
        <f t="shared" si="9"/>
        <v>34.75</v>
      </c>
    </row>
    <row r="349" spans="1:8" hidden="1" x14ac:dyDescent="0.25">
      <c r="A349" t="s">
        <v>1825</v>
      </c>
      <c r="B349" s="8">
        <v>42121</v>
      </c>
      <c r="C349">
        <v>241</v>
      </c>
      <c r="D349">
        <v>31.5</v>
      </c>
      <c r="E349">
        <v>40.365861795199997</v>
      </c>
      <c r="F349">
        <v>-8.4999790074400003</v>
      </c>
      <c r="G349">
        <v>-0.5</v>
      </c>
      <c r="H349" s="30">
        <f t="shared" si="9"/>
        <v>32</v>
      </c>
    </row>
    <row r="350" spans="1:8" hidden="1" x14ac:dyDescent="0.25">
      <c r="A350" t="s">
        <v>1826</v>
      </c>
      <c r="B350" s="8">
        <v>42121</v>
      </c>
      <c r="C350">
        <v>202</v>
      </c>
      <c r="D350">
        <v>34.35</v>
      </c>
      <c r="E350">
        <v>37.2627298831</v>
      </c>
      <c r="F350">
        <v>-7.7296727770300002</v>
      </c>
      <c r="G350">
        <v>14.1</v>
      </c>
      <c r="H350" s="30">
        <f t="shared" si="9"/>
        <v>20.25</v>
      </c>
    </row>
    <row r="351" spans="1:8" hidden="1" x14ac:dyDescent="0.25">
      <c r="A351" t="s">
        <v>1827</v>
      </c>
      <c r="B351" s="8">
        <v>42121</v>
      </c>
      <c r="C351">
        <v>112</v>
      </c>
      <c r="D351">
        <v>21.35</v>
      </c>
      <c r="E351">
        <v>39.057192263799998</v>
      </c>
      <c r="F351">
        <v>-9.4579794457300004</v>
      </c>
      <c r="G351">
        <v>7.1</v>
      </c>
      <c r="H351" s="30">
        <f t="shared" si="9"/>
        <v>14.250000000000002</v>
      </c>
    </row>
    <row r="352" spans="1:8" hidden="1" x14ac:dyDescent="0.25">
      <c r="A352" t="s">
        <v>1828</v>
      </c>
      <c r="B352" s="8">
        <v>42120</v>
      </c>
      <c r="C352">
        <v>266</v>
      </c>
      <c r="D352">
        <v>23.1</v>
      </c>
      <c r="E352">
        <v>51.893816709500001</v>
      </c>
      <c r="F352">
        <v>-1.0288871560699999</v>
      </c>
      <c r="G352">
        <v>17.100000000000001</v>
      </c>
      <c r="H352" s="30">
        <f t="shared" si="9"/>
        <v>6</v>
      </c>
    </row>
    <row r="353" spans="1:8" hidden="1" x14ac:dyDescent="0.25">
      <c r="A353" t="s">
        <v>1863</v>
      </c>
      <c r="B353" s="8">
        <v>42120</v>
      </c>
      <c r="C353">
        <v>96</v>
      </c>
      <c r="D353">
        <v>37.1</v>
      </c>
      <c r="E353">
        <v>35.185936349199999</v>
      </c>
      <c r="F353">
        <v>-1.5016799353800001</v>
      </c>
      <c r="G353">
        <v>17.100000000000001</v>
      </c>
      <c r="H353" s="30">
        <f t="shared" si="9"/>
        <v>20</v>
      </c>
    </row>
    <row r="354" spans="1:8" hidden="1" x14ac:dyDescent="0.25">
      <c r="A354" t="s">
        <v>1775</v>
      </c>
      <c r="B354" s="8">
        <v>42119</v>
      </c>
      <c r="C354">
        <v>147</v>
      </c>
      <c r="D354">
        <v>38.5</v>
      </c>
      <c r="E354">
        <v>35.8243360337</v>
      </c>
      <c r="F354">
        <v>-0.87768847197699995</v>
      </c>
      <c r="G354">
        <v>-0.5</v>
      </c>
      <c r="H354" s="30">
        <f t="shared" si="9"/>
        <v>39</v>
      </c>
    </row>
    <row r="355" spans="1:8" hidden="1" x14ac:dyDescent="0.25">
      <c r="A355" t="s">
        <v>1854</v>
      </c>
      <c r="B355" s="8">
        <v>42119</v>
      </c>
      <c r="C355">
        <v>76</v>
      </c>
      <c r="D355">
        <v>36.75</v>
      </c>
      <c r="E355">
        <v>36.924470390700002</v>
      </c>
      <c r="F355">
        <v>-1.57430350181</v>
      </c>
      <c r="G355">
        <v>8</v>
      </c>
      <c r="H355" s="30">
        <f t="shared" si="9"/>
        <v>28.75</v>
      </c>
    </row>
    <row r="356" spans="1:8" hidden="1" x14ac:dyDescent="0.25">
      <c r="A356" t="s">
        <v>1776</v>
      </c>
      <c r="B356" s="8">
        <v>42118</v>
      </c>
      <c r="C356">
        <v>283</v>
      </c>
      <c r="D356">
        <v>47.2</v>
      </c>
      <c r="E356">
        <v>49.166899731000001</v>
      </c>
      <c r="F356">
        <v>-5.7869052484000001</v>
      </c>
      <c r="G356">
        <v>17.2</v>
      </c>
      <c r="H356" s="30">
        <f t="shared" si="9"/>
        <v>30.000000000000004</v>
      </c>
    </row>
    <row r="357" spans="1:8" hidden="1" x14ac:dyDescent="0.25">
      <c r="A357" t="s">
        <v>1832</v>
      </c>
      <c r="B357" s="8">
        <v>42118</v>
      </c>
      <c r="C357">
        <v>94</v>
      </c>
      <c r="D357">
        <v>21.95</v>
      </c>
      <c r="E357">
        <v>35.227743174700002</v>
      </c>
      <c r="F357">
        <v>-2.7397304287300002</v>
      </c>
      <c r="G357">
        <v>1.5</v>
      </c>
      <c r="H357" s="30">
        <f t="shared" si="9"/>
        <v>20.45</v>
      </c>
    </row>
    <row r="358" spans="1:8" hidden="1" x14ac:dyDescent="0.25">
      <c r="A358" t="s">
        <v>1777</v>
      </c>
      <c r="B358" s="8">
        <v>42118</v>
      </c>
      <c r="C358">
        <v>56</v>
      </c>
      <c r="D358">
        <v>34.25</v>
      </c>
      <c r="E358">
        <v>34.793420570899997</v>
      </c>
      <c r="F358">
        <v>-3.2426791698200002</v>
      </c>
      <c r="G358">
        <v>9</v>
      </c>
      <c r="H358" s="30">
        <f t="shared" si="9"/>
        <v>25.25</v>
      </c>
    </row>
    <row r="359" spans="1:8" hidden="1" x14ac:dyDescent="0.25">
      <c r="A359" t="s">
        <v>1833</v>
      </c>
      <c r="B359" s="8">
        <v>42117</v>
      </c>
      <c r="C359">
        <v>53</v>
      </c>
      <c r="D359">
        <v>28.25</v>
      </c>
      <c r="E359">
        <v>33.481748976200002</v>
      </c>
      <c r="F359">
        <v>-7.6941311036500002</v>
      </c>
      <c r="G359">
        <v>10</v>
      </c>
      <c r="H359" s="30">
        <f t="shared" si="9"/>
        <v>18.25</v>
      </c>
    </row>
    <row r="360" spans="1:8" hidden="1" x14ac:dyDescent="0.25">
      <c r="A360" t="s">
        <v>1778</v>
      </c>
      <c r="B360" s="8">
        <v>42117</v>
      </c>
      <c r="C360">
        <v>79</v>
      </c>
      <c r="D360">
        <v>18.5</v>
      </c>
      <c r="E360">
        <v>35.055674310999997</v>
      </c>
      <c r="F360">
        <v>-2.6640079940799999</v>
      </c>
      <c r="G360">
        <v>7</v>
      </c>
      <c r="H360" s="30">
        <f t="shared" si="9"/>
        <v>11.5</v>
      </c>
    </row>
    <row r="361" spans="1:8" hidden="1" x14ac:dyDescent="0.25">
      <c r="A361" t="s">
        <v>1856</v>
      </c>
      <c r="B361" s="8">
        <v>42116</v>
      </c>
      <c r="C361">
        <v>280</v>
      </c>
      <c r="D361">
        <v>20.25</v>
      </c>
      <c r="E361">
        <v>38.466342931900002</v>
      </c>
      <c r="F361">
        <v>-0.84349372730200001</v>
      </c>
      <c r="G361">
        <v>6</v>
      </c>
      <c r="H361" s="30">
        <f t="shared" si="9"/>
        <v>14.25</v>
      </c>
    </row>
    <row r="362" spans="1:8" hidden="1" x14ac:dyDescent="0.25">
      <c r="A362" t="s">
        <v>1835</v>
      </c>
      <c r="B362" s="8">
        <v>42116</v>
      </c>
      <c r="C362">
        <v>260</v>
      </c>
      <c r="D362">
        <v>31.75</v>
      </c>
      <c r="E362">
        <v>37.8447070733</v>
      </c>
      <c r="F362">
        <v>-0.58109330865200004</v>
      </c>
      <c r="G362">
        <v>-0.5</v>
      </c>
      <c r="H362" s="30">
        <f t="shared" si="9"/>
        <v>32.25</v>
      </c>
    </row>
    <row r="363" spans="1:8" hidden="1" x14ac:dyDescent="0.25">
      <c r="A363" t="s">
        <v>1779</v>
      </c>
      <c r="B363" s="8">
        <v>42116</v>
      </c>
      <c r="C363">
        <v>74</v>
      </c>
      <c r="D363">
        <v>31.5</v>
      </c>
      <c r="E363">
        <v>34.966042733899997</v>
      </c>
      <c r="F363">
        <v>-3.06621528251</v>
      </c>
      <c r="G363">
        <v>-0.5</v>
      </c>
      <c r="H363" s="30">
        <f t="shared" si="9"/>
        <v>32</v>
      </c>
    </row>
    <row r="364" spans="1:8" hidden="1" x14ac:dyDescent="0.25">
      <c r="A364" t="s">
        <v>1836</v>
      </c>
      <c r="B364" s="8">
        <v>42116</v>
      </c>
      <c r="C364">
        <v>55</v>
      </c>
      <c r="D364">
        <v>34</v>
      </c>
      <c r="E364">
        <v>34.7126597894</v>
      </c>
      <c r="F364">
        <v>-2.3984720554400001</v>
      </c>
      <c r="G364">
        <v>19</v>
      </c>
      <c r="H364" s="30">
        <f t="shared" si="9"/>
        <v>15</v>
      </c>
    </row>
    <row r="365" spans="1:8" hidden="1" x14ac:dyDescent="0.25">
      <c r="A365" t="s">
        <v>1837</v>
      </c>
      <c r="B365" s="8">
        <v>42115</v>
      </c>
      <c r="C365">
        <v>278</v>
      </c>
      <c r="D365">
        <v>39.5</v>
      </c>
      <c r="E365">
        <v>41.216614437300002</v>
      </c>
      <c r="F365">
        <v>-8.3285471563600009</v>
      </c>
      <c r="G365">
        <v>11</v>
      </c>
      <c r="H365" s="30">
        <f t="shared" si="9"/>
        <v>28.5</v>
      </c>
    </row>
    <row r="366" spans="1:8" hidden="1" x14ac:dyDescent="0.25">
      <c r="A366" t="s">
        <v>1780</v>
      </c>
      <c r="B366" s="8">
        <v>42115</v>
      </c>
      <c r="C366">
        <v>74</v>
      </c>
      <c r="D366">
        <v>49.25</v>
      </c>
      <c r="E366">
        <v>34.983759660499999</v>
      </c>
      <c r="F366">
        <v>-6.3248967696199996</v>
      </c>
      <c r="G366">
        <v>1.75</v>
      </c>
      <c r="H366" s="30">
        <f t="shared" si="9"/>
        <v>47.5</v>
      </c>
    </row>
    <row r="367" spans="1:8" hidden="1" x14ac:dyDescent="0.25">
      <c r="A367" t="s">
        <v>1838</v>
      </c>
      <c r="B367" s="8">
        <v>42114</v>
      </c>
      <c r="C367">
        <v>152</v>
      </c>
      <c r="D367">
        <v>23.75</v>
      </c>
      <c r="E367">
        <v>40.654516958199999</v>
      </c>
      <c r="F367">
        <v>-8.0861057623499999</v>
      </c>
      <c r="G367">
        <v>17</v>
      </c>
      <c r="H367" s="30">
        <f t="shared" ref="H367:H430" si="10">D367-G367</f>
        <v>6.75</v>
      </c>
    </row>
    <row r="368" spans="1:8" hidden="1" x14ac:dyDescent="0.25">
      <c r="A368" t="s">
        <v>1857</v>
      </c>
      <c r="B368" s="8">
        <v>42114</v>
      </c>
      <c r="C368">
        <v>57</v>
      </c>
      <c r="D368">
        <v>16.75</v>
      </c>
      <c r="E368">
        <v>34.519815088900003</v>
      </c>
      <c r="F368">
        <v>-0.42334266954400002</v>
      </c>
      <c r="G368">
        <v>-2</v>
      </c>
      <c r="H368" s="30">
        <f t="shared" si="10"/>
        <v>18.75</v>
      </c>
    </row>
    <row r="369" spans="1:12" hidden="1" x14ac:dyDescent="0.25">
      <c r="A369" t="s">
        <v>1839</v>
      </c>
      <c r="B369" s="8">
        <v>42113</v>
      </c>
      <c r="C369">
        <v>284</v>
      </c>
      <c r="D369">
        <v>21.75</v>
      </c>
      <c r="E369">
        <v>39.895729482299998</v>
      </c>
      <c r="F369">
        <v>-2.1473382615199998</v>
      </c>
      <c r="G369">
        <v>6</v>
      </c>
      <c r="H369" s="30">
        <f t="shared" si="10"/>
        <v>15.75</v>
      </c>
    </row>
    <row r="370" spans="1:12" hidden="1" x14ac:dyDescent="0.25">
      <c r="A370" t="s">
        <v>1840</v>
      </c>
      <c r="B370" s="8">
        <v>42113</v>
      </c>
      <c r="C370">
        <v>211</v>
      </c>
      <c r="D370">
        <v>22.25</v>
      </c>
      <c r="E370">
        <v>39.776034635499997</v>
      </c>
      <c r="F370">
        <v>-1.4600867554100001</v>
      </c>
      <c r="G370">
        <v>6</v>
      </c>
      <c r="H370" s="30">
        <f t="shared" si="10"/>
        <v>16.25</v>
      </c>
    </row>
    <row r="371" spans="1:12" hidden="1" x14ac:dyDescent="0.25">
      <c r="A371" t="s">
        <v>1782</v>
      </c>
      <c r="B371" s="8">
        <v>42113</v>
      </c>
      <c r="C371">
        <v>74</v>
      </c>
      <c r="D371">
        <v>38.5</v>
      </c>
      <c r="E371">
        <v>33.358434741899998</v>
      </c>
      <c r="F371">
        <v>-2.40600986833</v>
      </c>
      <c r="G371">
        <v>15</v>
      </c>
      <c r="H371" s="30">
        <f t="shared" si="10"/>
        <v>23.5</v>
      </c>
    </row>
    <row r="372" spans="1:12" hidden="1" x14ac:dyDescent="0.25">
      <c r="A372" t="s">
        <v>1859</v>
      </c>
      <c r="B372" s="8">
        <v>42112</v>
      </c>
      <c r="C372">
        <v>150</v>
      </c>
      <c r="D372">
        <v>47.75</v>
      </c>
      <c r="E372">
        <v>37.532343994199998</v>
      </c>
      <c r="F372">
        <v>-1.0501009419</v>
      </c>
      <c r="G372">
        <v>22</v>
      </c>
      <c r="H372" s="30">
        <f t="shared" si="10"/>
        <v>25.75</v>
      </c>
    </row>
    <row r="373" spans="1:12" hidden="1" x14ac:dyDescent="0.25">
      <c r="A373" t="s">
        <v>1860</v>
      </c>
      <c r="B373" s="8">
        <v>42111</v>
      </c>
      <c r="C373">
        <v>244</v>
      </c>
      <c r="D373">
        <v>69.5</v>
      </c>
      <c r="E373">
        <v>45.541513265500001</v>
      </c>
      <c r="F373">
        <v>-1.51354268818</v>
      </c>
      <c r="G373">
        <v>1.75</v>
      </c>
      <c r="H373" s="30">
        <f t="shared" si="10"/>
        <v>67.75</v>
      </c>
    </row>
    <row r="374" spans="1:12" hidden="1" x14ac:dyDescent="0.25">
      <c r="A374" t="s">
        <v>1784</v>
      </c>
      <c r="B374" s="8">
        <v>42111</v>
      </c>
      <c r="C374">
        <v>55</v>
      </c>
      <c r="D374">
        <v>70</v>
      </c>
      <c r="E374">
        <v>34.921601078499997</v>
      </c>
      <c r="F374">
        <v>-8.0725101981100007</v>
      </c>
      <c r="G374">
        <v>1.75</v>
      </c>
      <c r="H374" s="30">
        <f t="shared" si="10"/>
        <v>68.25</v>
      </c>
    </row>
    <row r="375" spans="1:12" hidden="1" x14ac:dyDescent="0.25">
      <c r="A375" t="s">
        <v>1842</v>
      </c>
      <c r="B375" s="8">
        <v>42111</v>
      </c>
      <c r="C375">
        <v>78</v>
      </c>
      <c r="D375">
        <v>20.5</v>
      </c>
      <c r="E375">
        <v>35.380042517200003</v>
      </c>
      <c r="F375">
        <v>-1.51932096304</v>
      </c>
      <c r="G375">
        <v>7</v>
      </c>
      <c r="H375" s="30">
        <f t="shared" si="10"/>
        <v>13.5</v>
      </c>
    </row>
    <row r="376" spans="1:12" hidden="1" x14ac:dyDescent="0.25">
      <c r="A376" s="30" t="s">
        <v>2472</v>
      </c>
      <c r="B376" s="8">
        <v>42143</v>
      </c>
      <c r="C376" s="30">
        <v>279</v>
      </c>
      <c r="D376" s="30">
        <v>31.5</v>
      </c>
      <c r="E376" s="30">
        <v>38.032469364400001</v>
      </c>
      <c r="F376" s="30">
        <v>-4.5884272611099997</v>
      </c>
      <c r="G376" s="30">
        <v>8</v>
      </c>
      <c r="H376" s="30">
        <f t="shared" si="10"/>
        <v>23.5</v>
      </c>
      <c r="I376" s="30"/>
      <c r="J376" s="30"/>
      <c r="K376" s="30"/>
      <c r="L376" s="30"/>
    </row>
    <row r="377" spans="1:12" hidden="1" x14ac:dyDescent="0.25">
      <c r="A377" s="30" t="s">
        <v>2473</v>
      </c>
      <c r="B377" s="8">
        <v>42144</v>
      </c>
      <c r="C377" s="30">
        <v>277</v>
      </c>
      <c r="D377" s="30">
        <v>29.75</v>
      </c>
      <c r="E377" s="30">
        <v>38.138706247999998</v>
      </c>
      <c r="F377" s="30">
        <v>-0.34507736469799999</v>
      </c>
      <c r="G377" s="30">
        <v>2</v>
      </c>
      <c r="H377" s="30">
        <f t="shared" si="10"/>
        <v>27.75</v>
      </c>
      <c r="I377" s="30"/>
      <c r="J377" s="30"/>
      <c r="K377" s="30"/>
      <c r="L377" s="30"/>
    </row>
    <row r="378" spans="1:12" hidden="1" x14ac:dyDescent="0.25">
      <c r="A378" s="30" t="s">
        <v>2474</v>
      </c>
      <c r="B378" s="8">
        <v>42144</v>
      </c>
      <c r="C378" s="30">
        <v>257</v>
      </c>
      <c r="D378" s="30">
        <v>28.25</v>
      </c>
      <c r="E378" s="30">
        <v>37.570349180199997</v>
      </c>
      <c r="F378" s="30">
        <v>-0.81502261671499998</v>
      </c>
      <c r="G378" s="30">
        <v>2</v>
      </c>
      <c r="H378" s="30">
        <f t="shared" si="10"/>
        <v>26.25</v>
      </c>
      <c r="I378" s="30"/>
      <c r="J378" s="30"/>
      <c r="K378" s="30"/>
      <c r="L378" s="30"/>
    </row>
    <row r="379" spans="1:12" hidden="1" x14ac:dyDescent="0.25">
      <c r="A379" s="30" t="s">
        <v>2545</v>
      </c>
      <c r="B379" s="8">
        <v>42145</v>
      </c>
      <c r="C379" s="30">
        <v>223</v>
      </c>
      <c r="D379" s="30">
        <v>34.85</v>
      </c>
      <c r="E379" s="30">
        <v>39.371699827999997</v>
      </c>
      <c r="F379" s="30">
        <v>-7.6165358384699999</v>
      </c>
      <c r="G379" s="30">
        <v>-0.75</v>
      </c>
      <c r="H379" s="30">
        <f t="shared" si="10"/>
        <v>35.6</v>
      </c>
      <c r="I379" s="30"/>
      <c r="J379" s="30"/>
      <c r="K379" s="30"/>
      <c r="L379" s="30"/>
    </row>
    <row r="380" spans="1:12" hidden="1" x14ac:dyDescent="0.25">
      <c r="A380" s="30" t="s">
        <v>2546</v>
      </c>
      <c r="B380" s="8">
        <v>42145</v>
      </c>
      <c r="C380" s="30">
        <v>109</v>
      </c>
      <c r="D380" s="30">
        <v>60.35</v>
      </c>
      <c r="E380" s="30">
        <v>37.782020808399999</v>
      </c>
      <c r="F380" s="30">
        <v>-8.4518669360099992</v>
      </c>
      <c r="G380" s="30">
        <v>-0.75</v>
      </c>
      <c r="H380" s="30">
        <f t="shared" si="10"/>
        <v>61.1</v>
      </c>
      <c r="I380" s="30"/>
      <c r="J380" s="30"/>
      <c r="K380" s="30"/>
      <c r="L380" s="30"/>
    </row>
    <row r="381" spans="1:12" hidden="1" x14ac:dyDescent="0.25">
      <c r="A381" s="30" t="s">
        <v>2477</v>
      </c>
      <c r="B381" s="8">
        <v>42145</v>
      </c>
      <c r="C381" s="30">
        <v>34</v>
      </c>
      <c r="D381" s="30">
        <v>36.35</v>
      </c>
      <c r="E381" s="30">
        <v>34.726825335400001</v>
      </c>
      <c r="F381" s="30">
        <v>-5.0737112120600001</v>
      </c>
      <c r="G381" s="30">
        <v>-0.75</v>
      </c>
      <c r="H381" s="30">
        <f t="shared" si="10"/>
        <v>37.1</v>
      </c>
      <c r="I381" s="30"/>
      <c r="J381" s="30"/>
      <c r="K381" s="30"/>
      <c r="L381" s="30"/>
    </row>
    <row r="382" spans="1:12" hidden="1" x14ac:dyDescent="0.25">
      <c r="A382" s="30" t="s">
        <v>2478</v>
      </c>
      <c r="B382" s="8">
        <v>42145</v>
      </c>
      <c r="C382" s="30">
        <v>114</v>
      </c>
      <c r="D382" s="30">
        <v>31.5</v>
      </c>
      <c r="E382" s="30">
        <v>33.148410482099997</v>
      </c>
      <c r="F382" s="30">
        <v>2.6675624043100001E-2</v>
      </c>
      <c r="G382" s="30">
        <v>18</v>
      </c>
      <c r="H382" s="30">
        <f t="shared" si="10"/>
        <v>13.5</v>
      </c>
      <c r="I382" s="30"/>
      <c r="J382" s="30"/>
      <c r="K382" s="30"/>
      <c r="L382" s="30"/>
    </row>
    <row r="383" spans="1:12" hidden="1" x14ac:dyDescent="0.25">
      <c r="A383" s="30" t="s">
        <v>2547</v>
      </c>
      <c r="B383" s="8">
        <v>42146</v>
      </c>
      <c r="C383" s="30">
        <v>278</v>
      </c>
      <c r="D383" s="30">
        <v>41.25</v>
      </c>
      <c r="E383" s="30">
        <v>37.746224718599997</v>
      </c>
      <c r="F383" s="30">
        <v>-3.4226147241799998</v>
      </c>
      <c r="G383" s="30">
        <v>18</v>
      </c>
      <c r="H383" s="30">
        <f t="shared" si="10"/>
        <v>23.25</v>
      </c>
      <c r="I383" s="30"/>
      <c r="J383" s="30"/>
      <c r="K383" s="30"/>
      <c r="L383" s="30"/>
    </row>
    <row r="384" spans="1:12" hidden="1" x14ac:dyDescent="0.25">
      <c r="A384" s="30" t="s">
        <v>2480</v>
      </c>
      <c r="B384" s="8">
        <v>42146</v>
      </c>
      <c r="C384" s="30">
        <v>58</v>
      </c>
      <c r="D384" s="30">
        <v>21.75</v>
      </c>
      <c r="E384" s="30">
        <v>33.551434677000003</v>
      </c>
      <c r="F384" s="30">
        <v>-0.182674179277</v>
      </c>
      <c r="G384" s="30">
        <v>8</v>
      </c>
      <c r="H384" s="30">
        <f t="shared" si="10"/>
        <v>13.75</v>
      </c>
      <c r="I384" s="30"/>
      <c r="J384" s="30"/>
      <c r="K384" s="30"/>
      <c r="L384" s="30"/>
    </row>
    <row r="385" spans="1:12" hidden="1" x14ac:dyDescent="0.25">
      <c r="A385" s="30" t="s">
        <v>2481</v>
      </c>
      <c r="B385" s="8">
        <v>42147</v>
      </c>
      <c r="C385" s="30">
        <v>118</v>
      </c>
      <c r="D385" s="30">
        <v>28.25</v>
      </c>
      <c r="E385" s="30">
        <v>38.149089915200001</v>
      </c>
      <c r="F385" s="30">
        <v>-1.42088434092</v>
      </c>
      <c r="G385" s="30">
        <v>10</v>
      </c>
      <c r="H385" s="30">
        <f t="shared" si="10"/>
        <v>18.25</v>
      </c>
      <c r="I385" s="30"/>
      <c r="J385" s="30"/>
      <c r="K385" s="30"/>
      <c r="L385" s="30"/>
    </row>
    <row r="386" spans="1:12" hidden="1" x14ac:dyDescent="0.25">
      <c r="A386" s="30" t="s">
        <v>2482</v>
      </c>
      <c r="B386" s="8">
        <v>42147</v>
      </c>
      <c r="C386" s="30">
        <v>61</v>
      </c>
      <c r="D386" s="30">
        <v>22.75</v>
      </c>
      <c r="E386" s="30">
        <v>36.472596319700003</v>
      </c>
      <c r="F386" s="30">
        <v>-1.0633131252800001</v>
      </c>
      <c r="G386" s="30">
        <v>10</v>
      </c>
      <c r="H386" s="30">
        <f t="shared" si="10"/>
        <v>12.75</v>
      </c>
      <c r="I386" s="30"/>
      <c r="J386" s="30"/>
      <c r="K386" s="30"/>
      <c r="L386" s="30"/>
    </row>
    <row r="387" spans="1:12" hidden="1" x14ac:dyDescent="0.25">
      <c r="A387" s="30" t="s">
        <v>2483</v>
      </c>
      <c r="B387" s="8">
        <v>42147</v>
      </c>
      <c r="C387" s="30">
        <v>34</v>
      </c>
      <c r="D387" s="30">
        <v>30.5</v>
      </c>
      <c r="E387" s="30">
        <v>35.2409193007</v>
      </c>
      <c r="F387" s="30">
        <v>-0.63725713292999997</v>
      </c>
      <c r="G387" s="30">
        <v>10</v>
      </c>
      <c r="H387" s="30">
        <f t="shared" si="10"/>
        <v>20.5</v>
      </c>
      <c r="I387" s="30"/>
      <c r="J387" s="30"/>
      <c r="K387" s="30"/>
      <c r="L387" s="30"/>
    </row>
    <row r="388" spans="1:12" hidden="1" x14ac:dyDescent="0.25">
      <c r="A388" s="30" t="s">
        <v>2548</v>
      </c>
      <c r="B388" s="8">
        <v>42148</v>
      </c>
      <c r="C388" s="30">
        <v>281</v>
      </c>
      <c r="D388" s="30">
        <v>25</v>
      </c>
      <c r="E388" s="30">
        <v>36.655545668800002</v>
      </c>
      <c r="F388" s="30">
        <v>-9.2314469546400009</v>
      </c>
      <c r="G388" s="30">
        <v>13</v>
      </c>
      <c r="H388" s="30">
        <f t="shared" si="10"/>
        <v>12</v>
      </c>
      <c r="I388" s="30"/>
      <c r="J388" s="30"/>
      <c r="K388" s="30"/>
      <c r="L388" s="30"/>
    </row>
    <row r="389" spans="1:12" hidden="1" x14ac:dyDescent="0.25">
      <c r="A389" s="30" t="s">
        <v>2485</v>
      </c>
      <c r="B389" s="8">
        <v>42148</v>
      </c>
      <c r="C389" s="30">
        <v>209</v>
      </c>
      <c r="D389" s="30">
        <v>37.75</v>
      </c>
      <c r="E389" s="30">
        <v>36.040479275499997</v>
      </c>
      <c r="F389" s="30">
        <v>-9.8738428973100003</v>
      </c>
      <c r="G389" s="30">
        <v>13</v>
      </c>
      <c r="H389" s="30">
        <f t="shared" si="10"/>
        <v>24.75</v>
      </c>
      <c r="I389" s="30"/>
      <c r="J389" s="30"/>
      <c r="K389" s="30"/>
      <c r="L389" s="30"/>
    </row>
    <row r="390" spans="1:12" hidden="1" x14ac:dyDescent="0.25">
      <c r="A390" s="30" t="s">
        <v>2486</v>
      </c>
      <c r="B390" s="8">
        <v>42148</v>
      </c>
      <c r="C390" s="30">
        <v>72</v>
      </c>
      <c r="D390" s="30">
        <v>25.75</v>
      </c>
      <c r="E390" s="30">
        <v>33.1432952312</v>
      </c>
      <c r="F390" s="30">
        <v>-4.2229257530500002</v>
      </c>
      <c r="G390" s="30">
        <v>15</v>
      </c>
      <c r="H390" s="30">
        <f t="shared" si="10"/>
        <v>10.75</v>
      </c>
      <c r="I390" s="30"/>
      <c r="J390" s="30"/>
      <c r="K390" s="30"/>
      <c r="L390" s="30"/>
    </row>
    <row r="391" spans="1:12" hidden="1" x14ac:dyDescent="0.25">
      <c r="A391" s="30" t="s">
        <v>2487</v>
      </c>
      <c r="B391" s="8">
        <v>42149</v>
      </c>
      <c r="C391" s="30">
        <v>280</v>
      </c>
      <c r="D391" s="30">
        <v>22.5</v>
      </c>
      <c r="E391" s="30">
        <v>35.728144183700003</v>
      </c>
      <c r="F391" s="30">
        <v>-5.7438574756599996</v>
      </c>
      <c r="G391" s="30">
        <v>11</v>
      </c>
      <c r="H391" s="30">
        <f t="shared" si="10"/>
        <v>11.5</v>
      </c>
      <c r="I391" s="30"/>
      <c r="J391" s="30"/>
      <c r="K391" s="30"/>
      <c r="L391" s="30"/>
    </row>
    <row r="392" spans="1:12" hidden="1" x14ac:dyDescent="0.25">
      <c r="A392" s="30" t="s">
        <v>2488</v>
      </c>
      <c r="B392" s="8">
        <v>42149</v>
      </c>
      <c r="C392" s="30">
        <v>96</v>
      </c>
      <c r="D392" s="30">
        <v>25.5</v>
      </c>
      <c r="E392" s="30">
        <v>34.631321159499997</v>
      </c>
      <c r="F392" s="30">
        <v>-0.74005602373000001</v>
      </c>
      <c r="G392" s="30">
        <v>11</v>
      </c>
      <c r="H392" s="30">
        <f t="shared" si="10"/>
        <v>14.5</v>
      </c>
      <c r="I392" s="30"/>
      <c r="J392" s="30"/>
      <c r="K392" s="30"/>
      <c r="L392" s="30"/>
    </row>
    <row r="393" spans="1:12" hidden="1" x14ac:dyDescent="0.25">
      <c r="A393" s="30" t="s">
        <v>2549</v>
      </c>
      <c r="B393" s="8">
        <v>42149</v>
      </c>
      <c r="C393" s="30">
        <v>184</v>
      </c>
      <c r="D393" s="30">
        <v>24.2</v>
      </c>
      <c r="E393" s="30">
        <v>34.497812547000002</v>
      </c>
      <c r="F393" s="30">
        <v>-8.5383110710200008</v>
      </c>
      <c r="G393" s="30">
        <v>5.2</v>
      </c>
      <c r="H393" s="30">
        <f t="shared" si="10"/>
        <v>19</v>
      </c>
      <c r="I393" s="30"/>
      <c r="J393" s="30"/>
      <c r="K393" s="30"/>
      <c r="L393" s="30"/>
    </row>
    <row r="394" spans="1:12" hidden="1" x14ac:dyDescent="0.25">
      <c r="A394" s="30" t="s">
        <v>2550</v>
      </c>
      <c r="B394" s="8">
        <v>42150</v>
      </c>
      <c r="C394" s="30">
        <v>279</v>
      </c>
      <c r="D394" s="30">
        <v>49</v>
      </c>
      <c r="E394" s="30">
        <v>39.828820710499997</v>
      </c>
      <c r="F394" s="30">
        <v>-3.1129386029699999</v>
      </c>
      <c r="G394" s="30">
        <v>1.5</v>
      </c>
      <c r="H394" s="30">
        <f t="shared" si="10"/>
        <v>47.5</v>
      </c>
      <c r="I394" s="30"/>
      <c r="J394" s="30"/>
      <c r="K394" s="30"/>
      <c r="L394" s="30"/>
    </row>
    <row r="395" spans="1:12" hidden="1" x14ac:dyDescent="0.25">
      <c r="A395" s="30" t="s">
        <v>2491</v>
      </c>
      <c r="B395" s="8">
        <v>42151</v>
      </c>
      <c r="C395" s="30">
        <v>279</v>
      </c>
      <c r="D395" s="30">
        <v>53.75</v>
      </c>
      <c r="E395" s="30">
        <v>37.728578786699998</v>
      </c>
      <c r="F395" s="30">
        <v>0.59032337335399998</v>
      </c>
      <c r="G395" s="30">
        <v>21</v>
      </c>
      <c r="H395" s="30">
        <f t="shared" si="10"/>
        <v>32.75</v>
      </c>
      <c r="I395" s="30"/>
      <c r="J395" s="30"/>
      <c r="K395" s="30"/>
      <c r="L395" s="30"/>
    </row>
    <row r="396" spans="1:12" hidden="1" x14ac:dyDescent="0.25">
      <c r="A396" s="30" t="s">
        <v>2492</v>
      </c>
      <c r="B396" s="8">
        <v>42151</v>
      </c>
      <c r="C396" s="30">
        <v>166</v>
      </c>
      <c r="D396" s="30">
        <v>48.75</v>
      </c>
      <c r="E396" s="30">
        <v>37.513857647800002</v>
      </c>
      <c r="F396" s="30">
        <v>0.30758495215699999</v>
      </c>
      <c r="G396" s="30">
        <v>21</v>
      </c>
      <c r="H396" s="30">
        <f t="shared" si="10"/>
        <v>27.75</v>
      </c>
      <c r="I396" s="30"/>
      <c r="J396" s="30"/>
      <c r="K396" s="30"/>
      <c r="L396" s="30"/>
    </row>
    <row r="397" spans="1:12" hidden="1" x14ac:dyDescent="0.25">
      <c r="A397" s="30" t="s">
        <v>2493</v>
      </c>
      <c r="B397" s="8">
        <v>42151</v>
      </c>
      <c r="C397" s="30">
        <v>73</v>
      </c>
      <c r="D397" s="30">
        <v>33.5</v>
      </c>
      <c r="E397" s="30">
        <v>33.361273260300003</v>
      </c>
      <c r="F397" s="30">
        <v>-9.8075789498199999</v>
      </c>
      <c r="G397" s="30">
        <v>0.5</v>
      </c>
      <c r="H397" s="30">
        <f t="shared" si="10"/>
        <v>33</v>
      </c>
      <c r="I397" s="30"/>
      <c r="J397" s="30"/>
      <c r="K397" s="30"/>
      <c r="L397" s="30"/>
    </row>
    <row r="398" spans="1:12" hidden="1" x14ac:dyDescent="0.25">
      <c r="A398" s="30" t="s">
        <v>2494</v>
      </c>
      <c r="B398" s="8">
        <v>42151</v>
      </c>
      <c r="C398" s="30">
        <v>93</v>
      </c>
      <c r="D398" s="30">
        <v>30</v>
      </c>
      <c r="E398" s="30">
        <v>36.289956758000002</v>
      </c>
      <c r="F398" s="30">
        <v>6.4804875404299994E-2</v>
      </c>
      <c r="G398" s="30">
        <v>21</v>
      </c>
      <c r="H398" s="30">
        <f t="shared" si="10"/>
        <v>9</v>
      </c>
      <c r="I398" s="30"/>
      <c r="J398" s="30"/>
      <c r="K398" s="30"/>
      <c r="L398" s="30"/>
    </row>
    <row r="399" spans="1:12" hidden="1" x14ac:dyDescent="0.25">
      <c r="A399" s="30" t="s">
        <v>2495</v>
      </c>
      <c r="B399" s="8">
        <v>42152</v>
      </c>
      <c r="C399" s="30">
        <v>140</v>
      </c>
      <c r="D399" s="30">
        <v>37.200000000000003</v>
      </c>
      <c r="E399" s="30">
        <v>37.997408225699999</v>
      </c>
      <c r="F399" s="30">
        <v>-4.4863845807700002</v>
      </c>
      <c r="G399" s="30">
        <v>23.2</v>
      </c>
      <c r="H399" s="30">
        <f t="shared" si="10"/>
        <v>14.000000000000004</v>
      </c>
      <c r="I399" s="30"/>
      <c r="J399" s="30"/>
      <c r="K399" s="30"/>
      <c r="L399" s="30"/>
    </row>
    <row r="400" spans="1:12" hidden="1" x14ac:dyDescent="0.25">
      <c r="A400" s="30" t="s">
        <v>2495</v>
      </c>
      <c r="B400" s="8">
        <v>42152</v>
      </c>
      <c r="C400" s="30">
        <v>140</v>
      </c>
      <c r="D400" s="30">
        <v>37.200000000000003</v>
      </c>
      <c r="E400" s="30">
        <v>37.997408225699999</v>
      </c>
      <c r="F400" s="30">
        <v>-4.4863845807700002</v>
      </c>
      <c r="G400" s="30">
        <v>23.2</v>
      </c>
      <c r="H400" s="30">
        <f t="shared" si="10"/>
        <v>14.000000000000004</v>
      </c>
      <c r="I400" s="30"/>
      <c r="J400" s="30"/>
      <c r="K400" s="30"/>
      <c r="L400" s="30"/>
    </row>
    <row r="401" spans="1:12" hidden="1" x14ac:dyDescent="0.25">
      <c r="A401" s="30" t="s">
        <v>2496</v>
      </c>
      <c r="B401" s="8">
        <v>42152</v>
      </c>
      <c r="C401" s="30">
        <v>93</v>
      </c>
      <c r="D401" s="30">
        <v>43.25</v>
      </c>
      <c r="E401" s="30">
        <v>36.456270055200001</v>
      </c>
      <c r="F401" s="30">
        <v>-3.70922498901</v>
      </c>
      <c r="G401" s="30">
        <v>21</v>
      </c>
      <c r="H401" s="30">
        <f t="shared" si="10"/>
        <v>22.25</v>
      </c>
      <c r="I401" s="30"/>
      <c r="J401" s="30"/>
      <c r="K401" s="30"/>
      <c r="L401" s="30"/>
    </row>
    <row r="402" spans="1:12" hidden="1" x14ac:dyDescent="0.25">
      <c r="A402" s="30" t="s">
        <v>2497</v>
      </c>
      <c r="B402" s="8">
        <v>42152</v>
      </c>
      <c r="C402" s="30">
        <v>113</v>
      </c>
      <c r="D402" s="30">
        <v>52.75</v>
      </c>
      <c r="E402" s="30">
        <v>36.467841180500002</v>
      </c>
      <c r="F402" s="30">
        <v>-3.6978877623000002</v>
      </c>
      <c r="G402" s="30">
        <v>21</v>
      </c>
      <c r="H402" s="30">
        <f t="shared" si="10"/>
        <v>31.75</v>
      </c>
      <c r="I402" s="30"/>
      <c r="J402" s="30"/>
      <c r="K402" s="30"/>
      <c r="L402" s="30"/>
    </row>
    <row r="403" spans="1:12" hidden="1" x14ac:dyDescent="0.25">
      <c r="A403" s="30" t="s">
        <v>2551</v>
      </c>
      <c r="B403" s="8">
        <v>42153</v>
      </c>
      <c r="C403" s="30">
        <v>280</v>
      </c>
      <c r="D403" s="30">
        <v>24</v>
      </c>
      <c r="E403" s="30">
        <v>40.282592762699998</v>
      </c>
      <c r="F403" s="30">
        <v>-4.6273611627299998</v>
      </c>
      <c r="G403" s="59">
        <v>-0.5</v>
      </c>
      <c r="H403" s="30">
        <f t="shared" si="10"/>
        <v>24.5</v>
      </c>
      <c r="I403" s="30"/>
      <c r="J403" s="30"/>
      <c r="K403" s="30"/>
      <c r="L403" s="30"/>
    </row>
    <row r="404" spans="1:12" hidden="1" x14ac:dyDescent="0.25">
      <c r="A404" s="30" t="s">
        <v>2551</v>
      </c>
      <c r="B404" s="8">
        <v>42153</v>
      </c>
      <c r="C404" s="30">
        <v>262</v>
      </c>
      <c r="D404" s="30">
        <v>24</v>
      </c>
      <c r="E404" s="30">
        <v>40.282592762699998</v>
      </c>
      <c r="F404" s="30">
        <v>-4.6273611627299998</v>
      </c>
      <c r="G404" s="30">
        <v>-0.5</v>
      </c>
      <c r="H404" s="30">
        <f t="shared" si="10"/>
        <v>24.5</v>
      </c>
      <c r="I404" s="30"/>
      <c r="J404" s="30"/>
      <c r="K404" s="30"/>
      <c r="L404" s="30"/>
    </row>
    <row r="405" spans="1:12" hidden="1" x14ac:dyDescent="0.25">
      <c r="A405" s="30" t="s">
        <v>2552</v>
      </c>
      <c r="B405" s="8">
        <v>42154</v>
      </c>
      <c r="C405" s="30">
        <v>262</v>
      </c>
      <c r="D405" s="30">
        <v>33.25</v>
      </c>
      <c r="E405" s="30">
        <v>36.882602157199997</v>
      </c>
      <c r="F405" s="30">
        <v>-9.0882691002300007</v>
      </c>
      <c r="G405" s="30">
        <v>11</v>
      </c>
      <c r="H405" s="30">
        <f t="shared" si="10"/>
        <v>22.25</v>
      </c>
      <c r="I405" s="30"/>
      <c r="J405" s="30"/>
      <c r="K405" s="30"/>
      <c r="L405" s="30"/>
    </row>
    <row r="406" spans="1:12" hidden="1" x14ac:dyDescent="0.25">
      <c r="A406" s="30" t="s">
        <v>2500</v>
      </c>
      <c r="B406" s="8">
        <v>42154</v>
      </c>
      <c r="C406" s="30">
        <v>130</v>
      </c>
      <c r="D406" s="30">
        <v>26.85</v>
      </c>
      <c r="E406" s="30">
        <v>34.3499801424</v>
      </c>
      <c r="F406" s="30">
        <v>-2.0019491201299999</v>
      </c>
      <c r="G406" s="30">
        <v>4.0999999999999996</v>
      </c>
      <c r="H406" s="30">
        <f t="shared" si="10"/>
        <v>22.75</v>
      </c>
      <c r="I406" s="30"/>
      <c r="J406" s="30"/>
      <c r="K406" s="30"/>
      <c r="L406" s="30"/>
    </row>
    <row r="407" spans="1:12" hidden="1" x14ac:dyDescent="0.25">
      <c r="A407" s="30" t="s">
        <v>2553</v>
      </c>
      <c r="B407" s="8">
        <v>42154</v>
      </c>
      <c r="C407" s="30">
        <v>132</v>
      </c>
      <c r="D407" s="30">
        <v>35</v>
      </c>
      <c r="E407" s="30">
        <v>36.612638345299999</v>
      </c>
      <c r="F407" s="30">
        <v>-9.3981526186300002</v>
      </c>
      <c r="G407" s="30">
        <v>11</v>
      </c>
      <c r="H407" s="30">
        <f t="shared" si="10"/>
        <v>24</v>
      </c>
      <c r="I407" s="30"/>
      <c r="J407" s="30"/>
      <c r="K407" s="30"/>
      <c r="L407" s="30"/>
    </row>
    <row r="408" spans="1:12" hidden="1" x14ac:dyDescent="0.25">
      <c r="A408" s="30" t="s">
        <v>2554</v>
      </c>
      <c r="B408" s="8">
        <v>42154</v>
      </c>
      <c r="C408" s="30">
        <v>130</v>
      </c>
      <c r="D408" s="30">
        <v>38</v>
      </c>
      <c r="E408" s="30">
        <v>33.204013918800001</v>
      </c>
      <c r="F408" s="30">
        <v>-2.3993374485599999</v>
      </c>
      <c r="G408" s="30">
        <v>8</v>
      </c>
      <c r="H408" s="30">
        <f t="shared" si="10"/>
        <v>30</v>
      </c>
      <c r="I408" s="30"/>
      <c r="J408" s="30"/>
      <c r="K408" s="30"/>
      <c r="L408" s="30"/>
    </row>
    <row r="409" spans="1:12" hidden="1" x14ac:dyDescent="0.25">
      <c r="A409" s="30" t="s">
        <v>2503</v>
      </c>
      <c r="B409" s="8">
        <v>42155</v>
      </c>
      <c r="C409" s="30">
        <v>280</v>
      </c>
      <c r="D409" s="30">
        <v>26.2</v>
      </c>
      <c r="E409" s="30">
        <v>37.510399673999999</v>
      </c>
      <c r="F409" s="30">
        <v>-1.0927580099900001</v>
      </c>
      <c r="G409" s="30">
        <v>9.1999999999999993</v>
      </c>
      <c r="H409" s="30">
        <f t="shared" si="10"/>
        <v>17</v>
      </c>
      <c r="I409" s="30"/>
      <c r="J409" s="30"/>
      <c r="K409" s="30"/>
      <c r="L409" s="30"/>
    </row>
    <row r="410" spans="1:12" hidden="1" x14ac:dyDescent="0.25">
      <c r="A410" s="30" t="s">
        <v>2504</v>
      </c>
      <c r="B410" s="8">
        <v>42155</v>
      </c>
      <c r="C410" s="30">
        <v>94</v>
      </c>
      <c r="D410" s="30">
        <v>18.7</v>
      </c>
      <c r="E410" s="30">
        <v>36.0670306186</v>
      </c>
      <c r="F410" s="30">
        <v>-1.52561910402</v>
      </c>
      <c r="G410" s="30">
        <v>9.1999999999999993</v>
      </c>
      <c r="H410" s="30">
        <f t="shared" si="10"/>
        <v>9.5</v>
      </c>
      <c r="I410" s="30"/>
      <c r="J410" s="30"/>
      <c r="K410" s="30"/>
      <c r="L410" s="30"/>
    </row>
    <row r="411" spans="1:12" hidden="1" x14ac:dyDescent="0.25">
      <c r="A411" s="30" t="s">
        <v>2505</v>
      </c>
      <c r="B411" s="8">
        <v>42155</v>
      </c>
      <c r="C411" s="30">
        <v>186</v>
      </c>
      <c r="D411" s="30">
        <v>26.75</v>
      </c>
      <c r="E411" s="30">
        <v>33.960115042300004</v>
      </c>
      <c r="F411" s="30">
        <v>-1.401240394</v>
      </c>
      <c r="G411" s="30">
        <v>0.75</v>
      </c>
      <c r="H411" s="30">
        <f t="shared" si="10"/>
        <v>26</v>
      </c>
      <c r="I411" s="30"/>
      <c r="J411" s="30"/>
      <c r="K411" s="30"/>
      <c r="L411" s="30"/>
    </row>
    <row r="412" spans="1:12" hidden="1" x14ac:dyDescent="0.25">
      <c r="A412" s="30" t="s">
        <v>2506</v>
      </c>
      <c r="B412" s="8">
        <v>42155</v>
      </c>
      <c r="C412" s="30">
        <v>112</v>
      </c>
      <c r="D412" s="30">
        <v>23</v>
      </c>
      <c r="E412" s="30">
        <v>33.092132825599997</v>
      </c>
      <c r="F412" s="30">
        <v>-3.0632860552699999</v>
      </c>
      <c r="G412" s="59">
        <v>0.75</v>
      </c>
      <c r="H412" s="30">
        <f t="shared" si="10"/>
        <v>22.25</v>
      </c>
      <c r="I412" s="30"/>
      <c r="J412" s="30"/>
      <c r="K412" s="30"/>
      <c r="L412" s="30"/>
    </row>
    <row r="413" spans="1:12" hidden="1" x14ac:dyDescent="0.25">
      <c r="A413" s="30" t="s">
        <v>2507</v>
      </c>
      <c r="B413" s="8">
        <v>42156</v>
      </c>
      <c r="C413" s="30">
        <v>163</v>
      </c>
      <c r="D413" s="30">
        <v>47.75</v>
      </c>
      <c r="E413" s="30">
        <v>37.387511941699998</v>
      </c>
      <c r="F413" s="30">
        <v>-9.0401931097299997</v>
      </c>
      <c r="G413" s="30">
        <v>5.75</v>
      </c>
      <c r="H413" s="30">
        <f t="shared" si="10"/>
        <v>42</v>
      </c>
      <c r="I413" s="30"/>
      <c r="J413" s="30"/>
      <c r="K413" s="30"/>
      <c r="L413" s="30"/>
    </row>
    <row r="414" spans="1:12" hidden="1" x14ac:dyDescent="0.25">
      <c r="A414" s="30" t="s">
        <v>2508</v>
      </c>
      <c r="B414" s="8">
        <v>42157</v>
      </c>
      <c r="C414" s="30">
        <v>293</v>
      </c>
      <c r="D414" s="30">
        <v>16.2</v>
      </c>
      <c r="E414" s="30">
        <v>43.733610870200003</v>
      </c>
      <c r="F414" s="30">
        <v>-3.6922199194999998</v>
      </c>
      <c r="G414" s="30">
        <v>-0.25</v>
      </c>
      <c r="H414" s="30">
        <f t="shared" si="10"/>
        <v>16.45</v>
      </c>
      <c r="I414" s="30"/>
      <c r="J414" s="30"/>
      <c r="K414" s="30"/>
      <c r="L414" s="30"/>
    </row>
    <row r="415" spans="1:12" hidden="1" x14ac:dyDescent="0.25">
      <c r="A415" s="30" t="s">
        <v>2509</v>
      </c>
      <c r="B415" s="8">
        <v>42157</v>
      </c>
      <c r="C415" s="30">
        <v>293</v>
      </c>
      <c r="D415" s="30">
        <v>16.2</v>
      </c>
      <c r="E415" s="30">
        <v>43.733610870200003</v>
      </c>
      <c r="F415" s="30">
        <v>-3.6922199194999998</v>
      </c>
      <c r="G415" s="30">
        <v>-0.25</v>
      </c>
      <c r="H415" s="30">
        <f t="shared" si="10"/>
        <v>16.45</v>
      </c>
      <c r="I415" s="30"/>
      <c r="J415" s="30"/>
      <c r="K415" s="30"/>
      <c r="L415" s="30"/>
    </row>
    <row r="416" spans="1:12" hidden="1" x14ac:dyDescent="0.25">
      <c r="A416" s="30" t="s">
        <v>2510</v>
      </c>
      <c r="B416" s="8">
        <v>42157</v>
      </c>
      <c r="C416" s="30">
        <v>99</v>
      </c>
      <c r="D416" s="30">
        <v>25.75</v>
      </c>
      <c r="E416" s="30">
        <v>34.189425331000002</v>
      </c>
      <c r="F416" s="30">
        <v>-7.6098307953599997</v>
      </c>
      <c r="G416" s="30">
        <v>13</v>
      </c>
      <c r="H416" s="30">
        <f t="shared" si="10"/>
        <v>12.75</v>
      </c>
      <c r="I416" s="30"/>
      <c r="J416" s="30"/>
      <c r="K416" s="30"/>
      <c r="L416" s="30"/>
    </row>
    <row r="417" spans="1:12" hidden="1" x14ac:dyDescent="0.25">
      <c r="A417" s="30" t="s">
        <v>2511</v>
      </c>
      <c r="B417" s="8">
        <v>42158</v>
      </c>
      <c r="C417" s="30">
        <v>286</v>
      </c>
      <c r="D417" s="30">
        <v>27.25</v>
      </c>
      <c r="E417" s="30">
        <v>39.087600723599998</v>
      </c>
      <c r="F417" s="30">
        <v>-8.4249895982500007</v>
      </c>
      <c r="G417" s="30">
        <v>24</v>
      </c>
      <c r="H417" s="30">
        <f t="shared" si="10"/>
        <v>3.25</v>
      </c>
      <c r="I417" s="30"/>
      <c r="J417" s="30"/>
      <c r="K417" s="30"/>
      <c r="L417" s="30"/>
    </row>
    <row r="418" spans="1:12" hidden="1" x14ac:dyDescent="0.25">
      <c r="A418" s="30" t="s">
        <v>2512</v>
      </c>
      <c r="B418" s="8">
        <v>42158</v>
      </c>
      <c r="C418" s="30">
        <v>98</v>
      </c>
      <c r="D418" s="30">
        <v>30.75</v>
      </c>
      <c r="E418" s="30">
        <v>32.806224261099999</v>
      </c>
      <c r="F418" s="30">
        <v>-2.3290464962100002</v>
      </c>
      <c r="G418" s="30">
        <v>19</v>
      </c>
      <c r="H418" s="30">
        <f t="shared" si="10"/>
        <v>11.75</v>
      </c>
      <c r="I418" s="30"/>
      <c r="J418" s="30"/>
      <c r="K418" s="30"/>
      <c r="L418" s="30"/>
    </row>
    <row r="419" spans="1:12" hidden="1" x14ac:dyDescent="0.25">
      <c r="A419" s="30" t="s">
        <v>2513</v>
      </c>
      <c r="B419" s="8">
        <v>42158</v>
      </c>
      <c r="C419" s="30">
        <v>55</v>
      </c>
      <c r="D419" s="30">
        <v>39.5</v>
      </c>
      <c r="E419" s="30">
        <v>31.6077678214</v>
      </c>
      <c r="F419" s="30">
        <v>-9.4397277869699998</v>
      </c>
      <c r="G419" s="30">
        <v>19</v>
      </c>
      <c r="H419" s="30">
        <f t="shared" si="10"/>
        <v>20.5</v>
      </c>
      <c r="I419" s="30"/>
      <c r="J419" s="30"/>
      <c r="K419" s="30"/>
      <c r="L419" s="30"/>
    </row>
    <row r="420" spans="1:12" hidden="1" x14ac:dyDescent="0.25">
      <c r="A420" s="30" t="s">
        <v>2514</v>
      </c>
      <c r="B420" s="8">
        <v>42158</v>
      </c>
      <c r="C420" s="30">
        <v>214</v>
      </c>
      <c r="D420" s="30">
        <v>46.75</v>
      </c>
      <c r="E420" s="30">
        <v>38.9068635366</v>
      </c>
      <c r="F420" s="30">
        <v>-9.1847600776499991</v>
      </c>
      <c r="G420" s="30">
        <v>24</v>
      </c>
      <c r="H420" s="30">
        <f t="shared" si="10"/>
        <v>22.75</v>
      </c>
      <c r="I420" s="30"/>
      <c r="J420" s="30"/>
      <c r="K420" s="30"/>
      <c r="L420" s="30"/>
    </row>
    <row r="421" spans="1:12" hidden="1" x14ac:dyDescent="0.25">
      <c r="A421" s="30" t="s">
        <v>2515</v>
      </c>
      <c r="B421" s="8">
        <v>42159</v>
      </c>
      <c r="C421" s="30">
        <v>190</v>
      </c>
      <c r="D421" s="30">
        <v>40</v>
      </c>
      <c r="E421" s="30">
        <v>42.274825873600001</v>
      </c>
      <c r="F421" s="30">
        <v>-6.9336530743400004</v>
      </c>
      <c r="G421" s="30">
        <v>0.5</v>
      </c>
      <c r="H421" s="30">
        <f t="shared" si="10"/>
        <v>39.5</v>
      </c>
      <c r="I421" s="30"/>
      <c r="J421" s="30"/>
      <c r="K421" s="30"/>
      <c r="L421" s="30"/>
    </row>
    <row r="422" spans="1:12" hidden="1" x14ac:dyDescent="0.25">
      <c r="A422" s="30" t="s">
        <v>2516</v>
      </c>
      <c r="B422" s="8">
        <v>42159</v>
      </c>
      <c r="C422" s="30">
        <v>130</v>
      </c>
      <c r="D422" s="30">
        <v>33.5</v>
      </c>
      <c r="E422" s="30">
        <v>39.805024085100001</v>
      </c>
      <c r="F422" s="30">
        <v>-0.63523274514299999</v>
      </c>
      <c r="G422" s="30">
        <v>0.5</v>
      </c>
      <c r="H422" s="30">
        <f t="shared" si="10"/>
        <v>33</v>
      </c>
      <c r="I422" s="30"/>
      <c r="J422" s="30"/>
      <c r="K422" s="30"/>
      <c r="L422" s="30"/>
    </row>
    <row r="423" spans="1:12" hidden="1" x14ac:dyDescent="0.25">
      <c r="A423" s="30" t="s">
        <v>2517</v>
      </c>
      <c r="B423" s="8">
        <v>42159</v>
      </c>
      <c r="C423" s="30">
        <v>60</v>
      </c>
      <c r="D423" s="30">
        <v>36.1</v>
      </c>
      <c r="E423" s="30">
        <v>32.462760464299997</v>
      </c>
      <c r="F423" s="30">
        <v>-6.7464285484099999</v>
      </c>
      <c r="G423" s="30">
        <v>13.1</v>
      </c>
      <c r="H423" s="30">
        <f t="shared" si="10"/>
        <v>23</v>
      </c>
      <c r="I423" s="30"/>
      <c r="J423" s="30"/>
      <c r="K423" s="30"/>
      <c r="L423" s="30"/>
    </row>
    <row r="424" spans="1:12" hidden="1" x14ac:dyDescent="0.25">
      <c r="A424" s="30" t="s">
        <v>2555</v>
      </c>
      <c r="B424" s="8">
        <v>42160</v>
      </c>
      <c r="C424" s="30">
        <v>280</v>
      </c>
      <c r="D424" s="30">
        <v>41.25</v>
      </c>
      <c r="E424" s="30">
        <v>36.8107675814</v>
      </c>
      <c r="F424" s="30">
        <v>-6.9115028481299996</v>
      </c>
      <c r="G424" s="30">
        <v>14</v>
      </c>
      <c r="H424" s="30">
        <f t="shared" si="10"/>
        <v>27.25</v>
      </c>
      <c r="I424" s="30"/>
      <c r="J424" s="30"/>
      <c r="K424" s="30"/>
      <c r="L424" s="30"/>
    </row>
    <row r="425" spans="1:12" hidden="1" x14ac:dyDescent="0.25">
      <c r="A425" s="30" t="s">
        <v>2527</v>
      </c>
      <c r="B425" s="8">
        <v>42160</v>
      </c>
      <c r="C425" s="30">
        <v>54</v>
      </c>
      <c r="D425" s="30">
        <v>17.600000000000001</v>
      </c>
      <c r="E425" s="30">
        <v>33.203455777499997</v>
      </c>
      <c r="F425" s="30">
        <v>-1.16900476594</v>
      </c>
      <c r="G425" s="30">
        <v>8.1</v>
      </c>
      <c r="H425" s="30">
        <f t="shared" si="10"/>
        <v>9.5000000000000018</v>
      </c>
      <c r="I425" s="30"/>
      <c r="J425" s="30"/>
      <c r="K425" s="30"/>
      <c r="L425" s="30"/>
    </row>
    <row r="426" spans="1:12" hidden="1" x14ac:dyDescent="0.25">
      <c r="A426" s="30" t="s">
        <v>2556</v>
      </c>
      <c r="B426" s="8">
        <v>42160</v>
      </c>
      <c r="C426" s="30">
        <v>77</v>
      </c>
      <c r="D426" s="30">
        <v>34</v>
      </c>
      <c r="E426" s="30">
        <v>31.9490280574</v>
      </c>
      <c r="F426" s="30">
        <v>-2.9289987529500001</v>
      </c>
      <c r="G426" s="30">
        <v>8</v>
      </c>
      <c r="H426" s="30">
        <f t="shared" si="10"/>
        <v>26</v>
      </c>
      <c r="I426" s="30"/>
      <c r="J426" s="30"/>
      <c r="K426" s="30"/>
      <c r="L426" s="30"/>
    </row>
    <row r="427" spans="1:12" hidden="1" x14ac:dyDescent="0.25">
      <c r="A427" s="30" t="s">
        <v>2529</v>
      </c>
      <c r="B427" s="8">
        <v>42161</v>
      </c>
      <c r="C427" s="30">
        <v>134</v>
      </c>
      <c r="D427" s="30">
        <v>1.2</v>
      </c>
      <c r="E427" s="30">
        <v>36.069092060899997</v>
      </c>
      <c r="F427" s="30">
        <v>-9.8658595785000003</v>
      </c>
      <c r="G427" s="30">
        <v>-4.8</v>
      </c>
      <c r="H427" s="30">
        <f t="shared" si="10"/>
        <v>6</v>
      </c>
      <c r="I427" s="30"/>
      <c r="J427" s="30"/>
      <c r="K427" s="30"/>
      <c r="L427" s="30"/>
    </row>
    <row r="428" spans="1:12" hidden="1" x14ac:dyDescent="0.25">
      <c r="A428" s="30" t="s">
        <v>2530</v>
      </c>
      <c r="B428" s="8">
        <v>42161</v>
      </c>
      <c r="C428" s="30">
        <v>110</v>
      </c>
      <c r="D428" s="30">
        <v>29.25</v>
      </c>
      <c r="E428" s="30">
        <v>36.728443280199997</v>
      </c>
      <c r="F428" s="30">
        <v>-8.1657950603000007</v>
      </c>
      <c r="G428" s="30">
        <v>-0.5</v>
      </c>
      <c r="H428" s="30">
        <f t="shared" si="10"/>
        <v>29.75</v>
      </c>
      <c r="I428" s="30"/>
      <c r="J428" s="30"/>
      <c r="K428" s="30"/>
      <c r="L428" s="30"/>
    </row>
    <row r="429" spans="1:12" hidden="1" x14ac:dyDescent="0.25">
      <c r="A429" s="30" t="s">
        <v>2531</v>
      </c>
      <c r="B429" s="8">
        <v>42161</v>
      </c>
      <c r="C429" s="30">
        <v>153</v>
      </c>
      <c r="D429" s="30">
        <v>33</v>
      </c>
      <c r="E429" s="30">
        <v>34.867184830500001</v>
      </c>
      <c r="F429" s="30">
        <v>-9.5509851815599998</v>
      </c>
      <c r="G429" s="30">
        <v>2.5</v>
      </c>
      <c r="H429" s="30">
        <f t="shared" si="10"/>
        <v>30.5</v>
      </c>
      <c r="I429" s="30"/>
      <c r="J429" s="30"/>
      <c r="K429" s="30"/>
      <c r="L429" s="30"/>
    </row>
    <row r="430" spans="1:12" hidden="1" x14ac:dyDescent="0.25">
      <c r="A430" s="30" t="s">
        <v>2532</v>
      </c>
      <c r="B430" s="8">
        <v>42162</v>
      </c>
      <c r="C430" s="30">
        <v>90</v>
      </c>
      <c r="D430" s="30">
        <v>26.25</v>
      </c>
      <c r="E430" s="30">
        <v>36.496616889999999</v>
      </c>
      <c r="F430" s="30">
        <v>-2.28603651281</v>
      </c>
      <c r="G430" s="30">
        <v>19</v>
      </c>
      <c r="H430" s="30">
        <f t="shared" si="10"/>
        <v>7.25</v>
      </c>
      <c r="I430" s="30"/>
      <c r="J430" s="30"/>
      <c r="K430" s="30"/>
      <c r="L430" s="30"/>
    </row>
    <row r="431" spans="1:12" hidden="1" x14ac:dyDescent="0.25">
      <c r="A431" s="30" t="s">
        <v>2533</v>
      </c>
      <c r="B431" s="8">
        <v>42163</v>
      </c>
      <c r="C431" s="30">
        <v>146</v>
      </c>
      <c r="D431" s="30">
        <v>40.25</v>
      </c>
      <c r="E431" s="30">
        <v>37.217365942699999</v>
      </c>
      <c r="F431" s="30">
        <v>-4.1724131826399997</v>
      </c>
      <c r="G431" s="30">
        <v>25</v>
      </c>
      <c r="H431" s="30">
        <f t="shared" ref="H431:H439" si="11">D431-G431</f>
        <v>15.25</v>
      </c>
      <c r="I431" s="30"/>
      <c r="J431" s="30"/>
      <c r="K431" s="30"/>
      <c r="L431" s="30"/>
    </row>
    <row r="432" spans="1:12" hidden="1" x14ac:dyDescent="0.25">
      <c r="A432" s="30" t="s">
        <v>2535</v>
      </c>
      <c r="B432" s="8">
        <v>42164</v>
      </c>
      <c r="C432" s="30">
        <v>280</v>
      </c>
      <c r="D432" s="30">
        <v>33.700000000000003</v>
      </c>
      <c r="E432" s="30">
        <v>38.474636744999998</v>
      </c>
      <c r="F432" s="30">
        <v>-1.72493019779</v>
      </c>
      <c r="G432" s="30">
        <v>9.1999999999999993</v>
      </c>
      <c r="H432" s="30">
        <f t="shared" si="11"/>
        <v>24.500000000000004</v>
      </c>
      <c r="I432" s="30"/>
      <c r="J432" s="30"/>
      <c r="K432" s="30"/>
      <c r="L432" s="30"/>
    </row>
    <row r="433" spans="1:12" hidden="1" x14ac:dyDescent="0.25">
      <c r="A433" s="30" t="s">
        <v>2536</v>
      </c>
      <c r="B433" s="8">
        <v>42165</v>
      </c>
      <c r="C433" s="30">
        <v>280</v>
      </c>
      <c r="D433" s="30">
        <v>34.75</v>
      </c>
      <c r="E433" s="30">
        <v>38.192586450199997</v>
      </c>
      <c r="F433" s="30">
        <v>-1.24760195539</v>
      </c>
      <c r="G433" s="30">
        <v>15</v>
      </c>
      <c r="H433" s="30">
        <f t="shared" si="11"/>
        <v>19.75</v>
      </c>
      <c r="I433" s="30"/>
      <c r="J433" s="30"/>
      <c r="K433" s="30"/>
      <c r="L433" s="30"/>
    </row>
    <row r="434" spans="1:12" hidden="1" x14ac:dyDescent="0.25">
      <c r="A434" s="30" t="s">
        <v>2537</v>
      </c>
      <c r="B434" s="8">
        <v>42165</v>
      </c>
      <c r="C434" s="30">
        <v>205</v>
      </c>
      <c r="D434" s="30">
        <v>49</v>
      </c>
      <c r="E434" s="30">
        <v>37.349081020500002</v>
      </c>
      <c r="F434" s="30">
        <v>-0.42198059923300002</v>
      </c>
      <c r="G434" s="30">
        <v>15</v>
      </c>
      <c r="H434" s="30">
        <f t="shared" si="11"/>
        <v>34</v>
      </c>
      <c r="I434" s="30"/>
      <c r="J434" s="30"/>
      <c r="K434" s="30"/>
      <c r="L434" s="30"/>
    </row>
    <row r="435" spans="1:12" hidden="1" x14ac:dyDescent="0.25">
      <c r="A435" s="30" t="s">
        <v>2538</v>
      </c>
      <c r="B435" s="8">
        <v>42165</v>
      </c>
      <c r="C435" s="30">
        <v>57</v>
      </c>
      <c r="D435" s="30">
        <v>26.5</v>
      </c>
      <c r="E435" s="30">
        <v>30.771197294499999</v>
      </c>
      <c r="F435" s="30">
        <v>-0.69021273048499998</v>
      </c>
      <c r="G435" s="30">
        <v>8</v>
      </c>
      <c r="H435" s="30">
        <f t="shared" si="11"/>
        <v>18.5</v>
      </c>
      <c r="I435" s="30"/>
      <c r="J435" s="30"/>
      <c r="K435" s="30"/>
      <c r="L435" s="30"/>
    </row>
    <row r="436" spans="1:12" hidden="1" x14ac:dyDescent="0.25">
      <c r="A436" s="30" t="s">
        <v>2539</v>
      </c>
      <c r="B436" s="8">
        <v>42166</v>
      </c>
      <c r="C436" s="30">
        <v>106</v>
      </c>
      <c r="D436" s="30">
        <v>40.75</v>
      </c>
      <c r="E436" s="30">
        <v>34.691315808100001</v>
      </c>
      <c r="F436" s="30">
        <v>-4.89780754449</v>
      </c>
      <c r="G436" s="30">
        <v>16</v>
      </c>
      <c r="H436" s="30">
        <f t="shared" si="11"/>
        <v>24.75</v>
      </c>
      <c r="I436" s="30"/>
      <c r="J436" s="30"/>
      <c r="K436" s="30"/>
      <c r="L436" s="30"/>
    </row>
    <row r="437" spans="1:12" hidden="1" x14ac:dyDescent="0.25">
      <c r="A437" s="30" t="s">
        <v>2540</v>
      </c>
      <c r="B437" s="8">
        <v>42166</v>
      </c>
      <c r="C437" s="30">
        <v>33</v>
      </c>
      <c r="D437" s="30">
        <v>34.5</v>
      </c>
      <c r="E437" s="30">
        <v>32.242975395099997</v>
      </c>
      <c r="F437" s="30">
        <v>-4.2011047449800003</v>
      </c>
      <c r="G437" s="30">
        <v>11</v>
      </c>
      <c r="H437" s="30">
        <f t="shared" si="11"/>
        <v>23.5</v>
      </c>
      <c r="I437" s="30"/>
      <c r="J437" s="30"/>
      <c r="K437" s="30"/>
      <c r="L437" s="30"/>
    </row>
    <row r="438" spans="1:12" hidden="1" x14ac:dyDescent="0.25">
      <c r="A438" s="30" t="s">
        <v>2541</v>
      </c>
      <c r="B438" s="8">
        <v>42167</v>
      </c>
      <c r="C438" s="30">
        <v>277</v>
      </c>
      <c r="D438" s="30">
        <v>28.2</v>
      </c>
      <c r="E438" s="30">
        <v>39.358306583299999</v>
      </c>
      <c r="F438" s="30">
        <v>-0.33305589412699999</v>
      </c>
      <c r="G438" s="30">
        <v>-0.5</v>
      </c>
      <c r="H438" s="30">
        <f t="shared" si="11"/>
        <v>28.7</v>
      </c>
      <c r="I438" s="30"/>
      <c r="J438" s="30"/>
      <c r="K438" s="30"/>
      <c r="L438" s="30"/>
    </row>
    <row r="439" spans="1:12" hidden="1" x14ac:dyDescent="0.25">
      <c r="A439" s="30" t="s">
        <v>2544</v>
      </c>
      <c r="B439" s="8">
        <v>42167</v>
      </c>
      <c r="C439" s="30">
        <v>261</v>
      </c>
      <c r="D439" s="30">
        <v>35.200000000000003</v>
      </c>
      <c r="E439" s="30">
        <v>38.610321188500002</v>
      </c>
      <c r="F439" s="30">
        <v>-0.34696423156</v>
      </c>
      <c r="G439" s="30">
        <v>-0.5</v>
      </c>
      <c r="H439" s="30">
        <f t="shared" si="11"/>
        <v>35.700000000000003</v>
      </c>
      <c r="I439" s="30"/>
      <c r="J439" s="30"/>
      <c r="K439" s="30"/>
      <c r="L439" s="30"/>
    </row>
    <row r="440" spans="1:12" hidden="1" x14ac:dyDescent="0.25"/>
    <row r="441" spans="1:12" ht="15.75" hidden="1" thickBot="1" x14ac:dyDescent="0.3"/>
    <row r="442" spans="1:12" hidden="1" x14ac:dyDescent="0.25">
      <c r="A442" s="37" t="s">
        <v>1987</v>
      </c>
      <c r="B442" s="38" t="s">
        <v>311</v>
      </c>
      <c r="C442" s="38" t="s">
        <v>1545</v>
      </c>
      <c r="D442" s="38" t="s">
        <v>1527</v>
      </c>
      <c r="E442" s="38" t="s">
        <v>1546</v>
      </c>
      <c r="F442" s="38" t="s">
        <v>1547</v>
      </c>
      <c r="G442" s="40" t="s">
        <v>1861</v>
      </c>
      <c r="H442" s="38" t="s">
        <v>1862</v>
      </c>
      <c r="I442" s="65" t="s">
        <v>1989</v>
      </c>
      <c r="J442" s="66" t="s">
        <v>1990</v>
      </c>
      <c r="K442" s="67" t="s">
        <v>1991</v>
      </c>
    </row>
    <row r="443" spans="1:12" ht="15.75" hidden="1" thickBot="1" x14ac:dyDescent="0.3">
      <c r="A443" t="s">
        <v>1864</v>
      </c>
      <c r="B443" s="8">
        <v>42138</v>
      </c>
      <c r="C443">
        <v>1</v>
      </c>
      <c r="D443">
        <v>33</v>
      </c>
      <c r="E443">
        <v>38.869267744299997</v>
      </c>
      <c r="F443">
        <v>-3.8423629850099998</v>
      </c>
      <c r="G443">
        <v>14</v>
      </c>
      <c r="H443" s="30">
        <f t="shared" ref="H443:H506" si="12">D443-G443</f>
        <v>19</v>
      </c>
      <c r="I443" s="62">
        <f>AVERAGE(D443:D516)</f>
        <v>32.868243243243242</v>
      </c>
      <c r="J443" s="63">
        <f>_xlfn.STDEV.P(D443:D516)</f>
        <v>12.005512738029765</v>
      </c>
      <c r="K443" s="64">
        <f>MEDIAN(D443:D516)</f>
        <v>31.75</v>
      </c>
    </row>
    <row r="444" spans="1:12" hidden="1" x14ac:dyDescent="0.25">
      <c r="A444" t="s">
        <v>1865</v>
      </c>
      <c r="B444" s="8">
        <v>42138</v>
      </c>
      <c r="C444">
        <v>94</v>
      </c>
      <c r="D444">
        <v>44.5</v>
      </c>
      <c r="E444">
        <v>34.389431602899997</v>
      </c>
      <c r="F444">
        <v>-8.8995921137899998</v>
      </c>
      <c r="G444">
        <v>18</v>
      </c>
      <c r="H444" s="30">
        <f t="shared" si="12"/>
        <v>26.5</v>
      </c>
    </row>
    <row r="445" spans="1:12" hidden="1" x14ac:dyDescent="0.25">
      <c r="A445" t="s">
        <v>1866</v>
      </c>
      <c r="B445" s="8">
        <v>42138</v>
      </c>
      <c r="C445">
        <v>113</v>
      </c>
      <c r="D445">
        <v>23.75</v>
      </c>
      <c r="E445">
        <v>36.9499138539</v>
      </c>
      <c r="F445">
        <v>-2.3193328579500001</v>
      </c>
      <c r="G445">
        <v>14</v>
      </c>
      <c r="H445" s="30">
        <f t="shared" si="12"/>
        <v>9.75</v>
      </c>
    </row>
    <row r="446" spans="1:12" hidden="1" x14ac:dyDescent="0.25">
      <c r="A446" t="s">
        <v>1867</v>
      </c>
      <c r="B446" s="8">
        <v>42138</v>
      </c>
      <c r="C446">
        <v>37</v>
      </c>
      <c r="D446">
        <v>25.35</v>
      </c>
      <c r="E446">
        <v>30.522086870100001</v>
      </c>
      <c r="F446">
        <v>-8.4385625212900006</v>
      </c>
      <c r="G446">
        <v>-0.75</v>
      </c>
      <c r="H446" s="30">
        <f t="shared" si="12"/>
        <v>26.1</v>
      </c>
    </row>
    <row r="447" spans="1:12" hidden="1" x14ac:dyDescent="0.25">
      <c r="A447" t="s">
        <v>1789</v>
      </c>
      <c r="B447" s="8">
        <v>42139</v>
      </c>
      <c r="C447">
        <v>279</v>
      </c>
      <c r="D447">
        <v>56.95</v>
      </c>
      <c r="E447">
        <v>40.764881138200003</v>
      </c>
      <c r="F447">
        <v>-3.9136702058599999</v>
      </c>
      <c r="G447">
        <v>1.75</v>
      </c>
      <c r="H447" s="30">
        <f t="shared" si="12"/>
        <v>55.2</v>
      </c>
    </row>
    <row r="448" spans="1:12" hidden="1" x14ac:dyDescent="0.25">
      <c r="A448" t="s">
        <v>1790</v>
      </c>
      <c r="B448" s="8">
        <v>42139</v>
      </c>
      <c r="C448">
        <v>262</v>
      </c>
      <c r="D448">
        <v>59.2</v>
      </c>
      <c r="E448">
        <v>39.993857119899999</v>
      </c>
      <c r="F448">
        <v>-3.99106605382</v>
      </c>
      <c r="G448">
        <v>1.75</v>
      </c>
      <c r="H448" s="30">
        <f t="shared" si="12"/>
        <v>57.45</v>
      </c>
    </row>
    <row r="449" spans="1:8" hidden="1" x14ac:dyDescent="0.25">
      <c r="A449" t="s">
        <v>1868</v>
      </c>
      <c r="B449" s="8">
        <v>42140</v>
      </c>
      <c r="C449">
        <v>275</v>
      </c>
      <c r="D449">
        <v>25.7</v>
      </c>
      <c r="E449">
        <v>40.736857384799997</v>
      </c>
      <c r="F449">
        <v>-2.6031546635099998</v>
      </c>
      <c r="G449">
        <v>3.2</v>
      </c>
      <c r="H449" s="30">
        <f t="shared" si="12"/>
        <v>22.5</v>
      </c>
    </row>
    <row r="450" spans="1:8" hidden="1" x14ac:dyDescent="0.25">
      <c r="A450" t="s">
        <v>1792</v>
      </c>
      <c r="B450" s="8">
        <v>42140</v>
      </c>
      <c r="C450">
        <v>71</v>
      </c>
      <c r="D450">
        <v>37.5</v>
      </c>
      <c r="E450">
        <v>37.958759217400001</v>
      </c>
      <c r="F450">
        <v>-4.4466695000599996</v>
      </c>
      <c r="G450">
        <v>1</v>
      </c>
      <c r="H450" s="30">
        <f t="shared" si="12"/>
        <v>36.5</v>
      </c>
    </row>
    <row r="451" spans="1:8" hidden="1" x14ac:dyDescent="0.25">
      <c r="A451" t="s">
        <v>1869</v>
      </c>
      <c r="B451" s="8">
        <v>42140</v>
      </c>
      <c r="C451">
        <v>204</v>
      </c>
      <c r="D451">
        <v>26.95</v>
      </c>
      <c r="E451">
        <v>39.160339757099997</v>
      </c>
      <c r="F451">
        <v>-2.29238121185</v>
      </c>
      <c r="G451">
        <v>3.2</v>
      </c>
      <c r="H451" s="30">
        <f t="shared" si="12"/>
        <v>23.75</v>
      </c>
    </row>
    <row r="452" spans="1:8" hidden="1" x14ac:dyDescent="0.25">
      <c r="A452" t="s">
        <v>1870</v>
      </c>
      <c r="B452" s="8">
        <v>42141</v>
      </c>
      <c r="C452">
        <v>279</v>
      </c>
      <c r="D452">
        <v>29</v>
      </c>
      <c r="E452">
        <v>44.598035766499997</v>
      </c>
      <c r="F452">
        <v>-1.2632806811799999</v>
      </c>
      <c r="G452">
        <v>13</v>
      </c>
      <c r="H452" s="30">
        <f t="shared" si="12"/>
        <v>16</v>
      </c>
    </row>
    <row r="453" spans="1:8" hidden="1" x14ac:dyDescent="0.25">
      <c r="A453" t="s">
        <v>1871</v>
      </c>
      <c r="B453" s="8">
        <v>42141</v>
      </c>
      <c r="C453">
        <v>97</v>
      </c>
      <c r="D453">
        <v>28.5</v>
      </c>
      <c r="E453">
        <v>43.6028324563</v>
      </c>
      <c r="F453">
        <v>-1.52777036622</v>
      </c>
      <c r="G453">
        <v>13</v>
      </c>
      <c r="H453" s="30">
        <f t="shared" si="12"/>
        <v>15.5</v>
      </c>
    </row>
    <row r="454" spans="1:8" hidden="1" x14ac:dyDescent="0.25">
      <c r="A454" t="s">
        <v>1872</v>
      </c>
      <c r="B454" s="8">
        <v>42141</v>
      </c>
      <c r="C454">
        <v>187</v>
      </c>
      <c r="D454">
        <v>26.5</v>
      </c>
      <c r="E454">
        <v>44.252298805999999</v>
      </c>
      <c r="F454">
        <v>-1.34411215657</v>
      </c>
      <c r="G454">
        <v>13</v>
      </c>
      <c r="H454" s="30">
        <f t="shared" si="12"/>
        <v>13.5</v>
      </c>
    </row>
    <row r="455" spans="1:8" hidden="1" x14ac:dyDescent="0.25">
      <c r="A455" t="s">
        <v>1873</v>
      </c>
      <c r="B455" s="8">
        <v>42141</v>
      </c>
      <c r="C455">
        <v>92</v>
      </c>
      <c r="D455">
        <v>49.85</v>
      </c>
      <c r="E455">
        <v>35.718815829699999</v>
      </c>
      <c r="F455">
        <v>-3.0207946751899999</v>
      </c>
      <c r="G455">
        <v>1.75</v>
      </c>
      <c r="H455" s="30">
        <f t="shared" si="12"/>
        <v>48.1</v>
      </c>
    </row>
    <row r="456" spans="1:8" hidden="1" x14ac:dyDescent="0.25">
      <c r="A456" t="s">
        <v>1874</v>
      </c>
      <c r="B456" s="8">
        <v>42142</v>
      </c>
      <c r="C456">
        <v>130</v>
      </c>
      <c r="D456">
        <v>41</v>
      </c>
      <c r="E456">
        <v>37.1907781767</v>
      </c>
      <c r="F456">
        <v>-4.0411383457100003</v>
      </c>
      <c r="G456">
        <v>20</v>
      </c>
      <c r="H456" s="30">
        <f t="shared" si="12"/>
        <v>21</v>
      </c>
    </row>
    <row r="457" spans="1:8" hidden="1" x14ac:dyDescent="0.25">
      <c r="A457" t="s">
        <v>1875</v>
      </c>
      <c r="B457" s="8">
        <v>42142</v>
      </c>
      <c r="C457">
        <v>110</v>
      </c>
      <c r="D457">
        <v>21.25</v>
      </c>
      <c r="E457">
        <v>36.801143082300001</v>
      </c>
      <c r="F457">
        <v>-3.72090931336</v>
      </c>
      <c r="G457">
        <v>20</v>
      </c>
      <c r="H457" s="30">
        <f t="shared" si="12"/>
        <v>1.25</v>
      </c>
    </row>
    <row r="458" spans="1:8" hidden="1" x14ac:dyDescent="0.25">
      <c r="A458" t="s">
        <v>1876</v>
      </c>
      <c r="B458" s="8">
        <v>42137</v>
      </c>
      <c r="C458">
        <v>39</v>
      </c>
      <c r="D458">
        <v>24.75</v>
      </c>
      <c r="E458">
        <v>31.286248106599999</v>
      </c>
      <c r="F458">
        <v>-3.6353103647</v>
      </c>
      <c r="G458">
        <v>18</v>
      </c>
      <c r="H458" s="30">
        <f t="shared" si="12"/>
        <v>6.75</v>
      </c>
    </row>
    <row r="459" spans="1:8" hidden="1" x14ac:dyDescent="0.25">
      <c r="A459" t="s">
        <v>1877</v>
      </c>
      <c r="B459" s="8">
        <v>42136</v>
      </c>
      <c r="C459">
        <v>278</v>
      </c>
      <c r="D459">
        <v>29.95</v>
      </c>
      <c r="E459">
        <v>39.076878812499999</v>
      </c>
      <c r="F459">
        <v>-3.01339359358</v>
      </c>
      <c r="G459">
        <v>4.2</v>
      </c>
      <c r="H459" s="30">
        <f t="shared" si="12"/>
        <v>25.75</v>
      </c>
    </row>
    <row r="460" spans="1:8" hidden="1" x14ac:dyDescent="0.25">
      <c r="A460" t="s">
        <v>1878</v>
      </c>
      <c r="B460" s="8">
        <v>42136</v>
      </c>
      <c r="C460">
        <v>258</v>
      </c>
      <c r="D460">
        <v>30.2</v>
      </c>
      <c r="E460">
        <v>38.645465598199998</v>
      </c>
      <c r="F460">
        <v>-3.89259028686</v>
      </c>
      <c r="G460">
        <v>4.2</v>
      </c>
      <c r="H460" s="30">
        <f t="shared" si="12"/>
        <v>26</v>
      </c>
    </row>
    <row r="461" spans="1:8" hidden="1" x14ac:dyDescent="0.25">
      <c r="A461" t="s">
        <v>1879</v>
      </c>
      <c r="B461" s="8">
        <v>42136</v>
      </c>
      <c r="C461">
        <v>113</v>
      </c>
      <c r="D461">
        <v>42.25</v>
      </c>
      <c r="E461">
        <v>36.411106434600001</v>
      </c>
      <c r="F461">
        <v>-1.8657605588799999</v>
      </c>
      <c r="G461">
        <v>19</v>
      </c>
      <c r="H461" s="30">
        <f t="shared" si="12"/>
        <v>23.25</v>
      </c>
    </row>
    <row r="462" spans="1:8" hidden="1" x14ac:dyDescent="0.25">
      <c r="A462" t="s">
        <v>1880</v>
      </c>
      <c r="B462" s="8">
        <v>42136</v>
      </c>
      <c r="C462">
        <v>92</v>
      </c>
      <c r="D462">
        <v>41.95</v>
      </c>
      <c r="E462">
        <v>35.1282471946</v>
      </c>
      <c r="F462">
        <v>-3.2319938233899999</v>
      </c>
      <c r="G462">
        <v>4.2</v>
      </c>
      <c r="H462" s="30">
        <f t="shared" si="12"/>
        <v>37.75</v>
      </c>
    </row>
    <row r="463" spans="1:8" hidden="1" x14ac:dyDescent="0.25">
      <c r="A463" t="s">
        <v>1881</v>
      </c>
      <c r="B463" s="8">
        <v>42136</v>
      </c>
      <c r="C463">
        <v>73</v>
      </c>
      <c r="D463">
        <v>37.75</v>
      </c>
      <c r="E463">
        <v>35.7350491009</v>
      </c>
      <c r="F463">
        <v>-3.5875402870699999</v>
      </c>
      <c r="G463">
        <v>21</v>
      </c>
      <c r="H463" s="30">
        <f t="shared" si="12"/>
        <v>16.75</v>
      </c>
    </row>
    <row r="464" spans="1:8" hidden="1" x14ac:dyDescent="0.25">
      <c r="A464" t="s">
        <v>1882</v>
      </c>
      <c r="B464" s="8">
        <v>42135</v>
      </c>
      <c r="C464">
        <v>184</v>
      </c>
      <c r="D464">
        <v>33.5</v>
      </c>
      <c r="E464">
        <v>39.720238173600002</v>
      </c>
      <c r="F464">
        <v>-1.1126924113700001</v>
      </c>
      <c r="G464">
        <v>13</v>
      </c>
      <c r="H464" s="30">
        <f t="shared" si="12"/>
        <v>20.5</v>
      </c>
    </row>
    <row r="465" spans="1:8" hidden="1" x14ac:dyDescent="0.25">
      <c r="A465" t="s">
        <v>1768</v>
      </c>
      <c r="B465" s="8">
        <v>42135</v>
      </c>
      <c r="C465">
        <v>55</v>
      </c>
      <c r="D465">
        <v>33.75</v>
      </c>
      <c r="E465">
        <v>33.195511224900002</v>
      </c>
      <c r="F465">
        <v>-7.8939428914700001</v>
      </c>
      <c r="G465">
        <v>2.5</v>
      </c>
      <c r="H465" s="30">
        <f t="shared" si="12"/>
        <v>31.25</v>
      </c>
    </row>
    <row r="466" spans="1:8" hidden="1" x14ac:dyDescent="0.25">
      <c r="A466" t="s">
        <v>1883</v>
      </c>
      <c r="B466" s="8">
        <v>42135</v>
      </c>
      <c r="C466">
        <v>37</v>
      </c>
      <c r="D466">
        <v>32</v>
      </c>
      <c r="E466">
        <v>34.186049687199997</v>
      </c>
      <c r="F466">
        <v>-1.39705209751</v>
      </c>
      <c r="G466">
        <v>13</v>
      </c>
      <c r="H466" s="30">
        <f t="shared" si="12"/>
        <v>19</v>
      </c>
    </row>
    <row r="467" spans="1:8" hidden="1" x14ac:dyDescent="0.25">
      <c r="A467" t="s">
        <v>1849</v>
      </c>
      <c r="B467" s="8">
        <v>42134</v>
      </c>
      <c r="C467">
        <v>280</v>
      </c>
      <c r="D467">
        <v>30.5</v>
      </c>
      <c r="E467">
        <v>43.018436863700003</v>
      </c>
      <c r="F467">
        <v>-2.1488701692699999</v>
      </c>
      <c r="G467">
        <v>11</v>
      </c>
      <c r="H467" s="30">
        <f t="shared" si="12"/>
        <v>19.5</v>
      </c>
    </row>
    <row r="468" spans="1:8" hidden="1" x14ac:dyDescent="0.25">
      <c r="A468" t="s">
        <v>1771</v>
      </c>
      <c r="B468" s="8">
        <v>42134</v>
      </c>
      <c r="C468">
        <v>169</v>
      </c>
      <c r="D468">
        <v>26.75</v>
      </c>
      <c r="E468">
        <v>41.773882227500003</v>
      </c>
      <c r="F468">
        <v>-1.91604617278</v>
      </c>
      <c r="G468">
        <v>11</v>
      </c>
      <c r="H468" s="30">
        <f t="shared" si="12"/>
        <v>15.75</v>
      </c>
    </row>
    <row r="469" spans="1:8" hidden="1" x14ac:dyDescent="0.25">
      <c r="A469" t="s">
        <v>1884</v>
      </c>
      <c r="B469" s="8">
        <v>42134</v>
      </c>
      <c r="C469">
        <v>91</v>
      </c>
      <c r="D469">
        <v>33.450000000000003</v>
      </c>
      <c r="E469">
        <v>36.2008443908</v>
      </c>
      <c r="F469">
        <v>-2.0490280029100001</v>
      </c>
      <c r="G469">
        <v>-0.75</v>
      </c>
      <c r="H469" s="30">
        <f t="shared" si="12"/>
        <v>34.200000000000003</v>
      </c>
    </row>
    <row r="470" spans="1:8" hidden="1" x14ac:dyDescent="0.25">
      <c r="A470" t="s">
        <v>1885</v>
      </c>
      <c r="B470" s="8">
        <v>42133</v>
      </c>
      <c r="C470">
        <v>158</v>
      </c>
      <c r="D470">
        <v>39.6</v>
      </c>
      <c r="E470">
        <v>36.965316792400003</v>
      </c>
      <c r="F470">
        <v>-8.3087678041200004</v>
      </c>
      <c r="G470">
        <v>15.1</v>
      </c>
      <c r="H470" s="30">
        <f t="shared" si="12"/>
        <v>24.5</v>
      </c>
    </row>
    <row r="471" spans="1:8" hidden="1" x14ac:dyDescent="0.25">
      <c r="A471" t="s">
        <v>1772</v>
      </c>
      <c r="B471" s="8">
        <v>42133</v>
      </c>
      <c r="C471">
        <v>57</v>
      </c>
      <c r="D471">
        <v>26.25</v>
      </c>
      <c r="E471">
        <v>33.540261057599999</v>
      </c>
      <c r="F471">
        <v>-1.4592242662699999</v>
      </c>
      <c r="G471">
        <v>5</v>
      </c>
      <c r="H471" s="30">
        <f t="shared" si="12"/>
        <v>21.25</v>
      </c>
    </row>
    <row r="472" spans="1:8" hidden="1" x14ac:dyDescent="0.25">
      <c r="A472" t="s">
        <v>1809</v>
      </c>
      <c r="B472" s="8">
        <v>42132</v>
      </c>
      <c r="C472">
        <v>262</v>
      </c>
      <c r="D472">
        <v>21.6</v>
      </c>
      <c r="E472">
        <v>38.3488594863</v>
      </c>
      <c r="F472">
        <v>-3.1297507657299999</v>
      </c>
      <c r="G472">
        <v>3.1</v>
      </c>
      <c r="H472" s="30">
        <f t="shared" si="12"/>
        <v>18.5</v>
      </c>
    </row>
    <row r="473" spans="1:8" hidden="1" x14ac:dyDescent="0.25">
      <c r="A473" t="s">
        <v>1810</v>
      </c>
      <c r="B473" s="8">
        <v>42131</v>
      </c>
      <c r="C473">
        <v>112</v>
      </c>
      <c r="D473">
        <v>48.6</v>
      </c>
      <c r="E473">
        <v>34.319797257799998</v>
      </c>
      <c r="F473">
        <v>-1.46830665875</v>
      </c>
      <c r="G473">
        <v>12.1</v>
      </c>
      <c r="H473" s="30">
        <f t="shared" si="12"/>
        <v>36.5</v>
      </c>
    </row>
    <row r="474" spans="1:8" hidden="1" x14ac:dyDescent="0.25">
      <c r="A474" t="s">
        <v>1886</v>
      </c>
      <c r="B474" s="8">
        <v>42130</v>
      </c>
      <c r="C474">
        <v>224</v>
      </c>
      <c r="D474">
        <v>42.1</v>
      </c>
      <c r="E474">
        <v>40.215927442599998</v>
      </c>
      <c r="F474">
        <v>-9.5996254939300005</v>
      </c>
      <c r="G474">
        <v>6.1</v>
      </c>
      <c r="H474" s="30">
        <f t="shared" si="12"/>
        <v>36</v>
      </c>
    </row>
    <row r="475" spans="1:8" hidden="1" x14ac:dyDescent="0.25">
      <c r="A475" t="s">
        <v>1887</v>
      </c>
      <c r="B475" s="8">
        <v>42129</v>
      </c>
      <c r="C475">
        <v>261</v>
      </c>
      <c r="D475">
        <v>17.75</v>
      </c>
      <c r="E475">
        <v>42.212895646699998</v>
      </c>
      <c r="F475">
        <v>-1.48771071758</v>
      </c>
      <c r="G475">
        <v>3</v>
      </c>
      <c r="H475" s="30">
        <f t="shared" si="12"/>
        <v>14.75</v>
      </c>
    </row>
    <row r="476" spans="1:8" hidden="1" x14ac:dyDescent="0.25">
      <c r="A476" t="s">
        <v>1813</v>
      </c>
      <c r="B476" s="8">
        <v>42128</v>
      </c>
      <c r="C476">
        <v>188</v>
      </c>
      <c r="D476">
        <v>27.6</v>
      </c>
      <c r="E476">
        <v>43.033264776400003</v>
      </c>
      <c r="F476">
        <v>-8.8883315147099999</v>
      </c>
      <c r="G476">
        <v>-1</v>
      </c>
      <c r="H476" s="30">
        <f t="shared" si="12"/>
        <v>28.6</v>
      </c>
    </row>
    <row r="477" spans="1:8" hidden="1" x14ac:dyDescent="0.25">
      <c r="A477" t="s">
        <v>1888</v>
      </c>
      <c r="B477" s="8">
        <v>42128</v>
      </c>
      <c r="C477">
        <v>58</v>
      </c>
      <c r="D477">
        <v>32.25</v>
      </c>
      <c r="E477">
        <v>34.637517754800001</v>
      </c>
      <c r="F477">
        <v>-5.3866812103499999</v>
      </c>
      <c r="G477">
        <v>7</v>
      </c>
      <c r="H477" s="30">
        <f t="shared" si="12"/>
        <v>25.25</v>
      </c>
    </row>
    <row r="478" spans="1:8" hidden="1" x14ac:dyDescent="0.25">
      <c r="A478" t="s">
        <v>1773</v>
      </c>
      <c r="B478" s="8">
        <v>42128</v>
      </c>
      <c r="C478">
        <v>38</v>
      </c>
      <c r="D478">
        <v>21.75</v>
      </c>
      <c r="E478">
        <v>34.206223446400003</v>
      </c>
      <c r="F478">
        <v>-1.8780386039600001</v>
      </c>
      <c r="G478">
        <v>18</v>
      </c>
      <c r="H478" s="30">
        <f t="shared" si="12"/>
        <v>3.75</v>
      </c>
    </row>
    <row r="479" spans="1:8" hidden="1" x14ac:dyDescent="0.25">
      <c r="A479" t="s">
        <v>1889</v>
      </c>
      <c r="B479" s="8">
        <v>42127</v>
      </c>
      <c r="C479">
        <v>73</v>
      </c>
      <c r="D479">
        <v>13.7</v>
      </c>
      <c r="E479">
        <v>33.5332249848</v>
      </c>
      <c r="F479">
        <v>-1.5156638118200001</v>
      </c>
      <c r="G479">
        <v>2.2000000000000002</v>
      </c>
      <c r="H479" s="30">
        <f t="shared" si="12"/>
        <v>11.5</v>
      </c>
    </row>
    <row r="480" spans="1:8" hidden="1" x14ac:dyDescent="0.25">
      <c r="A480" t="s">
        <v>1890</v>
      </c>
      <c r="B480" s="8">
        <v>42126</v>
      </c>
      <c r="C480">
        <v>279</v>
      </c>
      <c r="D480">
        <v>35.25</v>
      </c>
      <c r="E480">
        <v>47.059385601899997</v>
      </c>
      <c r="F480">
        <v>-6.6334967216300003</v>
      </c>
      <c r="G480">
        <v>7</v>
      </c>
      <c r="H480" s="30">
        <f t="shared" si="12"/>
        <v>28.25</v>
      </c>
    </row>
    <row r="481" spans="1:8" hidden="1" x14ac:dyDescent="0.25">
      <c r="A481" t="s">
        <v>1891</v>
      </c>
      <c r="B481" s="8">
        <v>42126</v>
      </c>
      <c r="C481">
        <v>129</v>
      </c>
      <c r="D481">
        <v>29</v>
      </c>
      <c r="E481">
        <v>46.338873632999999</v>
      </c>
      <c r="F481">
        <v>-6.6441261370699998</v>
      </c>
      <c r="G481">
        <v>7</v>
      </c>
      <c r="H481" s="30">
        <f t="shared" si="12"/>
        <v>22</v>
      </c>
    </row>
    <row r="482" spans="1:8" hidden="1" x14ac:dyDescent="0.25">
      <c r="A482" t="s">
        <v>1850</v>
      </c>
      <c r="B482" s="8">
        <v>42126</v>
      </c>
      <c r="C482">
        <v>150</v>
      </c>
      <c r="D482">
        <v>40.5</v>
      </c>
      <c r="E482">
        <v>37.189683580800001</v>
      </c>
      <c r="F482">
        <v>-4.0770265219199997</v>
      </c>
      <c r="G482">
        <v>15</v>
      </c>
      <c r="H482" s="30">
        <f t="shared" si="12"/>
        <v>25.5</v>
      </c>
    </row>
    <row r="483" spans="1:8" hidden="1" x14ac:dyDescent="0.25">
      <c r="A483" t="s">
        <v>1892</v>
      </c>
      <c r="B483" s="8">
        <v>42126</v>
      </c>
      <c r="C483">
        <v>54</v>
      </c>
      <c r="D483">
        <v>33.25</v>
      </c>
      <c r="E483">
        <v>40.4388593364</v>
      </c>
      <c r="F483">
        <v>-3.4447488721299999</v>
      </c>
      <c r="G483">
        <v>4</v>
      </c>
      <c r="H483" s="30">
        <f t="shared" si="12"/>
        <v>29.25</v>
      </c>
    </row>
    <row r="484" spans="1:8" hidden="1" x14ac:dyDescent="0.25">
      <c r="A484" t="s">
        <v>1893</v>
      </c>
      <c r="B484" s="8">
        <v>42125</v>
      </c>
      <c r="C484">
        <v>260</v>
      </c>
      <c r="D484">
        <v>18.25</v>
      </c>
      <c r="E484">
        <v>40.247271871999999</v>
      </c>
      <c r="F484">
        <v>-6.5681497666900004</v>
      </c>
      <c r="G484">
        <v>14</v>
      </c>
      <c r="H484" s="30">
        <f t="shared" si="12"/>
        <v>4.25</v>
      </c>
    </row>
    <row r="485" spans="1:8" hidden="1" x14ac:dyDescent="0.25">
      <c r="A485" t="s">
        <v>1821</v>
      </c>
      <c r="B485" s="8">
        <v>42125</v>
      </c>
      <c r="C485">
        <v>98</v>
      </c>
      <c r="D485">
        <v>12.5</v>
      </c>
      <c r="E485">
        <v>34.300666054300002</v>
      </c>
      <c r="F485">
        <v>-1.08573656029</v>
      </c>
      <c r="G485">
        <v>-0.5</v>
      </c>
      <c r="H485" s="30">
        <f t="shared" si="12"/>
        <v>13</v>
      </c>
    </row>
    <row r="486" spans="1:8" hidden="1" x14ac:dyDescent="0.25">
      <c r="A486" t="s">
        <v>1894</v>
      </c>
      <c r="B486" s="8">
        <v>42123</v>
      </c>
      <c r="C486">
        <v>146</v>
      </c>
      <c r="D486">
        <v>21.45</v>
      </c>
      <c r="E486">
        <v>37.178352649799997</v>
      </c>
      <c r="F486">
        <v>-3.5016086775100002</v>
      </c>
      <c r="G486">
        <v>12.2</v>
      </c>
      <c r="H486" s="30">
        <f t="shared" si="12"/>
        <v>9.25</v>
      </c>
    </row>
    <row r="487" spans="1:8" hidden="1" x14ac:dyDescent="0.25">
      <c r="A487" t="s">
        <v>1895</v>
      </c>
      <c r="B487" s="8">
        <v>42123</v>
      </c>
      <c r="C487">
        <v>58</v>
      </c>
      <c r="D487">
        <v>20.25</v>
      </c>
      <c r="E487">
        <v>35.729104426100001</v>
      </c>
      <c r="F487">
        <v>-4.2949061052799999</v>
      </c>
      <c r="G487">
        <v>13</v>
      </c>
      <c r="H487" s="30">
        <f t="shared" si="12"/>
        <v>7.25</v>
      </c>
    </row>
    <row r="488" spans="1:8" hidden="1" x14ac:dyDescent="0.25">
      <c r="A488" t="s">
        <v>1824</v>
      </c>
      <c r="B488" s="8">
        <v>42122</v>
      </c>
      <c r="C488">
        <v>219</v>
      </c>
      <c r="D488">
        <v>43</v>
      </c>
      <c r="E488">
        <v>40.1271964548</v>
      </c>
      <c r="F488">
        <v>1.1626511083E-2</v>
      </c>
      <c r="G488">
        <v>-0.5</v>
      </c>
      <c r="H488" s="30">
        <f t="shared" si="12"/>
        <v>43.5</v>
      </c>
    </row>
    <row r="489" spans="1:8" hidden="1" x14ac:dyDescent="0.25">
      <c r="A489" t="s">
        <v>1896</v>
      </c>
      <c r="B489" s="8">
        <v>42122</v>
      </c>
      <c r="C489">
        <v>113</v>
      </c>
      <c r="D489">
        <v>50.75</v>
      </c>
      <c r="E489">
        <v>35.786614766900001</v>
      </c>
      <c r="F489">
        <v>-2.4718443691499998</v>
      </c>
      <c r="G489">
        <v>16</v>
      </c>
      <c r="H489" s="30">
        <f t="shared" si="12"/>
        <v>34.75</v>
      </c>
    </row>
    <row r="490" spans="1:8" hidden="1" x14ac:dyDescent="0.25">
      <c r="A490" t="s">
        <v>1825</v>
      </c>
      <c r="B490" s="8">
        <v>42121</v>
      </c>
      <c r="C490">
        <v>241</v>
      </c>
      <c r="D490">
        <v>31.5</v>
      </c>
      <c r="E490">
        <v>40.365861795199997</v>
      </c>
      <c r="F490">
        <v>-8.4999790074400003</v>
      </c>
      <c r="G490">
        <v>-0.5</v>
      </c>
      <c r="H490" s="30">
        <f t="shared" si="12"/>
        <v>32</v>
      </c>
    </row>
    <row r="491" spans="1:8" hidden="1" x14ac:dyDescent="0.25">
      <c r="A491" t="s">
        <v>1826</v>
      </c>
      <c r="B491" s="8">
        <v>42121</v>
      </c>
      <c r="C491">
        <v>202</v>
      </c>
      <c r="D491">
        <v>34.35</v>
      </c>
      <c r="E491">
        <v>37.2627298831</v>
      </c>
      <c r="F491">
        <v>-7.7296727770300002</v>
      </c>
      <c r="G491">
        <v>14.1</v>
      </c>
      <c r="H491" s="30">
        <f t="shared" si="12"/>
        <v>20.25</v>
      </c>
    </row>
    <row r="492" spans="1:8" hidden="1" x14ac:dyDescent="0.25">
      <c r="A492" t="s">
        <v>1897</v>
      </c>
      <c r="B492" s="8">
        <v>42121</v>
      </c>
      <c r="C492">
        <v>112</v>
      </c>
      <c r="D492">
        <v>21.35</v>
      </c>
      <c r="E492">
        <v>39.061890468599998</v>
      </c>
      <c r="F492">
        <v>-9.6197410733499993</v>
      </c>
      <c r="G492">
        <v>7.1</v>
      </c>
      <c r="H492" s="30">
        <f t="shared" si="12"/>
        <v>14.250000000000002</v>
      </c>
    </row>
    <row r="493" spans="1:8" hidden="1" x14ac:dyDescent="0.25">
      <c r="A493" t="s">
        <v>1898</v>
      </c>
      <c r="B493" s="8">
        <v>42120</v>
      </c>
      <c r="C493">
        <v>266</v>
      </c>
      <c r="D493">
        <v>20</v>
      </c>
      <c r="E493">
        <v>51.910628580999997</v>
      </c>
      <c r="F493">
        <v>1.29820226485</v>
      </c>
      <c r="G493">
        <v>14</v>
      </c>
      <c r="H493" s="30">
        <f t="shared" si="12"/>
        <v>6</v>
      </c>
    </row>
    <row r="494" spans="1:8" hidden="1" x14ac:dyDescent="0.25">
      <c r="A494" t="s">
        <v>1899</v>
      </c>
      <c r="B494" s="8">
        <v>42120</v>
      </c>
      <c r="C494">
        <v>96</v>
      </c>
      <c r="D494">
        <v>37.1</v>
      </c>
      <c r="E494">
        <v>34.066799807300001</v>
      </c>
      <c r="F494">
        <v>-0.110068411654</v>
      </c>
      <c r="G494">
        <v>17.100000000000001</v>
      </c>
      <c r="H494" s="30">
        <f t="shared" si="12"/>
        <v>20</v>
      </c>
    </row>
    <row r="495" spans="1:8" hidden="1" x14ac:dyDescent="0.25">
      <c r="A495" t="s">
        <v>1775</v>
      </c>
      <c r="B495" s="8">
        <v>42119</v>
      </c>
      <c r="C495">
        <v>147</v>
      </c>
      <c r="D495">
        <v>38.5</v>
      </c>
      <c r="E495">
        <v>35.8243360337</v>
      </c>
      <c r="F495">
        <v>-0.87768847197699995</v>
      </c>
      <c r="G495">
        <v>-0.5</v>
      </c>
      <c r="H495" s="30">
        <f t="shared" si="12"/>
        <v>39</v>
      </c>
    </row>
    <row r="496" spans="1:8" hidden="1" x14ac:dyDescent="0.25">
      <c r="A496" t="s">
        <v>1900</v>
      </c>
      <c r="B496" s="8">
        <v>42119</v>
      </c>
      <c r="C496">
        <v>76</v>
      </c>
      <c r="D496">
        <v>36.75</v>
      </c>
      <c r="E496">
        <v>36.393198227799999</v>
      </c>
      <c r="F496">
        <v>-1.71935311353</v>
      </c>
      <c r="G496">
        <v>8</v>
      </c>
      <c r="H496" s="30">
        <f t="shared" si="12"/>
        <v>28.75</v>
      </c>
    </row>
    <row r="497" spans="1:8" hidden="1" x14ac:dyDescent="0.25">
      <c r="A497" t="s">
        <v>1776</v>
      </c>
      <c r="B497" s="8">
        <v>42118</v>
      </c>
      <c r="C497">
        <v>283</v>
      </c>
      <c r="D497">
        <v>47.2</v>
      </c>
      <c r="E497">
        <v>49.166899731000001</v>
      </c>
      <c r="F497">
        <v>-5.7869052484000001</v>
      </c>
      <c r="G497">
        <v>17.2</v>
      </c>
      <c r="H497" s="30">
        <f t="shared" si="12"/>
        <v>30.000000000000004</v>
      </c>
    </row>
    <row r="498" spans="1:8" hidden="1" x14ac:dyDescent="0.25">
      <c r="A498" t="s">
        <v>1901</v>
      </c>
      <c r="B498" s="8">
        <v>42118</v>
      </c>
      <c r="C498">
        <v>94</v>
      </c>
      <c r="D498">
        <v>21.95</v>
      </c>
      <c r="E498">
        <v>35.269085309200001</v>
      </c>
      <c r="F498">
        <v>-2.7423824006599999</v>
      </c>
      <c r="G498">
        <v>1.5</v>
      </c>
      <c r="H498" s="30">
        <f t="shared" si="12"/>
        <v>20.45</v>
      </c>
    </row>
    <row r="499" spans="1:8" hidden="1" x14ac:dyDescent="0.25">
      <c r="A499" t="s">
        <v>1902</v>
      </c>
      <c r="B499" s="8">
        <v>42118</v>
      </c>
      <c r="C499">
        <v>56</v>
      </c>
      <c r="D499">
        <v>34.25</v>
      </c>
      <c r="E499">
        <v>33.876591371400004</v>
      </c>
      <c r="F499">
        <v>-6.44391324401</v>
      </c>
      <c r="G499">
        <v>9</v>
      </c>
      <c r="H499" s="30">
        <f t="shared" si="12"/>
        <v>25.25</v>
      </c>
    </row>
    <row r="500" spans="1:8" hidden="1" x14ac:dyDescent="0.25">
      <c r="A500" t="s">
        <v>1903</v>
      </c>
      <c r="B500" s="8">
        <v>42117</v>
      </c>
      <c r="C500">
        <v>53</v>
      </c>
      <c r="D500">
        <v>28.25</v>
      </c>
      <c r="E500">
        <v>33.274609925599997</v>
      </c>
      <c r="F500">
        <v>-7.7001506065200003</v>
      </c>
      <c r="G500">
        <v>10</v>
      </c>
      <c r="H500" s="30">
        <f t="shared" si="12"/>
        <v>18.25</v>
      </c>
    </row>
    <row r="501" spans="1:8" hidden="1" x14ac:dyDescent="0.25">
      <c r="A501" t="s">
        <v>1778</v>
      </c>
      <c r="B501" s="8">
        <v>42117</v>
      </c>
      <c r="C501">
        <v>79</v>
      </c>
      <c r="D501">
        <v>18.5</v>
      </c>
      <c r="E501">
        <v>35.055674310999997</v>
      </c>
      <c r="F501">
        <v>-2.6640079940799999</v>
      </c>
      <c r="G501">
        <v>7</v>
      </c>
      <c r="H501" s="30">
        <f t="shared" si="12"/>
        <v>11.5</v>
      </c>
    </row>
    <row r="502" spans="1:8" hidden="1" x14ac:dyDescent="0.25">
      <c r="A502" t="s">
        <v>1835</v>
      </c>
      <c r="B502" s="8">
        <v>42116</v>
      </c>
      <c r="C502">
        <v>280</v>
      </c>
      <c r="D502">
        <v>31.75</v>
      </c>
      <c r="E502">
        <v>37.8447070733</v>
      </c>
      <c r="F502">
        <v>-0.58109330865200004</v>
      </c>
      <c r="G502">
        <v>-0.5</v>
      </c>
      <c r="H502" s="30">
        <f t="shared" si="12"/>
        <v>32.25</v>
      </c>
    </row>
    <row r="503" spans="1:8" hidden="1" x14ac:dyDescent="0.25">
      <c r="A503" t="s">
        <v>1835</v>
      </c>
      <c r="B503" s="8">
        <v>42116</v>
      </c>
      <c r="C503">
        <v>260</v>
      </c>
      <c r="D503">
        <v>31.75</v>
      </c>
      <c r="E503">
        <v>37.8447070733</v>
      </c>
      <c r="F503">
        <v>-0.58109330865200004</v>
      </c>
      <c r="G503">
        <v>-0.5</v>
      </c>
      <c r="H503" s="30">
        <f t="shared" si="12"/>
        <v>32.25</v>
      </c>
    </row>
    <row r="504" spans="1:8" hidden="1" x14ac:dyDescent="0.25">
      <c r="A504" t="s">
        <v>1779</v>
      </c>
      <c r="B504" s="8">
        <v>42116</v>
      </c>
      <c r="C504">
        <v>74</v>
      </c>
      <c r="D504">
        <v>31.5</v>
      </c>
      <c r="E504">
        <v>34.966042733899997</v>
      </c>
      <c r="F504">
        <v>-3.06621528251</v>
      </c>
      <c r="G504">
        <v>-0.5</v>
      </c>
      <c r="H504" s="30">
        <f t="shared" si="12"/>
        <v>32</v>
      </c>
    </row>
    <row r="505" spans="1:8" hidden="1" x14ac:dyDescent="0.25">
      <c r="A505" t="s">
        <v>1904</v>
      </c>
      <c r="B505" s="8">
        <v>42116</v>
      </c>
      <c r="C505">
        <v>55</v>
      </c>
      <c r="D505">
        <v>34</v>
      </c>
      <c r="E505">
        <v>35.034045390300001</v>
      </c>
      <c r="F505">
        <v>-2.6472679347599999</v>
      </c>
      <c r="G505">
        <v>19</v>
      </c>
      <c r="H505" s="30">
        <f t="shared" si="12"/>
        <v>15</v>
      </c>
    </row>
    <row r="506" spans="1:8" hidden="1" x14ac:dyDescent="0.25">
      <c r="A506" t="s">
        <v>1905</v>
      </c>
      <c r="B506" s="8">
        <v>42115</v>
      </c>
      <c r="C506">
        <v>278</v>
      </c>
      <c r="D506">
        <v>36.35</v>
      </c>
      <c r="E506">
        <v>73.609274336599995</v>
      </c>
      <c r="F506">
        <v>-8.2483674255799997</v>
      </c>
      <c r="G506">
        <v>12.1</v>
      </c>
      <c r="H506" s="30">
        <f t="shared" si="12"/>
        <v>24.25</v>
      </c>
    </row>
    <row r="507" spans="1:8" hidden="1" x14ac:dyDescent="0.25">
      <c r="A507" t="s">
        <v>1906</v>
      </c>
      <c r="B507" s="8">
        <v>42115</v>
      </c>
      <c r="C507">
        <v>74</v>
      </c>
      <c r="D507">
        <v>49.25</v>
      </c>
      <c r="E507">
        <v>35.004003603900003</v>
      </c>
      <c r="F507">
        <v>-6.3550804722400001</v>
      </c>
      <c r="G507">
        <v>1.75</v>
      </c>
      <c r="H507" s="30">
        <f t="shared" ref="H507:H516" si="13">D507-G507</f>
        <v>47.5</v>
      </c>
    </row>
    <row r="508" spans="1:8" hidden="1" x14ac:dyDescent="0.25">
      <c r="A508" t="s">
        <v>1907</v>
      </c>
      <c r="B508" s="8">
        <v>42114</v>
      </c>
      <c r="C508">
        <v>152</v>
      </c>
      <c r="D508">
        <v>4.75</v>
      </c>
      <c r="E508">
        <v>40.0935448627</v>
      </c>
      <c r="F508">
        <v>-9.1064073752399999</v>
      </c>
      <c r="G508">
        <v>0</v>
      </c>
      <c r="H508" s="30">
        <f t="shared" si="13"/>
        <v>4.75</v>
      </c>
    </row>
    <row r="509" spans="1:8" hidden="1" x14ac:dyDescent="0.25">
      <c r="A509" t="s">
        <v>1908</v>
      </c>
      <c r="B509" s="8">
        <v>42114</v>
      </c>
      <c r="C509">
        <v>57</v>
      </c>
      <c r="D509">
        <v>16.75</v>
      </c>
      <c r="E509">
        <v>33.8207610905</v>
      </c>
      <c r="F509">
        <v>-0.49382798150000001</v>
      </c>
      <c r="G509">
        <v>-2</v>
      </c>
      <c r="H509" s="30">
        <f t="shared" si="13"/>
        <v>18.75</v>
      </c>
    </row>
    <row r="510" spans="1:8" hidden="1" x14ac:dyDescent="0.25">
      <c r="A510" t="s">
        <v>1909</v>
      </c>
      <c r="B510" s="8">
        <v>42113</v>
      </c>
      <c r="C510">
        <v>284</v>
      </c>
      <c r="D510">
        <v>27.75</v>
      </c>
      <c r="E510">
        <v>39.850048780599998</v>
      </c>
      <c r="F510">
        <v>-9.9217499674800003</v>
      </c>
      <c r="G510">
        <v>4</v>
      </c>
      <c r="H510" s="30">
        <f t="shared" si="13"/>
        <v>23.75</v>
      </c>
    </row>
    <row r="511" spans="1:8" hidden="1" x14ac:dyDescent="0.25">
      <c r="A511" t="s">
        <v>1910</v>
      </c>
      <c r="B511" s="8">
        <v>42113</v>
      </c>
      <c r="C511">
        <v>211</v>
      </c>
      <c r="D511">
        <v>31</v>
      </c>
      <c r="E511">
        <v>39.636176408600001</v>
      </c>
      <c r="F511">
        <v>-1.3833624284499999</v>
      </c>
      <c r="G511">
        <v>13</v>
      </c>
      <c r="H511" s="30">
        <f t="shared" si="13"/>
        <v>18</v>
      </c>
    </row>
    <row r="512" spans="1:8" hidden="1" x14ac:dyDescent="0.25">
      <c r="A512" t="s">
        <v>1782</v>
      </c>
      <c r="B512" s="8">
        <v>42113</v>
      </c>
      <c r="C512">
        <v>74</v>
      </c>
      <c r="D512">
        <v>38.5</v>
      </c>
      <c r="E512">
        <v>33.358434741899998</v>
      </c>
      <c r="F512">
        <v>-2.40600986833</v>
      </c>
      <c r="G512">
        <v>15</v>
      </c>
      <c r="H512" s="30">
        <f t="shared" si="13"/>
        <v>23.5</v>
      </c>
    </row>
    <row r="513" spans="1:11" hidden="1" x14ac:dyDescent="0.25">
      <c r="A513" t="s">
        <v>1911</v>
      </c>
      <c r="B513" s="8">
        <v>42112</v>
      </c>
      <c r="C513">
        <v>150</v>
      </c>
      <c r="D513">
        <v>47.75</v>
      </c>
      <c r="E513">
        <v>37.518427633000002</v>
      </c>
      <c r="F513">
        <v>-1.0573690870000001</v>
      </c>
      <c r="G513">
        <v>22</v>
      </c>
      <c r="H513" s="30">
        <f t="shared" si="13"/>
        <v>25.75</v>
      </c>
    </row>
    <row r="514" spans="1:11" hidden="1" x14ac:dyDescent="0.25">
      <c r="A514" t="s">
        <v>1860</v>
      </c>
      <c r="B514" s="8">
        <v>42111</v>
      </c>
      <c r="C514">
        <v>244</v>
      </c>
      <c r="D514">
        <v>69.5</v>
      </c>
      <c r="E514">
        <v>45.541513265500001</v>
      </c>
      <c r="F514">
        <v>-1.51354268818</v>
      </c>
      <c r="G514">
        <v>1.75</v>
      </c>
      <c r="H514" s="30">
        <f t="shared" si="13"/>
        <v>67.75</v>
      </c>
    </row>
    <row r="515" spans="1:11" hidden="1" x14ac:dyDescent="0.25">
      <c r="A515" t="s">
        <v>1784</v>
      </c>
      <c r="B515" s="8">
        <v>42111</v>
      </c>
      <c r="C515">
        <v>55</v>
      </c>
      <c r="D515">
        <v>70</v>
      </c>
      <c r="E515">
        <v>34.921601078499997</v>
      </c>
      <c r="F515">
        <v>-8.0725101981100007</v>
      </c>
      <c r="G515">
        <v>1.75</v>
      </c>
      <c r="H515" s="30">
        <f t="shared" si="13"/>
        <v>68.25</v>
      </c>
    </row>
    <row r="516" spans="1:11" hidden="1" x14ac:dyDescent="0.25">
      <c r="A516" t="s">
        <v>1912</v>
      </c>
      <c r="B516" s="8">
        <v>42111</v>
      </c>
      <c r="C516">
        <v>78</v>
      </c>
      <c r="D516">
        <v>20.75</v>
      </c>
      <c r="E516">
        <v>35.8702607739</v>
      </c>
      <c r="F516">
        <v>-0.87182472468500005</v>
      </c>
      <c r="G516">
        <v>13</v>
      </c>
      <c r="H516" s="30">
        <f t="shared" si="13"/>
        <v>7.75</v>
      </c>
    </row>
    <row r="517" spans="1:11" hidden="1" x14ac:dyDescent="0.25"/>
    <row r="518" spans="1:11" ht="15.75" hidden="1" thickBot="1" x14ac:dyDescent="0.3"/>
    <row r="519" spans="1:11" ht="30" hidden="1" x14ac:dyDescent="0.25">
      <c r="A519" s="37" t="s">
        <v>1988</v>
      </c>
      <c r="B519" s="38" t="s">
        <v>311</v>
      </c>
      <c r="C519" s="38" t="s">
        <v>1545</v>
      </c>
      <c r="D519" s="38" t="s">
        <v>1527</v>
      </c>
      <c r="E519" s="38" t="s">
        <v>1546</v>
      </c>
      <c r="F519" s="38" t="s">
        <v>1547</v>
      </c>
      <c r="G519" s="40" t="s">
        <v>1861</v>
      </c>
      <c r="H519" s="38" t="s">
        <v>1862</v>
      </c>
      <c r="I519" s="65" t="s">
        <v>1989</v>
      </c>
      <c r="J519" s="66" t="s">
        <v>1990</v>
      </c>
      <c r="K519" s="67" t="s">
        <v>1991</v>
      </c>
    </row>
    <row r="520" spans="1:11" ht="15.75" hidden="1" thickBot="1" x14ac:dyDescent="0.3">
      <c r="A520" t="s">
        <v>1914</v>
      </c>
      <c r="B520" s="8">
        <v>42138</v>
      </c>
      <c r="C520">
        <v>131</v>
      </c>
      <c r="D520">
        <v>41.5</v>
      </c>
      <c r="E520">
        <v>36.884050938500003</v>
      </c>
      <c r="F520">
        <v>-2.24175856957</v>
      </c>
      <c r="G520">
        <v>14</v>
      </c>
      <c r="H520" s="30">
        <f t="shared" ref="H520:H583" si="14">D520-G520</f>
        <v>27.5</v>
      </c>
      <c r="I520" s="62">
        <f>AVERAGE(D520:D593)</f>
        <v>32.740140845070421</v>
      </c>
      <c r="J520" s="63">
        <f>_xlfn.STDEV.P(D520:D593)</f>
        <v>10.176981828375867</v>
      </c>
      <c r="K520" s="64">
        <f>MEDIAN(D520:D593)</f>
        <v>32.75</v>
      </c>
    </row>
    <row r="521" spans="1:11" hidden="1" x14ac:dyDescent="0.25">
      <c r="A521" t="s">
        <v>1915</v>
      </c>
      <c r="B521" s="8">
        <v>42138</v>
      </c>
      <c r="C521">
        <v>60</v>
      </c>
      <c r="D521">
        <v>36.25</v>
      </c>
      <c r="E521">
        <v>33.439531123800002</v>
      </c>
      <c r="F521">
        <v>-2.6788815103900001</v>
      </c>
      <c r="G521">
        <v>18</v>
      </c>
      <c r="H521" s="30">
        <f t="shared" si="14"/>
        <v>18.25</v>
      </c>
    </row>
    <row r="522" spans="1:11" hidden="1" x14ac:dyDescent="0.25">
      <c r="A522" t="s">
        <v>1916</v>
      </c>
      <c r="B522" s="8">
        <v>42138</v>
      </c>
      <c r="C522">
        <v>71</v>
      </c>
      <c r="D522">
        <v>29.75</v>
      </c>
      <c r="E522">
        <v>34.700493996500001</v>
      </c>
      <c r="F522">
        <v>-0.88560406940900005</v>
      </c>
      <c r="G522">
        <v>14</v>
      </c>
      <c r="H522" s="30">
        <f t="shared" si="14"/>
        <v>15.75</v>
      </c>
    </row>
    <row r="523" spans="1:11" hidden="1" x14ac:dyDescent="0.25">
      <c r="A523" t="s">
        <v>1917</v>
      </c>
      <c r="B523" s="8">
        <v>42138</v>
      </c>
      <c r="C523">
        <v>24</v>
      </c>
      <c r="D523">
        <v>13.85</v>
      </c>
      <c r="E523">
        <v>28.802433030900001</v>
      </c>
      <c r="F523">
        <v>-1.85800975361</v>
      </c>
      <c r="G523">
        <v>-0.75</v>
      </c>
      <c r="H523" s="30">
        <f t="shared" si="14"/>
        <v>14.6</v>
      </c>
    </row>
    <row r="524" spans="1:11" hidden="1" x14ac:dyDescent="0.25">
      <c r="A524" t="s">
        <v>1918</v>
      </c>
      <c r="B524" s="8">
        <v>42139</v>
      </c>
      <c r="C524">
        <v>178</v>
      </c>
      <c r="D524">
        <v>54.95</v>
      </c>
      <c r="E524">
        <v>39.722247773299998</v>
      </c>
      <c r="F524">
        <v>-1.45253531744</v>
      </c>
      <c r="G524">
        <v>1.75</v>
      </c>
      <c r="H524" s="30">
        <f t="shared" si="14"/>
        <v>53.2</v>
      </c>
    </row>
    <row r="525" spans="1:11" hidden="1" x14ac:dyDescent="0.25">
      <c r="A525" t="s">
        <v>1919</v>
      </c>
      <c r="B525" s="8">
        <v>42139</v>
      </c>
      <c r="C525">
        <v>167</v>
      </c>
      <c r="D525">
        <v>50.45</v>
      </c>
      <c r="E525">
        <v>38.945876718800001</v>
      </c>
      <c r="F525">
        <v>-9.5127644295899998</v>
      </c>
      <c r="G525">
        <v>1.75</v>
      </c>
      <c r="H525" s="30">
        <f t="shared" si="14"/>
        <v>48.7</v>
      </c>
    </row>
    <row r="526" spans="1:11" hidden="1" x14ac:dyDescent="0.25">
      <c r="A526" t="s">
        <v>1920</v>
      </c>
      <c r="B526" s="8">
        <v>42140</v>
      </c>
      <c r="C526">
        <v>176</v>
      </c>
      <c r="D526">
        <v>47</v>
      </c>
      <c r="E526">
        <v>39.6860570706</v>
      </c>
      <c r="F526">
        <v>-3.1180877924499999</v>
      </c>
      <c r="G526">
        <v>1</v>
      </c>
      <c r="H526" s="30">
        <f t="shared" si="14"/>
        <v>46</v>
      </c>
    </row>
    <row r="527" spans="1:11" hidden="1" x14ac:dyDescent="0.25">
      <c r="A527" t="s">
        <v>1921</v>
      </c>
      <c r="B527" s="8">
        <v>42140</v>
      </c>
      <c r="C527">
        <v>46</v>
      </c>
      <c r="D527">
        <v>35</v>
      </c>
      <c r="E527">
        <v>37.521661260599998</v>
      </c>
      <c r="F527">
        <v>-4.4895267674900001</v>
      </c>
      <c r="G527">
        <v>1</v>
      </c>
      <c r="H527" s="30">
        <f t="shared" si="14"/>
        <v>34</v>
      </c>
    </row>
    <row r="528" spans="1:11" hidden="1" x14ac:dyDescent="0.25">
      <c r="A528" t="s">
        <v>1922</v>
      </c>
      <c r="B528" s="8">
        <v>42140</v>
      </c>
      <c r="C528">
        <v>130</v>
      </c>
      <c r="D528">
        <v>33.450000000000003</v>
      </c>
      <c r="E528">
        <v>38.409455155000003</v>
      </c>
      <c r="F528">
        <v>-1.7643404977299999</v>
      </c>
      <c r="G528">
        <v>3.2</v>
      </c>
      <c r="H528" s="30">
        <f t="shared" si="14"/>
        <v>30.250000000000004</v>
      </c>
    </row>
    <row r="529" spans="1:8" hidden="1" x14ac:dyDescent="0.25">
      <c r="A529" t="s">
        <v>1923</v>
      </c>
      <c r="B529" s="8">
        <v>42141</v>
      </c>
      <c r="C529">
        <v>176</v>
      </c>
      <c r="D529">
        <v>29</v>
      </c>
      <c r="E529">
        <v>39.995533931700002</v>
      </c>
      <c r="F529">
        <v>-2.0410570163999999</v>
      </c>
      <c r="G529">
        <v>13</v>
      </c>
      <c r="H529" s="30">
        <f t="shared" si="14"/>
        <v>16</v>
      </c>
    </row>
    <row r="530" spans="1:8" hidden="1" x14ac:dyDescent="0.25">
      <c r="A530" t="s">
        <v>1924</v>
      </c>
      <c r="B530" s="8">
        <v>42141</v>
      </c>
      <c r="C530">
        <v>59</v>
      </c>
      <c r="D530">
        <v>31.25</v>
      </c>
      <c r="E530">
        <v>37.421446395399997</v>
      </c>
      <c r="F530">
        <v>-1.08982476021</v>
      </c>
      <c r="G530">
        <v>13</v>
      </c>
      <c r="H530" s="30">
        <f t="shared" si="14"/>
        <v>18.25</v>
      </c>
    </row>
    <row r="531" spans="1:8" hidden="1" x14ac:dyDescent="0.25">
      <c r="A531" t="s">
        <v>1925</v>
      </c>
      <c r="B531" s="8">
        <v>42141</v>
      </c>
      <c r="C531">
        <v>117</v>
      </c>
      <c r="D531">
        <v>28.5</v>
      </c>
      <c r="E531">
        <v>38.977602755500001</v>
      </c>
      <c r="F531">
        <v>-0.94130071594200004</v>
      </c>
      <c r="G531">
        <v>13</v>
      </c>
      <c r="H531" s="30">
        <f t="shared" si="14"/>
        <v>15.5</v>
      </c>
    </row>
    <row r="532" spans="1:8" hidden="1" x14ac:dyDescent="0.25">
      <c r="A532" t="s">
        <v>1926</v>
      </c>
      <c r="B532" s="8">
        <v>42141</v>
      </c>
      <c r="C532">
        <v>59</v>
      </c>
      <c r="D532">
        <v>42.35</v>
      </c>
      <c r="E532">
        <v>35.390484462499998</v>
      </c>
      <c r="F532">
        <v>-1.9832573688799999</v>
      </c>
      <c r="G532">
        <v>1.75</v>
      </c>
      <c r="H532" s="30">
        <f t="shared" si="14"/>
        <v>40.6</v>
      </c>
    </row>
    <row r="533" spans="1:8" hidden="1" x14ac:dyDescent="0.25">
      <c r="A533" t="s">
        <v>1927</v>
      </c>
      <c r="B533" s="8">
        <v>42142</v>
      </c>
      <c r="C533">
        <v>83</v>
      </c>
      <c r="D533">
        <v>39.75</v>
      </c>
      <c r="E533">
        <v>36.857947752800001</v>
      </c>
      <c r="F533">
        <v>-4.5768034309200001</v>
      </c>
      <c r="G533">
        <v>20</v>
      </c>
      <c r="H533" s="30">
        <f t="shared" si="14"/>
        <v>19.75</v>
      </c>
    </row>
    <row r="534" spans="1:8" hidden="1" x14ac:dyDescent="0.25">
      <c r="A534" t="s">
        <v>1928</v>
      </c>
      <c r="B534" s="8">
        <v>42142</v>
      </c>
      <c r="C534">
        <v>71</v>
      </c>
      <c r="D534">
        <v>32.25</v>
      </c>
      <c r="E534">
        <v>36.599968953800001</v>
      </c>
      <c r="F534">
        <v>-4.53153947833</v>
      </c>
      <c r="G534">
        <v>20</v>
      </c>
      <c r="H534" s="30">
        <f t="shared" si="14"/>
        <v>12.25</v>
      </c>
    </row>
    <row r="535" spans="1:8" hidden="1" x14ac:dyDescent="0.25">
      <c r="A535" t="s">
        <v>1929</v>
      </c>
      <c r="B535" s="8">
        <v>42137</v>
      </c>
      <c r="C535">
        <v>24</v>
      </c>
      <c r="D535">
        <v>25.25</v>
      </c>
      <c r="E535">
        <v>31.290768252700001</v>
      </c>
      <c r="F535">
        <v>-1.53830102738</v>
      </c>
      <c r="G535">
        <v>18</v>
      </c>
      <c r="H535" s="30">
        <f t="shared" si="14"/>
        <v>7.25</v>
      </c>
    </row>
    <row r="536" spans="1:8" hidden="1" x14ac:dyDescent="0.25">
      <c r="A536" t="s">
        <v>1930</v>
      </c>
      <c r="B536" s="8">
        <v>42136</v>
      </c>
      <c r="C536">
        <v>176</v>
      </c>
      <c r="D536">
        <v>37.450000000000003</v>
      </c>
      <c r="E536">
        <v>38.408663697999998</v>
      </c>
      <c r="F536">
        <v>-5.1378457370900001</v>
      </c>
      <c r="G536">
        <v>4.2</v>
      </c>
      <c r="H536" s="30">
        <f t="shared" si="14"/>
        <v>33.25</v>
      </c>
    </row>
    <row r="537" spans="1:8" hidden="1" x14ac:dyDescent="0.25">
      <c r="A537" t="s">
        <v>1931</v>
      </c>
      <c r="B537" s="8">
        <v>42136</v>
      </c>
      <c r="C537">
        <v>164</v>
      </c>
      <c r="D537">
        <v>33.200000000000003</v>
      </c>
      <c r="E537">
        <v>38.199354078200003</v>
      </c>
      <c r="F537">
        <v>-4.4432046339299998</v>
      </c>
      <c r="G537">
        <v>4.2</v>
      </c>
      <c r="H537" s="30">
        <f t="shared" si="14"/>
        <v>29.000000000000004</v>
      </c>
    </row>
    <row r="538" spans="1:8" hidden="1" x14ac:dyDescent="0.25">
      <c r="A538" t="s">
        <v>1932</v>
      </c>
      <c r="B538" s="8">
        <v>42136</v>
      </c>
      <c r="C538">
        <v>71</v>
      </c>
      <c r="D538">
        <v>44</v>
      </c>
      <c r="E538">
        <v>34.990337215799997</v>
      </c>
      <c r="F538">
        <v>-0.950288037069</v>
      </c>
      <c r="G538">
        <v>19</v>
      </c>
      <c r="H538" s="30">
        <f t="shared" si="14"/>
        <v>25</v>
      </c>
    </row>
    <row r="539" spans="1:8" hidden="1" x14ac:dyDescent="0.25">
      <c r="A539" t="s">
        <v>1933</v>
      </c>
      <c r="B539" s="8">
        <v>42136</v>
      </c>
      <c r="C539">
        <v>59</v>
      </c>
      <c r="D539">
        <v>37.450000000000003</v>
      </c>
      <c r="E539">
        <v>35.094184472800002</v>
      </c>
      <c r="F539">
        <v>-7.1261725876500002</v>
      </c>
      <c r="G539">
        <v>4.2</v>
      </c>
      <c r="H539" s="30">
        <f t="shared" si="14"/>
        <v>33.25</v>
      </c>
    </row>
    <row r="540" spans="1:8" hidden="1" x14ac:dyDescent="0.25">
      <c r="A540" t="s">
        <v>1934</v>
      </c>
      <c r="B540" s="8">
        <v>42136</v>
      </c>
      <c r="C540">
        <v>46</v>
      </c>
      <c r="D540">
        <v>22.45</v>
      </c>
      <c r="E540">
        <v>35.477773167599999</v>
      </c>
      <c r="F540">
        <v>-3.3589264124499998</v>
      </c>
      <c r="G540">
        <v>4.2</v>
      </c>
      <c r="H540" s="30">
        <f t="shared" si="14"/>
        <v>18.25</v>
      </c>
    </row>
    <row r="541" spans="1:8" hidden="1" x14ac:dyDescent="0.25">
      <c r="A541" t="s">
        <v>1935</v>
      </c>
      <c r="B541" s="8">
        <v>42135</v>
      </c>
      <c r="C541">
        <v>119</v>
      </c>
      <c r="D541">
        <v>29.75</v>
      </c>
      <c r="E541">
        <v>38.708746262200002</v>
      </c>
      <c r="F541">
        <v>-1.38900615829</v>
      </c>
      <c r="G541">
        <v>13</v>
      </c>
      <c r="H541" s="30">
        <f t="shared" si="14"/>
        <v>16.75</v>
      </c>
    </row>
    <row r="542" spans="1:8" hidden="1" x14ac:dyDescent="0.25">
      <c r="A542" t="s">
        <v>1936</v>
      </c>
      <c r="B542" s="8">
        <v>42135</v>
      </c>
      <c r="C542">
        <v>36</v>
      </c>
      <c r="D542">
        <v>34.75</v>
      </c>
      <c r="E542">
        <v>32.366500558399999</v>
      </c>
      <c r="F542">
        <v>-4.5659510038300004</v>
      </c>
      <c r="G542">
        <v>11</v>
      </c>
      <c r="H542" s="30">
        <f t="shared" si="14"/>
        <v>23.75</v>
      </c>
    </row>
    <row r="543" spans="1:8" hidden="1" x14ac:dyDescent="0.25">
      <c r="A543" t="s">
        <v>1913</v>
      </c>
      <c r="B543" s="8">
        <v>42135</v>
      </c>
      <c r="C543">
        <v>24</v>
      </c>
      <c r="E543">
        <v>0</v>
      </c>
      <c r="F543">
        <v>0</v>
      </c>
      <c r="H543" s="30">
        <f t="shared" si="14"/>
        <v>0</v>
      </c>
    </row>
    <row r="544" spans="1:8" hidden="1" x14ac:dyDescent="0.25">
      <c r="A544" t="s">
        <v>1937</v>
      </c>
      <c r="B544" s="8">
        <v>42134</v>
      </c>
      <c r="C544">
        <v>178</v>
      </c>
      <c r="D544">
        <v>40</v>
      </c>
      <c r="E544">
        <v>42.1638737703</v>
      </c>
      <c r="F544">
        <v>-1.2686761441400001</v>
      </c>
      <c r="G544">
        <v>11</v>
      </c>
      <c r="H544" s="30">
        <f t="shared" si="14"/>
        <v>29</v>
      </c>
    </row>
    <row r="545" spans="1:8" hidden="1" x14ac:dyDescent="0.25">
      <c r="A545" t="s">
        <v>1938</v>
      </c>
      <c r="B545" s="8">
        <v>42134</v>
      </c>
      <c r="C545">
        <v>107</v>
      </c>
      <c r="D545">
        <v>36.25</v>
      </c>
      <c r="E545">
        <v>41.445333112199997</v>
      </c>
      <c r="F545">
        <v>-1.0118671379499999</v>
      </c>
      <c r="G545">
        <v>11</v>
      </c>
      <c r="H545" s="30">
        <f t="shared" si="14"/>
        <v>25.25</v>
      </c>
    </row>
    <row r="546" spans="1:8" hidden="1" x14ac:dyDescent="0.25">
      <c r="A546" t="s">
        <v>1939</v>
      </c>
      <c r="B546" s="8">
        <v>42134</v>
      </c>
      <c r="C546">
        <v>59</v>
      </c>
      <c r="D546">
        <v>31.45</v>
      </c>
      <c r="E546">
        <v>35.663791562699998</v>
      </c>
      <c r="F546">
        <v>-2.5897440384900001</v>
      </c>
      <c r="G546">
        <v>-0.75</v>
      </c>
      <c r="H546" s="30">
        <f t="shared" si="14"/>
        <v>32.200000000000003</v>
      </c>
    </row>
    <row r="547" spans="1:8" hidden="1" x14ac:dyDescent="0.25">
      <c r="A547" t="s">
        <v>1940</v>
      </c>
      <c r="B547" s="8">
        <v>42133</v>
      </c>
      <c r="C547">
        <v>99</v>
      </c>
      <c r="D547">
        <v>41.6</v>
      </c>
      <c r="E547">
        <v>36.196074146999997</v>
      </c>
      <c r="F547">
        <v>-9.3960235972900001</v>
      </c>
      <c r="G547">
        <v>15.1</v>
      </c>
      <c r="H547" s="30">
        <f t="shared" si="14"/>
        <v>26.5</v>
      </c>
    </row>
    <row r="548" spans="1:8" hidden="1" x14ac:dyDescent="0.25">
      <c r="A548" t="s">
        <v>1941</v>
      </c>
      <c r="B548" s="8">
        <v>42133</v>
      </c>
      <c r="C548">
        <v>36</v>
      </c>
      <c r="D548">
        <v>24.75</v>
      </c>
      <c r="E548">
        <v>32.351724490199999</v>
      </c>
      <c r="F548">
        <v>-1.4023650405300001</v>
      </c>
      <c r="G548">
        <v>5</v>
      </c>
      <c r="H548" s="30">
        <f t="shared" si="14"/>
        <v>19.75</v>
      </c>
    </row>
    <row r="549" spans="1:8" hidden="1" x14ac:dyDescent="0.25">
      <c r="A549" t="s">
        <v>1942</v>
      </c>
      <c r="B549" s="8">
        <v>42132</v>
      </c>
      <c r="C549">
        <v>167</v>
      </c>
      <c r="D549">
        <v>42</v>
      </c>
      <c r="E549">
        <v>37.967645601999997</v>
      </c>
      <c r="F549">
        <v>-4.4009718902600001</v>
      </c>
      <c r="G549">
        <v>14</v>
      </c>
      <c r="H549" s="30">
        <f t="shared" si="14"/>
        <v>28</v>
      </c>
    </row>
    <row r="550" spans="1:8" hidden="1" x14ac:dyDescent="0.25">
      <c r="A550" t="s">
        <v>1943</v>
      </c>
      <c r="B550" s="8">
        <v>42131</v>
      </c>
      <c r="C550">
        <v>72</v>
      </c>
      <c r="D550">
        <v>38.6</v>
      </c>
      <c r="E550">
        <v>33.5706066921</v>
      </c>
      <c r="F550">
        <v>-0.88645940566299997</v>
      </c>
      <c r="G550">
        <v>12.1</v>
      </c>
      <c r="H550" s="30">
        <f t="shared" si="14"/>
        <v>26.5</v>
      </c>
    </row>
    <row r="551" spans="1:8" hidden="1" x14ac:dyDescent="0.25">
      <c r="A551" t="s">
        <v>1944</v>
      </c>
      <c r="B551" s="8">
        <v>42130</v>
      </c>
      <c r="C551">
        <v>142</v>
      </c>
      <c r="D551">
        <v>40.85</v>
      </c>
      <c r="E551">
        <v>39.778410329400003</v>
      </c>
      <c r="F551">
        <v>-9.3264741778999998</v>
      </c>
      <c r="G551">
        <v>6.1</v>
      </c>
      <c r="H551" s="30">
        <f t="shared" si="14"/>
        <v>34.75</v>
      </c>
    </row>
    <row r="552" spans="1:8" hidden="1" x14ac:dyDescent="0.25">
      <c r="A552" t="s">
        <v>1945</v>
      </c>
      <c r="B552" s="8">
        <v>42129</v>
      </c>
      <c r="C552">
        <v>167</v>
      </c>
      <c r="D552">
        <v>47</v>
      </c>
      <c r="E552">
        <v>39.156414327900002</v>
      </c>
      <c r="F552">
        <v>-2.3674640869500001</v>
      </c>
      <c r="G552">
        <v>12</v>
      </c>
      <c r="H552" s="30">
        <f t="shared" si="14"/>
        <v>35</v>
      </c>
    </row>
    <row r="553" spans="1:8" hidden="1" x14ac:dyDescent="0.25">
      <c r="A553" t="s">
        <v>1946</v>
      </c>
      <c r="B553" s="8">
        <v>42128</v>
      </c>
      <c r="C553">
        <v>119</v>
      </c>
      <c r="D553">
        <v>22.1</v>
      </c>
      <c r="E553">
        <v>42.607446079699997</v>
      </c>
      <c r="F553">
        <v>-5.0699421957300004</v>
      </c>
      <c r="G553">
        <v>-1</v>
      </c>
      <c r="H553" s="30">
        <f t="shared" si="14"/>
        <v>23.1</v>
      </c>
    </row>
    <row r="554" spans="1:8" hidden="1" x14ac:dyDescent="0.25">
      <c r="A554" t="s">
        <v>1947</v>
      </c>
      <c r="B554" s="8">
        <v>42128</v>
      </c>
      <c r="C554">
        <v>36</v>
      </c>
      <c r="D554">
        <v>29.25</v>
      </c>
      <c r="E554">
        <v>33.568002971699997</v>
      </c>
      <c r="F554">
        <v>-3.7965837418000001</v>
      </c>
      <c r="G554">
        <v>7</v>
      </c>
      <c r="H554" s="30">
        <f t="shared" si="14"/>
        <v>22.25</v>
      </c>
    </row>
    <row r="555" spans="1:8" hidden="1" x14ac:dyDescent="0.25">
      <c r="A555" t="s">
        <v>1948</v>
      </c>
      <c r="B555" s="8">
        <v>42128</v>
      </c>
      <c r="C555">
        <v>24</v>
      </c>
      <c r="D555">
        <v>28.5</v>
      </c>
      <c r="E555">
        <v>33.5697360741</v>
      </c>
      <c r="F555">
        <v>1.0296675123999999E-2</v>
      </c>
      <c r="G555">
        <v>18</v>
      </c>
      <c r="H555" s="30">
        <f t="shared" si="14"/>
        <v>10.5</v>
      </c>
    </row>
    <row r="556" spans="1:8" hidden="1" x14ac:dyDescent="0.25">
      <c r="A556" t="s">
        <v>1949</v>
      </c>
      <c r="B556" s="8">
        <v>42127</v>
      </c>
      <c r="C556">
        <v>48</v>
      </c>
      <c r="D556">
        <v>23.95</v>
      </c>
      <c r="E556">
        <v>32.546121774900001</v>
      </c>
      <c r="F556">
        <v>-1.74340530801</v>
      </c>
      <c r="G556">
        <v>2.2000000000000002</v>
      </c>
      <c r="H556" s="30">
        <f t="shared" si="14"/>
        <v>21.75</v>
      </c>
    </row>
    <row r="557" spans="1:8" hidden="1" x14ac:dyDescent="0.25">
      <c r="A557" t="s">
        <v>1950</v>
      </c>
      <c r="B557" s="8">
        <v>42126</v>
      </c>
      <c r="C557">
        <v>180</v>
      </c>
      <c r="D557">
        <v>33.5</v>
      </c>
      <c r="E557">
        <v>40.826063926899998</v>
      </c>
      <c r="F557">
        <v>-6.8269432929200002</v>
      </c>
      <c r="G557">
        <v>7</v>
      </c>
      <c r="H557" s="30">
        <f t="shared" si="14"/>
        <v>26.5</v>
      </c>
    </row>
    <row r="558" spans="1:8" hidden="1" x14ac:dyDescent="0.25">
      <c r="A558" t="s">
        <v>1950</v>
      </c>
      <c r="B558" s="8">
        <v>42126</v>
      </c>
      <c r="C558">
        <v>84</v>
      </c>
      <c r="D558">
        <v>33.5</v>
      </c>
      <c r="E558">
        <v>40.826063926899998</v>
      </c>
      <c r="F558">
        <v>-6.8269432929200002</v>
      </c>
      <c r="G558">
        <v>7</v>
      </c>
      <c r="H558" s="30">
        <f t="shared" si="14"/>
        <v>26.5</v>
      </c>
    </row>
    <row r="559" spans="1:8" hidden="1" x14ac:dyDescent="0.25">
      <c r="A559" t="s">
        <v>1951</v>
      </c>
      <c r="B559" s="8">
        <v>42126</v>
      </c>
      <c r="C559">
        <v>96</v>
      </c>
      <c r="D559">
        <v>29.75</v>
      </c>
      <c r="E559">
        <v>35.459511774399999</v>
      </c>
      <c r="F559">
        <v>-3.30380892733</v>
      </c>
      <c r="G559">
        <v>15</v>
      </c>
      <c r="H559" s="30">
        <f t="shared" si="14"/>
        <v>14.75</v>
      </c>
    </row>
    <row r="560" spans="1:8" hidden="1" x14ac:dyDescent="0.25">
      <c r="A560" t="s">
        <v>1952</v>
      </c>
      <c r="B560" s="8">
        <v>42126</v>
      </c>
      <c r="C560">
        <v>36</v>
      </c>
      <c r="D560">
        <v>25.75</v>
      </c>
      <c r="E560">
        <v>38.423435370599996</v>
      </c>
      <c r="F560">
        <v>-2.2681784013200001</v>
      </c>
      <c r="G560">
        <v>4</v>
      </c>
      <c r="H560" s="30">
        <f t="shared" si="14"/>
        <v>21.75</v>
      </c>
    </row>
    <row r="561" spans="1:8" hidden="1" x14ac:dyDescent="0.25">
      <c r="A561" t="s">
        <v>1953</v>
      </c>
      <c r="B561" s="8">
        <v>42125</v>
      </c>
      <c r="C561">
        <v>165</v>
      </c>
      <c r="D561">
        <v>29.25</v>
      </c>
      <c r="E561">
        <v>39.000659007099998</v>
      </c>
      <c r="F561">
        <v>-3.7900539842900001</v>
      </c>
      <c r="G561">
        <v>14</v>
      </c>
      <c r="H561" s="30">
        <f t="shared" si="14"/>
        <v>15.25</v>
      </c>
    </row>
    <row r="562" spans="1:8" hidden="1" x14ac:dyDescent="0.25">
      <c r="A562" t="s">
        <v>1954</v>
      </c>
      <c r="B562" s="8">
        <v>42125</v>
      </c>
      <c r="C562">
        <v>60</v>
      </c>
      <c r="D562">
        <v>13.25</v>
      </c>
      <c r="E562">
        <v>33.929341797200003</v>
      </c>
      <c r="F562">
        <v>-0.78303650874999997</v>
      </c>
      <c r="G562">
        <v>-0.5</v>
      </c>
      <c r="H562" s="30">
        <f t="shared" si="14"/>
        <v>13.75</v>
      </c>
    </row>
    <row r="563" spans="1:8" hidden="1" x14ac:dyDescent="0.25">
      <c r="A563" t="s">
        <v>1955</v>
      </c>
      <c r="B563" s="8">
        <v>42123</v>
      </c>
      <c r="C563">
        <v>96</v>
      </c>
      <c r="D563">
        <v>29.7</v>
      </c>
      <c r="E563">
        <v>36.220085273199999</v>
      </c>
      <c r="F563">
        <v>-4.5151680641700001</v>
      </c>
      <c r="G563">
        <v>12.2</v>
      </c>
      <c r="H563" s="30">
        <f t="shared" si="14"/>
        <v>17.5</v>
      </c>
    </row>
    <row r="564" spans="1:8" hidden="1" x14ac:dyDescent="0.25">
      <c r="A564" t="s">
        <v>1913</v>
      </c>
      <c r="B564" s="8">
        <v>42123</v>
      </c>
      <c r="C564">
        <v>36</v>
      </c>
      <c r="E564">
        <v>0</v>
      </c>
      <c r="F564">
        <v>0</v>
      </c>
      <c r="H564" s="30">
        <f t="shared" si="14"/>
        <v>0</v>
      </c>
    </row>
    <row r="565" spans="1:8" hidden="1" x14ac:dyDescent="0.25">
      <c r="A565" t="s">
        <v>1956</v>
      </c>
      <c r="B565" s="8">
        <v>42122</v>
      </c>
      <c r="C565">
        <v>141</v>
      </c>
      <c r="D565">
        <v>37.75</v>
      </c>
      <c r="E565">
        <v>40.351873150599999</v>
      </c>
      <c r="F565">
        <v>-0.91900554372300003</v>
      </c>
      <c r="G565">
        <v>-0.5</v>
      </c>
      <c r="H565" s="30">
        <f t="shared" si="14"/>
        <v>38.25</v>
      </c>
    </row>
    <row r="566" spans="1:8" hidden="1" x14ac:dyDescent="0.25">
      <c r="A566" t="s">
        <v>1957</v>
      </c>
      <c r="B566" s="8">
        <v>42122</v>
      </c>
      <c r="C566">
        <v>71</v>
      </c>
      <c r="D566">
        <v>55</v>
      </c>
      <c r="E566">
        <v>35.716519357700001</v>
      </c>
      <c r="F566">
        <v>-1.02191559402</v>
      </c>
      <c r="G566">
        <v>16</v>
      </c>
      <c r="H566" s="30">
        <f t="shared" si="14"/>
        <v>39</v>
      </c>
    </row>
    <row r="567" spans="1:8" hidden="1" x14ac:dyDescent="0.25">
      <c r="A567" t="s">
        <v>1958</v>
      </c>
      <c r="B567" s="8">
        <v>42121</v>
      </c>
      <c r="C567">
        <v>154</v>
      </c>
      <c r="D567">
        <v>33.5</v>
      </c>
      <c r="E567">
        <v>39.807895948099997</v>
      </c>
      <c r="F567">
        <v>-3.94657196499</v>
      </c>
      <c r="G567">
        <v>-0.5</v>
      </c>
      <c r="H567" s="30">
        <f t="shared" si="14"/>
        <v>34</v>
      </c>
    </row>
    <row r="568" spans="1:8" hidden="1" x14ac:dyDescent="0.25">
      <c r="A568" t="s">
        <v>1959</v>
      </c>
      <c r="B568" s="8">
        <v>42121</v>
      </c>
      <c r="C568">
        <v>131</v>
      </c>
      <c r="D568">
        <v>37.5</v>
      </c>
      <c r="E568">
        <v>36.694207304400003</v>
      </c>
      <c r="F568">
        <v>-3.6258880126199999</v>
      </c>
      <c r="G568">
        <v>-0.5</v>
      </c>
      <c r="H568" s="30">
        <f t="shared" si="14"/>
        <v>38</v>
      </c>
    </row>
    <row r="569" spans="1:8" hidden="1" x14ac:dyDescent="0.25">
      <c r="A569" t="s">
        <v>1960</v>
      </c>
      <c r="B569" s="8">
        <v>42121</v>
      </c>
      <c r="C569">
        <v>70</v>
      </c>
      <c r="D569">
        <v>27.1</v>
      </c>
      <c r="E569">
        <v>37.708495477200003</v>
      </c>
      <c r="F569">
        <v>-5.6139725311899999</v>
      </c>
      <c r="G569">
        <v>7.1</v>
      </c>
      <c r="H569" s="30">
        <f t="shared" si="14"/>
        <v>20</v>
      </c>
    </row>
    <row r="570" spans="1:8" hidden="1" x14ac:dyDescent="0.25">
      <c r="A570" t="s">
        <v>1961</v>
      </c>
      <c r="B570" s="8">
        <v>42120</v>
      </c>
      <c r="C570">
        <v>166</v>
      </c>
      <c r="D570">
        <v>20.75</v>
      </c>
      <c r="E570">
        <v>43.423667848100003</v>
      </c>
      <c r="F570">
        <v>-1.92814431784</v>
      </c>
      <c r="G570">
        <v>14</v>
      </c>
      <c r="H570" s="30">
        <f t="shared" si="14"/>
        <v>6.75</v>
      </c>
    </row>
    <row r="571" spans="1:8" hidden="1" x14ac:dyDescent="0.25">
      <c r="A571" t="s">
        <v>1962</v>
      </c>
      <c r="B571" s="8">
        <v>42120</v>
      </c>
      <c r="C571">
        <v>60</v>
      </c>
      <c r="D571">
        <v>37.85</v>
      </c>
      <c r="E571">
        <v>33.711378152100004</v>
      </c>
      <c r="F571">
        <v>0.13776974566799999</v>
      </c>
      <c r="G571">
        <v>17.100000000000001</v>
      </c>
      <c r="H571" s="30">
        <f t="shared" si="14"/>
        <v>20.75</v>
      </c>
    </row>
    <row r="572" spans="1:8" hidden="1" x14ac:dyDescent="0.25">
      <c r="A572" t="s">
        <v>1963</v>
      </c>
      <c r="B572" s="8">
        <v>42119</v>
      </c>
      <c r="C572">
        <v>96</v>
      </c>
      <c r="D572">
        <v>44</v>
      </c>
      <c r="E572">
        <v>35.517744420600003</v>
      </c>
      <c r="F572">
        <v>-0.78420527422499997</v>
      </c>
      <c r="G572">
        <v>-0.5</v>
      </c>
      <c r="H572" s="30">
        <f t="shared" si="14"/>
        <v>44.5</v>
      </c>
    </row>
    <row r="573" spans="1:8" hidden="1" x14ac:dyDescent="0.25">
      <c r="A573" t="s">
        <v>1964</v>
      </c>
      <c r="B573" s="8">
        <v>42119</v>
      </c>
      <c r="C573">
        <v>47</v>
      </c>
      <c r="D573">
        <v>30.25</v>
      </c>
      <c r="E573">
        <v>35.650709498700003</v>
      </c>
      <c r="F573">
        <v>-1.8439823371299999</v>
      </c>
      <c r="G573">
        <v>8</v>
      </c>
      <c r="H573" s="30">
        <f t="shared" si="14"/>
        <v>22.25</v>
      </c>
    </row>
    <row r="574" spans="1:8" hidden="1" x14ac:dyDescent="0.25">
      <c r="A574" t="s">
        <v>1965</v>
      </c>
      <c r="B574" s="8">
        <v>42118</v>
      </c>
      <c r="C574">
        <v>179</v>
      </c>
      <c r="D574">
        <v>45.95</v>
      </c>
      <c r="E574">
        <v>46.947473485099998</v>
      </c>
      <c r="F574">
        <v>-4.9891608494500002</v>
      </c>
      <c r="G574">
        <v>17.2</v>
      </c>
      <c r="H574" s="30">
        <f t="shared" si="14"/>
        <v>28.750000000000004</v>
      </c>
    </row>
    <row r="575" spans="1:8" hidden="1" x14ac:dyDescent="0.25">
      <c r="A575" t="s">
        <v>1966</v>
      </c>
      <c r="B575" s="8">
        <v>42118</v>
      </c>
      <c r="C575">
        <v>59</v>
      </c>
      <c r="D575">
        <v>19.2</v>
      </c>
      <c r="E575">
        <v>34.361696553199998</v>
      </c>
      <c r="F575">
        <v>-1.59164650048</v>
      </c>
      <c r="G575">
        <v>1.5</v>
      </c>
      <c r="H575" s="30">
        <f t="shared" si="14"/>
        <v>17.7</v>
      </c>
    </row>
    <row r="576" spans="1:8" hidden="1" x14ac:dyDescent="0.25">
      <c r="A576" t="s">
        <v>1967</v>
      </c>
      <c r="B576" s="8">
        <v>42118</v>
      </c>
      <c r="C576">
        <v>36</v>
      </c>
      <c r="D576">
        <v>32.75</v>
      </c>
      <c r="E576">
        <v>31.352980314</v>
      </c>
      <c r="F576">
        <v>-6.4350881260200001</v>
      </c>
      <c r="G576">
        <v>9</v>
      </c>
      <c r="H576" s="30">
        <f t="shared" si="14"/>
        <v>23.75</v>
      </c>
    </row>
    <row r="577" spans="1:8" hidden="1" x14ac:dyDescent="0.25">
      <c r="A577" t="s">
        <v>1968</v>
      </c>
      <c r="B577" s="8">
        <v>42117</v>
      </c>
      <c r="C577">
        <v>35</v>
      </c>
      <c r="D577">
        <v>23.5</v>
      </c>
      <c r="E577">
        <v>31.711279254299999</v>
      </c>
      <c r="F577">
        <v>-1.20948036583</v>
      </c>
      <c r="G577">
        <v>10</v>
      </c>
      <c r="H577" s="30">
        <f t="shared" si="14"/>
        <v>13.5</v>
      </c>
    </row>
    <row r="578" spans="1:8" hidden="1" x14ac:dyDescent="0.25">
      <c r="A578" t="s">
        <v>1969</v>
      </c>
      <c r="B578" s="8">
        <v>42117</v>
      </c>
      <c r="C578">
        <v>47</v>
      </c>
      <c r="D578">
        <v>19.25</v>
      </c>
      <c r="E578">
        <v>33.783675356099998</v>
      </c>
      <c r="F578">
        <v>-0.86174341555099998</v>
      </c>
      <c r="G578">
        <v>7</v>
      </c>
      <c r="H578" s="30">
        <f t="shared" si="14"/>
        <v>12.25</v>
      </c>
    </row>
    <row r="579" spans="1:8" hidden="1" x14ac:dyDescent="0.25">
      <c r="A579" t="s">
        <v>1970</v>
      </c>
      <c r="B579" s="8">
        <v>42116</v>
      </c>
      <c r="C579">
        <v>179</v>
      </c>
      <c r="D579">
        <v>19.75</v>
      </c>
      <c r="E579">
        <v>37.359022758499997</v>
      </c>
      <c r="F579">
        <v>-2.45825279534</v>
      </c>
      <c r="G579">
        <v>7</v>
      </c>
      <c r="H579" s="30">
        <f t="shared" si="14"/>
        <v>12.75</v>
      </c>
    </row>
    <row r="580" spans="1:8" hidden="1" x14ac:dyDescent="0.25">
      <c r="A580" t="s">
        <v>1971</v>
      </c>
      <c r="B580" s="8">
        <v>42116</v>
      </c>
      <c r="C580">
        <v>167</v>
      </c>
      <c r="D580">
        <v>27.25</v>
      </c>
      <c r="E580">
        <v>36.870508321199999</v>
      </c>
      <c r="F580">
        <v>-0.16491106685099999</v>
      </c>
      <c r="G580">
        <v>-0.5</v>
      </c>
      <c r="H580" s="30">
        <f t="shared" si="14"/>
        <v>27.75</v>
      </c>
    </row>
    <row r="581" spans="1:8" hidden="1" x14ac:dyDescent="0.25">
      <c r="A581" t="s">
        <v>1972</v>
      </c>
      <c r="B581" s="8">
        <v>42116</v>
      </c>
      <c r="C581">
        <v>48</v>
      </c>
      <c r="D581">
        <v>26.75</v>
      </c>
      <c r="E581">
        <v>33.516345203699998</v>
      </c>
      <c r="F581">
        <v>-7.7521417541200002</v>
      </c>
      <c r="G581">
        <v>-0.5</v>
      </c>
      <c r="H581" s="30">
        <f t="shared" si="14"/>
        <v>27.25</v>
      </c>
    </row>
    <row r="582" spans="1:8" hidden="1" x14ac:dyDescent="0.25">
      <c r="A582" t="s">
        <v>1913</v>
      </c>
      <c r="B582" s="8">
        <v>42116</v>
      </c>
      <c r="C582">
        <v>35</v>
      </c>
      <c r="E582">
        <v>0</v>
      </c>
      <c r="F582">
        <v>0</v>
      </c>
      <c r="H582" s="30">
        <f t="shared" si="14"/>
        <v>0</v>
      </c>
    </row>
    <row r="583" spans="1:8" hidden="1" x14ac:dyDescent="0.25">
      <c r="A583" t="s">
        <v>1973</v>
      </c>
      <c r="B583" s="8">
        <v>42115</v>
      </c>
      <c r="C583">
        <v>179</v>
      </c>
      <c r="D583">
        <v>29.6</v>
      </c>
      <c r="E583">
        <v>71.213780013299996</v>
      </c>
      <c r="F583">
        <v>-3.3202680825300002</v>
      </c>
      <c r="G583">
        <v>12.1</v>
      </c>
      <c r="H583" s="30">
        <f t="shared" si="14"/>
        <v>17.5</v>
      </c>
    </row>
    <row r="584" spans="1:8" hidden="1" x14ac:dyDescent="0.25">
      <c r="A584" t="s">
        <v>1974</v>
      </c>
      <c r="B584" s="8">
        <v>42115</v>
      </c>
      <c r="C584">
        <v>47</v>
      </c>
      <c r="D584">
        <v>45</v>
      </c>
      <c r="E584">
        <v>33.6098719405</v>
      </c>
      <c r="F584">
        <v>-6.4959071756000002</v>
      </c>
      <c r="G584">
        <v>1.75</v>
      </c>
      <c r="H584" s="30">
        <f t="shared" ref="H584:H593" si="15">D584-G584</f>
        <v>43.25</v>
      </c>
    </row>
    <row r="585" spans="1:8" hidden="1" x14ac:dyDescent="0.25">
      <c r="A585" t="s">
        <v>1975</v>
      </c>
      <c r="B585" s="8">
        <v>42114</v>
      </c>
      <c r="C585">
        <v>95</v>
      </c>
      <c r="D585">
        <v>5</v>
      </c>
      <c r="E585">
        <v>38.650593287299998</v>
      </c>
      <c r="F585">
        <v>-2.2549331328000002</v>
      </c>
      <c r="G585">
        <v>0</v>
      </c>
      <c r="H585" s="30">
        <f t="shared" si="15"/>
        <v>5</v>
      </c>
    </row>
    <row r="586" spans="1:8" hidden="1" x14ac:dyDescent="0.25">
      <c r="A586" t="s">
        <v>1976</v>
      </c>
      <c r="B586" s="8">
        <v>42114</v>
      </c>
      <c r="C586">
        <v>35</v>
      </c>
      <c r="D586">
        <v>18</v>
      </c>
      <c r="E586">
        <v>33.542209751999998</v>
      </c>
      <c r="F586">
        <v>-0.70667961874999996</v>
      </c>
      <c r="G586">
        <v>-2</v>
      </c>
      <c r="H586" s="30">
        <f t="shared" si="15"/>
        <v>20</v>
      </c>
    </row>
    <row r="587" spans="1:8" hidden="1" x14ac:dyDescent="0.25">
      <c r="A587" t="s">
        <v>1977</v>
      </c>
      <c r="B587" s="8">
        <v>42113</v>
      </c>
      <c r="C587">
        <v>179</v>
      </c>
      <c r="D587">
        <v>23</v>
      </c>
      <c r="E587">
        <v>37.897466403000003</v>
      </c>
      <c r="F587">
        <v>-9.7022483916900004</v>
      </c>
      <c r="G587">
        <v>4</v>
      </c>
      <c r="H587" s="30">
        <f t="shared" si="15"/>
        <v>19</v>
      </c>
    </row>
    <row r="588" spans="1:8" hidden="1" x14ac:dyDescent="0.25">
      <c r="A588" t="s">
        <v>1977</v>
      </c>
      <c r="B588" s="8">
        <v>42113</v>
      </c>
      <c r="C588">
        <v>131</v>
      </c>
      <c r="D588">
        <v>23</v>
      </c>
      <c r="E588">
        <v>37.897466403000003</v>
      </c>
      <c r="F588">
        <v>-9.7022483916900004</v>
      </c>
      <c r="G588">
        <v>4</v>
      </c>
      <c r="H588" s="30">
        <f t="shared" si="15"/>
        <v>19</v>
      </c>
    </row>
    <row r="589" spans="1:8" hidden="1" x14ac:dyDescent="0.25">
      <c r="A589" t="s">
        <v>1978</v>
      </c>
      <c r="B589" s="8">
        <v>42113</v>
      </c>
      <c r="C589">
        <v>48</v>
      </c>
      <c r="D589">
        <v>44.25</v>
      </c>
      <c r="E589">
        <v>31.948225947499999</v>
      </c>
      <c r="F589">
        <v>-2.5367071018199998</v>
      </c>
      <c r="G589">
        <v>-0.25</v>
      </c>
      <c r="H589" s="30">
        <f t="shared" si="15"/>
        <v>44.5</v>
      </c>
    </row>
    <row r="590" spans="1:8" hidden="1" x14ac:dyDescent="0.25">
      <c r="A590" t="s">
        <v>1979</v>
      </c>
      <c r="B590" s="8">
        <v>42112</v>
      </c>
      <c r="C590">
        <v>95</v>
      </c>
      <c r="D590">
        <v>35.25</v>
      </c>
      <c r="E590">
        <v>36.3757080922</v>
      </c>
      <c r="F590">
        <v>-6.4275588932099996</v>
      </c>
      <c r="G590">
        <v>19</v>
      </c>
      <c r="H590" s="30">
        <f t="shared" si="15"/>
        <v>16.25</v>
      </c>
    </row>
    <row r="591" spans="1:8" hidden="1" x14ac:dyDescent="0.25">
      <c r="A591" t="s">
        <v>1980</v>
      </c>
      <c r="B591" s="8">
        <v>42111</v>
      </c>
      <c r="C591">
        <v>154</v>
      </c>
      <c r="D591">
        <v>46.25</v>
      </c>
      <c r="E591">
        <v>41.946953127100002</v>
      </c>
      <c r="F591">
        <v>-1.38823302301</v>
      </c>
      <c r="G591">
        <v>1.75</v>
      </c>
      <c r="H591" s="30">
        <f t="shared" si="15"/>
        <v>44.5</v>
      </c>
    </row>
    <row r="592" spans="1:8" hidden="1" x14ac:dyDescent="0.25">
      <c r="A592" t="s">
        <v>1981</v>
      </c>
      <c r="B592" s="8">
        <v>42111</v>
      </c>
      <c r="C592">
        <v>36</v>
      </c>
      <c r="D592">
        <v>51.75</v>
      </c>
      <c r="E592">
        <v>33.446635018499997</v>
      </c>
      <c r="F592">
        <v>-7.6373660442300002</v>
      </c>
      <c r="G592">
        <v>1.75</v>
      </c>
      <c r="H592" s="30">
        <f t="shared" si="15"/>
        <v>50</v>
      </c>
    </row>
    <row r="593" spans="1:11" hidden="1" x14ac:dyDescent="0.25">
      <c r="A593" t="s">
        <v>1982</v>
      </c>
      <c r="B593" s="8">
        <v>42111</v>
      </c>
      <c r="C593">
        <v>48</v>
      </c>
      <c r="D593">
        <v>14.75</v>
      </c>
      <c r="E593">
        <v>34.9985378887</v>
      </c>
      <c r="F593">
        <v>-1.2633118918399999</v>
      </c>
      <c r="G593">
        <v>7</v>
      </c>
      <c r="H593" s="30">
        <f t="shared" si="15"/>
        <v>7.75</v>
      </c>
    </row>
    <row r="594" spans="1:11" hidden="1" x14ac:dyDescent="0.25"/>
    <row r="595" spans="1:11" hidden="1" x14ac:dyDescent="0.25"/>
    <row r="596" spans="1:11" ht="15.75" hidden="1" thickBot="1" x14ac:dyDescent="0.3"/>
    <row r="597" spans="1:11" ht="30" hidden="1" x14ac:dyDescent="0.25">
      <c r="A597" s="37" t="s">
        <v>2182</v>
      </c>
      <c r="B597" s="38" t="s">
        <v>311</v>
      </c>
      <c r="C597" s="38" t="s">
        <v>1545</v>
      </c>
      <c r="D597" s="38" t="s">
        <v>1527</v>
      </c>
      <c r="E597" s="38" t="s">
        <v>1546</v>
      </c>
      <c r="F597" s="38" t="s">
        <v>1547</v>
      </c>
      <c r="G597" s="40" t="s">
        <v>1861</v>
      </c>
      <c r="H597" s="38" t="s">
        <v>1862</v>
      </c>
      <c r="I597" s="65" t="s">
        <v>1989</v>
      </c>
      <c r="J597" s="66" t="s">
        <v>1990</v>
      </c>
      <c r="K597" s="67" t="s">
        <v>1991</v>
      </c>
    </row>
    <row r="598" spans="1:11" ht="15.75" hidden="1" thickBot="1" x14ac:dyDescent="0.3">
      <c r="A598" t="s">
        <v>1992</v>
      </c>
      <c r="B598" s="8">
        <v>42138</v>
      </c>
      <c r="C598">
        <v>131</v>
      </c>
      <c r="D598">
        <v>12.95</v>
      </c>
      <c r="E598">
        <v>4748.3886739299996</v>
      </c>
      <c r="F598">
        <v>-9.9663968807599996</v>
      </c>
      <c r="G598">
        <v>1.2</v>
      </c>
      <c r="H598" s="30">
        <f t="shared" ref="H598:H661" si="16">D598-G598</f>
        <v>11.75</v>
      </c>
      <c r="I598" s="62">
        <f>AVERAGE(D598:D667)</f>
        <v>30.341791044776119</v>
      </c>
      <c r="J598" s="63">
        <f>_xlfn.STDEV.P(D598:D667)</f>
        <v>11.882206680500419</v>
      </c>
      <c r="K598" s="64">
        <f>MEDIAN(D598:D667)</f>
        <v>31</v>
      </c>
    </row>
    <row r="599" spans="1:11" hidden="1" x14ac:dyDescent="0.25">
      <c r="A599" t="s">
        <v>1993</v>
      </c>
      <c r="B599" s="8">
        <v>42138</v>
      </c>
      <c r="C599">
        <v>60</v>
      </c>
      <c r="D599">
        <v>19.2</v>
      </c>
      <c r="E599">
        <v>4745.6610460299999</v>
      </c>
      <c r="F599">
        <v>-8.5712408923400005</v>
      </c>
      <c r="G599">
        <v>1.2</v>
      </c>
      <c r="H599" s="30">
        <f t="shared" si="16"/>
        <v>18</v>
      </c>
    </row>
    <row r="600" spans="1:11" hidden="1" x14ac:dyDescent="0.25">
      <c r="A600" t="s">
        <v>1994</v>
      </c>
      <c r="B600" s="8">
        <v>42138</v>
      </c>
      <c r="C600">
        <v>71</v>
      </c>
      <c r="D600">
        <v>29.25</v>
      </c>
      <c r="E600">
        <v>36.847128666700002</v>
      </c>
      <c r="F600">
        <v>-2.1851734455199998</v>
      </c>
      <c r="G600">
        <v>14</v>
      </c>
      <c r="H600" s="30">
        <f t="shared" si="16"/>
        <v>15.25</v>
      </c>
    </row>
    <row r="601" spans="1:11" hidden="1" x14ac:dyDescent="0.25">
      <c r="A601" t="s">
        <v>1995</v>
      </c>
      <c r="B601" s="8">
        <v>42138</v>
      </c>
      <c r="C601">
        <v>24</v>
      </c>
      <c r="D601">
        <v>16.100000000000001</v>
      </c>
      <c r="E601">
        <v>37.028866878199999</v>
      </c>
      <c r="F601">
        <v>-8.9851904344700007</v>
      </c>
      <c r="G601">
        <v>-0.75</v>
      </c>
      <c r="H601" s="30">
        <f t="shared" si="16"/>
        <v>16.850000000000001</v>
      </c>
    </row>
    <row r="602" spans="1:11" hidden="1" x14ac:dyDescent="0.25">
      <c r="A602" t="s">
        <v>1996</v>
      </c>
      <c r="B602" s="8">
        <v>42139</v>
      </c>
      <c r="C602">
        <v>178</v>
      </c>
      <c r="D602">
        <v>53.7</v>
      </c>
      <c r="E602">
        <v>44.530093918600002</v>
      </c>
      <c r="F602">
        <v>-3.3046903729500001</v>
      </c>
      <c r="G602">
        <v>1.75</v>
      </c>
      <c r="H602" s="30">
        <f t="shared" si="16"/>
        <v>51.95</v>
      </c>
    </row>
    <row r="603" spans="1:11" hidden="1" x14ac:dyDescent="0.25">
      <c r="A603" t="s">
        <v>1997</v>
      </c>
      <c r="B603" s="8">
        <v>42139</v>
      </c>
      <c r="C603">
        <v>167</v>
      </c>
      <c r="D603">
        <v>40.200000000000003</v>
      </c>
      <c r="E603">
        <v>41.582809593599997</v>
      </c>
      <c r="F603">
        <v>-2.15626625192</v>
      </c>
      <c r="G603">
        <v>1.75</v>
      </c>
      <c r="H603" s="30">
        <f t="shared" si="16"/>
        <v>38.450000000000003</v>
      </c>
    </row>
    <row r="604" spans="1:11" hidden="1" x14ac:dyDescent="0.25">
      <c r="A604" t="s">
        <v>1998</v>
      </c>
      <c r="B604" s="8">
        <v>42140</v>
      </c>
      <c r="C604">
        <v>176</v>
      </c>
      <c r="D604">
        <v>41.5</v>
      </c>
      <c r="E604">
        <v>42.343491438000001</v>
      </c>
      <c r="F604">
        <v>-5.36834389811</v>
      </c>
      <c r="G604">
        <v>7</v>
      </c>
      <c r="H604" s="30">
        <f t="shared" si="16"/>
        <v>34.5</v>
      </c>
    </row>
    <row r="605" spans="1:11" hidden="1" x14ac:dyDescent="0.25">
      <c r="A605" t="s">
        <v>1999</v>
      </c>
      <c r="B605" s="8">
        <v>42140</v>
      </c>
      <c r="C605">
        <v>46</v>
      </c>
      <c r="D605">
        <v>37.25</v>
      </c>
      <c r="E605">
        <v>37.5431671236</v>
      </c>
      <c r="F605">
        <v>-5.2581753139699998</v>
      </c>
      <c r="G605">
        <v>1</v>
      </c>
      <c r="H605" s="30">
        <f t="shared" si="16"/>
        <v>36.25</v>
      </c>
    </row>
    <row r="606" spans="1:11" hidden="1" x14ac:dyDescent="0.25">
      <c r="A606" t="s">
        <v>2000</v>
      </c>
      <c r="B606" s="8">
        <v>42140</v>
      </c>
      <c r="C606">
        <v>130</v>
      </c>
      <c r="D606">
        <v>38.25</v>
      </c>
      <c r="E606">
        <v>41.1080500976</v>
      </c>
      <c r="F606">
        <v>-3.1441059939899998</v>
      </c>
      <c r="G606">
        <v>7</v>
      </c>
      <c r="H606" s="30">
        <f t="shared" si="16"/>
        <v>31.25</v>
      </c>
    </row>
    <row r="607" spans="1:11" hidden="1" x14ac:dyDescent="0.25">
      <c r="A607" t="s">
        <v>2001</v>
      </c>
      <c r="B607" s="8">
        <v>42141</v>
      </c>
      <c r="C607">
        <v>176</v>
      </c>
      <c r="D607">
        <v>13.5</v>
      </c>
      <c r="E607">
        <v>45.069818124199998</v>
      </c>
      <c r="F607">
        <v>-7.3819239086300001</v>
      </c>
      <c r="G607">
        <v>-0.5</v>
      </c>
      <c r="H607" s="30">
        <f t="shared" si="16"/>
        <v>14</v>
      </c>
    </row>
    <row r="608" spans="1:11" hidden="1" x14ac:dyDescent="0.25">
      <c r="A608" t="s">
        <v>2002</v>
      </c>
      <c r="B608" s="8">
        <v>42141</v>
      </c>
      <c r="C608">
        <v>59</v>
      </c>
      <c r="D608">
        <v>34.75</v>
      </c>
      <c r="E608">
        <v>39.494518239999998</v>
      </c>
      <c r="F608">
        <v>-0.60414682132499997</v>
      </c>
      <c r="G608">
        <v>13</v>
      </c>
      <c r="H608" s="30">
        <f t="shared" si="16"/>
        <v>21.75</v>
      </c>
    </row>
    <row r="609" spans="1:17" hidden="1" x14ac:dyDescent="0.25">
      <c r="A609" t="s">
        <v>2003</v>
      </c>
      <c r="B609" s="8">
        <v>42141</v>
      </c>
      <c r="C609">
        <v>117</v>
      </c>
      <c r="D609">
        <v>6.75</v>
      </c>
      <c r="E609">
        <v>44.619998528000004</v>
      </c>
      <c r="F609">
        <v>-1.3103819413</v>
      </c>
      <c r="G609">
        <v>-0.5</v>
      </c>
      <c r="H609" s="30">
        <f t="shared" si="16"/>
        <v>7.25</v>
      </c>
    </row>
    <row r="610" spans="1:17" hidden="1" x14ac:dyDescent="0.25">
      <c r="A610" t="s">
        <v>2004</v>
      </c>
      <c r="B610" s="8">
        <v>42141</v>
      </c>
      <c r="C610">
        <v>59</v>
      </c>
      <c r="D610">
        <v>37.5</v>
      </c>
      <c r="E610">
        <v>36.953974453299999</v>
      </c>
      <c r="F610">
        <v>-8.9665701947500001</v>
      </c>
      <c r="G610">
        <v>14</v>
      </c>
      <c r="H610" s="30">
        <f t="shared" si="16"/>
        <v>23.5</v>
      </c>
    </row>
    <row r="611" spans="1:17" hidden="1" x14ac:dyDescent="0.25">
      <c r="A611" t="s">
        <v>2005</v>
      </c>
      <c r="B611" s="8">
        <v>42142</v>
      </c>
      <c r="C611">
        <v>83</v>
      </c>
      <c r="D611">
        <v>27.5</v>
      </c>
      <c r="E611">
        <v>44.6358843724</v>
      </c>
      <c r="F611">
        <v>-4.0286742147799997</v>
      </c>
      <c r="G611">
        <v>14</v>
      </c>
      <c r="H611" s="30">
        <f t="shared" si="16"/>
        <v>13.5</v>
      </c>
    </row>
    <row r="612" spans="1:17" hidden="1" x14ac:dyDescent="0.25">
      <c r="A612" t="s">
        <v>2006</v>
      </c>
      <c r="B612" s="8">
        <v>42142</v>
      </c>
      <c r="C612">
        <v>71</v>
      </c>
      <c r="D612">
        <v>23.5</v>
      </c>
      <c r="E612">
        <v>44.381269858000003</v>
      </c>
      <c r="F612">
        <v>-3.5269987887299998</v>
      </c>
      <c r="G612">
        <v>14</v>
      </c>
      <c r="H612" s="30">
        <f t="shared" si="16"/>
        <v>9.5</v>
      </c>
    </row>
    <row r="613" spans="1:17" hidden="1" x14ac:dyDescent="0.25">
      <c r="A613" t="s">
        <v>2007</v>
      </c>
      <c r="B613" s="8">
        <v>42137</v>
      </c>
      <c r="C613">
        <v>24</v>
      </c>
      <c r="D613">
        <v>9</v>
      </c>
      <c r="E613">
        <v>31.476038868900002</v>
      </c>
      <c r="F613">
        <v>-3.13613967045</v>
      </c>
      <c r="G613">
        <v>1</v>
      </c>
      <c r="H613" s="30">
        <f t="shared" si="16"/>
        <v>8</v>
      </c>
    </row>
    <row r="614" spans="1:17" hidden="1" x14ac:dyDescent="0.25">
      <c r="A614" t="s">
        <v>2008</v>
      </c>
      <c r="B614" s="8">
        <v>42136</v>
      </c>
      <c r="C614">
        <v>176</v>
      </c>
      <c r="D614">
        <v>28.7</v>
      </c>
      <c r="E614">
        <v>45.672570224799998</v>
      </c>
      <c r="F614">
        <v>-4.2882326199399996</v>
      </c>
      <c r="G614">
        <v>4.2</v>
      </c>
      <c r="H614" s="30">
        <f t="shared" si="16"/>
        <v>24.5</v>
      </c>
    </row>
    <row r="615" spans="1:17" s="30" customFormat="1" hidden="1" x14ac:dyDescent="0.25">
      <c r="A615" t="s">
        <v>2009</v>
      </c>
      <c r="B615" s="8">
        <v>42136</v>
      </c>
      <c r="C615">
        <v>164</v>
      </c>
      <c r="D615">
        <v>22.45</v>
      </c>
      <c r="E615">
        <v>44.855796202299999</v>
      </c>
      <c r="F615">
        <v>-3.5929991974500002</v>
      </c>
      <c r="G615">
        <v>4.2</v>
      </c>
      <c r="H615" s="30">
        <f t="shared" si="16"/>
        <v>18.25</v>
      </c>
      <c r="I615"/>
      <c r="J615"/>
      <c r="K615"/>
      <c r="L615"/>
      <c r="M615"/>
      <c r="N615"/>
      <c r="O615"/>
      <c r="P615"/>
      <c r="Q615"/>
    </row>
    <row r="616" spans="1:17" s="30" customFormat="1" hidden="1" x14ac:dyDescent="0.25">
      <c r="A616" t="s">
        <v>2010</v>
      </c>
      <c r="B616" s="8">
        <v>42136</v>
      </c>
      <c r="C616">
        <v>71</v>
      </c>
      <c r="D616">
        <v>32.200000000000003</v>
      </c>
      <c r="E616">
        <v>37.558116034699999</v>
      </c>
      <c r="F616">
        <v>-0.95378694361100003</v>
      </c>
      <c r="G616">
        <v>12.2</v>
      </c>
      <c r="H616" s="30">
        <f t="shared" si="16"/>
        <v>20.000000000000004</v>
      </c>
      <c r="I616"/>
      <c r="J616"/>
      <c r="K616"/>
      <c r="L616"/>
      <c r="M616"/>
      <c r="N616"/>
      <c r="O616"/>
      <c r="P616"/>
      <c r="Q616"/>
    </row>
    <row r="617" spans="1:17" s="30" customFormat="1" hidden="1" x14ac:dyDescent="0.25">
      <c r="A617" t="s">
        <v>2011</v>
      </c>
      <c r="B617" s="8">
        <v>42136</v>
      </c>
      <c r="C617">
        <v>59</v>
      </c>
      <c r="D617">
        <v>19.7</v>
      </c>
      <c r="E617">
        <v>42.047703566400003</v>
      </c>
      <c r="F617">
        <v>-4.2772441398799996</v>
      </c>
      <c r="G617">
        <v>4.2</v>
      </c>
      <c r="H617" s="30">
        <f t="shared" si="16"/>
        <v>15.5</v>
      </c>
      <c r="I617"/>
      <c r="J617"/>
      <c r="K617"/>
      <c r="L617"/>
      <c r="M617"/>
      <c r="N617"/>
      <c r="O617"/>
      <c r="P617"/>
      <c r="Q617"/>
    </row>
    <row r="618" spans="1:17" s="30" customFormat="1" hidden="1" x14ac:dyDescent="0.25">
      <c r="A618" t="s">
        <v>2012</v>
      </c>
      <c r="B618" s="8">
        <v>42136</v>
      </c>
      <c r="C618">
        <v>46</v>
      </c>
      <c r="D618">
        <v>45</v>
      </c>
      <c r="E618">
        <v>36.198391562499999</v>
      </c>
      <c r="F618">
        <v>-0.35754077661099998</v>
      </c>
      <c r="G618">
        <v>21</v>
      </c>
      <c r="H618" s="30">
        <f t="shared" si="16"/>
        <v>24</v>
      </c>
      <c r="I618"/>
      <c r="J618"/>
      <c r="K618"/>
      <c r="L618"/>
      <c r="M618"/>
      <c r="N618"/>
      <c r="O618"/>
      <c r="P618"/>
      <c r="Q618"/>
    </row>
    <row r="619" spans="1:17" s="30" customFormat="1" hidden="1" x14ac:dyDescent="0.25">
      <c r="A619" t="s">
        <v>2013</v>
      </c>
      <c r="B619" s="8">
        <v>42135</v>
      </c>
      <c r="C619">
        <v>119</v>
      </c>
      <c r="D619">
        <v>16.5</v>
      </c>
      <c r="E619">
        <v>43.226422900400003</v>
      </c>
      <c r="F619">
        <v>-3.5839578362200002</v>
      </c>
      <c r="G619">
        <v>7</v>
      </c>
      <c r="H619" s="30">
        <f t="shared" si="16"/>
        <v>9.5</v>
      </c>
      <c r="I619"/>
      <c r="J619"/>
      <c r="K619"/>
      <c r="L619"/>
      <c r="M619"/>
      <c r="N619"/>
      <c r="O619"/>
      <c r="P619"/>
      <c r="Q619"/>
    </row>
    <row r="620" spans="1:17" s="30" customFormat="1" hidden="1" x14ac:dyDescent="0.25">
      <c r="A620" t="s">
        <v>2014</v>
      </c>
      <c r="B620" s="8">
        <v>42135</v>
      </c>
      <c r="C620">
        <v>36</v>
      </c>
      <c r="D620">
        <v>27.75</v>
      </c>
      <c r="E620">
        <v>34.585954928600003</v>
      </c>
      <c r="F620">
        <v>-7.7348712160800002</v>
      </c>
      <c r="G620">
        <v>11</v>
      </c>
      <c r="H620" s="30">
        <f t="shared" si="16"/>
        <v>16.75</v>
      </c>
      <c r="I620"/>
      <c r="J620"/>
      <c r="K620"/>
      <c r="L620"/>
      <c r="M620"/>
      <c r="N620"/>
      <c r="O620"/>
      <c r="P620"/>
      <c r="Q620"/>
    </row>
    <row r="621" spans="1:17" s="30" customFormat="1" hidden="1" x14ac:dyDescent="0.25">
      <c r="A621" t="s">
        <v>1913</v>
      </c>
      <c r="B621" s="8">
        <v>42135</v>
      </c>
      <c r="C621">
        <v>24</v>
      </c>
      <c r="D621"/>
      <c r="E621"/>
      <c r="F621"/>
      <c r="G621"/>
      <c r="H621" s="30">
        <f t="shared" si="16"/>
        <v>0</v>
      </c>
      <c r="I621"/>
      <c r="J621"/>
      <c r="K621"/>
      <c r="L621"/>
      <c r="M621"/>
      <c r="N621"/>
      <c r="O621"/>
      <c r="P621"/>
      <c r="Q621"/>
    </row>
    <row r="622" spans="1:17" s="30" customFormat="1" hidden="1" x14ac:dyDescent="0.25">
      <c r="A622" t="s">
        <v>2015</v>
      </c>
      <c r="B622" s="8">
        <v>42134</v>
      </c>
      <c r="C622">
        <v>178</v>
      </c>
      <c r="D622">
        <v>55</v>
      </c>
      <c r="E622">
        <v>40.606794783600002</v>
      </c>
      <c r="F622">
        <v>-2.7638025702400002</v>
      </c>
      <c r="G622">
        <v>26</v>
      </c>
      <c r="H622" s="30">
        <f t="shared" si="16"/>
        <v>29</v>
      </c>
      <c r="I622"/>
      <c r="J622"/>
      <c r="K622"/>
      <c r="L622"/>
      <c r="M622"/>
      <c r="N622"/>
      <c r="O622"/>
      <c r="P622"/>
      <c r="Q622"/>
    </row>
    <row r="623" spans="1:17" s="30" customFormat="1" hidden="1" x14ac:dyDescent="0.25">
      <c r="A623" t="s">
        <v>2016</v>
      </c>
      <c r="B623" s="8">
        <v>42134</v>
      </c>
      <c r="C623">
        <v>107</v>
      </c>
      <c r="D623">
        <v>41.25</v>
      </c>
      <c r="E623">
        <v>39.299767154999998</v>
      </c>
      <c r="F623">
        <v>-2.2283675377100001</v>
      </c>
      <c r="G623">
        <v>26</v>
      </c>
      <c r="H623" s="30">
        <f t="shared" si="16"/>
        <v>15.25</v>
      </c>
      <c r="I623"/>
      <c r="J623"/>
      <c r="K623"/>
      <c r="L623"/>
      <c r="M623"/>
      <c r="N623"/>
      <c r="O623"/>
      <c r="P623"/>
      <c r="Q623"/>
    </row>
    <row r="624" spans="1:17" s="30" customFormat="1" hidden="1" x14ac:dyDescent="0.25">
      <c r="A624" t="s">
        <v>2017</v>
      </c>
      <c r="B624" s="8">
        <v>42134</v>
      </c>
      <c r="C624">
        <v>59</v>
      </c>
      <c r="D624">
        <v>27.95</v>
      </c>
      <c r="E624">
        <v>35.983163730100003</v>
      </c>
      <c r="F624">
        <v>-3.7883642225099998</v>
      </c>
      <c r="G624">
        <v>-0.75</v>
      </c>
      <c r="H624" s="30">
        <f t="shared" si="16"/>
        <v>28.7</v>
      </c>
      <c r="I624"/>
      <c r="J624"/>
      <c r="K624"/>
      <c r="L624"/>
      <c r="M624"/>
      <c r="N624"/>
      <c r="O624"/>
      <c r="P624"/>
      <c r="Q624"/>
    </row>
    <row r="625" spans="1:17" s="30" customFormat="1" hidden="1" x14ac:dyDescent="0.25">
      <c r="A625" t="s">
        <v>2018</v>
      </c>
      <c r="B625" s="8">
        <v>42133</v>
      </c>
      <c r="C625">
        <v>99</v>
      </c>
      <c r="D625">
        <v>37.85</v>
      </c>
      <c r="E625">
        <v>38.041307109599998</v>
      </c>
      <c r="F625">
        <v>-1.3231985863</v>
      </c>
      <c r="G625">
        <v>15.1</v>
      </c>
      <c r="H625" s="30">
        <f t="shared" si="16"/>
        <v>22.75</v>
      </c>
      <c r="I625"/>
      <c r="J625"/>
      <c r="K625"/>
      <c r="L625"/>
      <c r="M625"/>
      <c r="N625"/>
      <c r="O625"/>
      <c r="P625"/>
      <c r="Q625"/>
    </row>
    <row r="626" spans="1:17" s="30" customFormat="1" hidden="1" x14ac:dyDescent="0.25">
      <c r="A626" t="s">
        <v>2019</v>
      </c>
      <c r="B626" s="8">
        <v>42133</v>
      </c>
      <c r="C626">
        <v>36</v>
      </c>
      <c r="D626">
        <v>43.7</v>
      </c>
      <c r="E626">
        <v>31.905674570599999</v>
      </c>
      <c r="F626">
        <v>-0.42333321587900002</v>
      </c>
      <c r="G626">
        <v>6.2</v>
      </c>
      <c r="H626" s="30">
        <f t="shared" si="16"/>
        <v>37.5</v>
      </c>
      <c r="I626"/>
      <c r="J626"/>
      <c r="K626"/>
      <c r="L626"/>
      <c r="M626"/>
      <c r="N626"/>
      <c r="O626"/>
      <c r="P626"/>
      <c r="Q626"/>
    </row>
    <row r="627" spans="1:17" s="30" customFormat="1" hidden="1" x14ac:dyDescent="0.25">
      <c r="A627" t="s">
        <v>2020</v>
      </c>
      <c r="B627" s="8">
        <v>42132</v>
      </c>
      <c r="C627">
        <v>167</v>
      </c>
      <c r="D627">
        <v>25</v>
      </c>
      <c r="E627">
        <v>57.368898593799997</v>
      </c>
      <c r="F627">
        <v>-2.2435802490899999</v>
      </c>
      <c r="G627">
        <v>9</v>
      </c>
      <c r="H627" s="30">
        <f t="shared" si="16"/>
        <v>16</v>
      </c>
      <c r="I627"/>
      <c r="J627"/>
      <c r="K627"/>
      <c r="L627"/>
      <c r="M627"/>
      <c r="N627"/>
      <c r="O627"/>
      <c r="P627"/>
      <c r="Q627"/>
    </row>
    <row r="628" spans="1:17" s="30" customFormat="1" hidden="1" x14ac:dyDescent="0.25">
      <c r="A628" t="s">
        <v>2021</v>
      </c>
      <c r="B628" s="8">
        <v>42131</v>
      </c>
      <c r="C628">
        <v>72</v>
      </c>
      <c r="D628">
        <v>42.5</v>
      </c>
      <c r="E628">
        <v>34.532485134600002</v>
      </c>
      <c r="F628">
        <v>-1.1232129075299999</v>
      </c>
      <c r="G628">
        <v>-0.5</v>
      </c>
      <c r="H628" s="30">
        <f t="shared" si="16"/>
        <v>43</v>
      </c>
      <c r="I628"/>
      <c r="J628"/>
      <c r="K628"/>
      <c r="L628"/>
      <c r="M628"/>
      <c r="N628"/>
      <c r="O628"/>
      <c r="P628"/>
      <c r="Q628"/>
    </row>
    <row r="629" spans="1:17" s="30" customFormat="1" hidden="1" x14ac:dyDescent="0.25">
      <c r="A629" t="s">
        <v>2022</v>
      </c>
      <c r="B629" s="8">
        <v>42130</v>
      </c>
      <c r="C629">
        <v>142</v>
      </c>
      <c r="D629">
        <v>53.75</v>
      </c>
      <c r="E629">
        <v>39.673354674700001</v>
      </c>
      <c r="F629">
        <v>-8.2832047306100005</v>
      </c>
      <c r="G629">
        <v>19</v>
      </c>
      <c r="H629" s="30">
        <f t="shared" si="16"/>
        <v>34.75</v>
      </c>
      <c r="I629"/>
      <c r="J629"/>
      <c r="K629"/>
      <c r="L629"/>
      <c r="M629"/>
      <c r="N629"/>
      <c r="O629"/>
      <c r="P629"/>
      <c r="Q629"/>
    </row>
    <row r="630" spans="1:17" s="30" customFormat="1" hidden="1" x14ac:dyDescent="0.25">
      <c r="A630" t="s">
        <v>2023</v>
      </c>
      <c r="B630" s="8">
        <v>42129</v>
      </c>
      <c r="C630">
        <v>167</v>
      </c>
      <c r="D630">
        <v>42</v>
      </c>
      <c r="E630">
        <v>40.030129529600003</v>
      </c>
      <c r="F630">
        <v>-9.8212364609799998</v>
      </c>
      <c r="G630">
        <v>11</v>
      </c>
      <c r="H630" s="30">
        <f t="shared" si="16"/>
        <v>31</v>
      </c>
      <c r="I630"/>
      <c r="J630"/>
      <c r="K630"/>
      <c r="L630"/>
      <c r="M630"/>
      <c r="N630"/>
      <c r="O630"/>
      <c r="P630"/>
      <c r="Q630"/>
    </row>
    <row r="631" spans="1:17" s="30" customFormat="1" hidden="1" x14ac:dyDescent="0.25">
      <c r="A631" t="s">
        <v>2024</v>
      </c>
      <c r="B631" s="8">
        <v>42128</v>
      </c>
      <c r="C631">
        <v>119</v>
      </c>
      <c r="D631">
        <v>26.25</v>
      </c>
      <c r="E631">
        <v>46.595352036199998</v>
      </c>
      <c r="F631">
        <v>-4.2047172184699999</v>
      </c>
      <c r="G631">
        <v>18</v>
      </c>
      <c r="H631" s="30">
        <f t="shared" si="16"/>
        <v>8.25</v>
      </c>
      <c r="I631"/>
      <c r="J631"/>
      <c r="K631"/>
      <c r="L631"/>
      <c r="M631"/>
      <c r="N631"/>
      <c r="O631"/>
      <c r="P631"/>
      <c r="Q631"/>
    </row>
    <row r="632" spans="1:17" s="30" customFormat="1" hidden="1" x14ac:dyDescent="0.25">
      <c r="A632" t="s">
        <v>2025</v>
      </c>
      <c r="B632" s="8">
        <v>42128</v>
      </c>
      <c r="C632">
        <v>36</v>
      </c>
      <c r="D632">
        <v>39.5</v>
      </c>
      <c r="E632">
        <v>34.455270975099999</v>
      </c>
      <c r="F632">
        <v>-3.8950375576499998</v>
      </c>
      <c r="G632">
        <v>7</v>
      </c>
      <c r="H632" s="30">
        <f t="shared" si="16"/>
        <v>32.5</v>
      </c>
      <c r="I632"/>
      <c r="J632"/>
      <c r="K632"/>
      <c r="L632"/>
      <c r="M632"/>
      <c r="N632"/>
      <c r="O632"/>
      <c r="P632"/>
      <c r="Q632"/>
    </row>
    <row r="633" spans="1:17" s="30" customFormat="1" hidden="1" x14ac:dyDescent="0.25">
      <c r="A633" t="s">
        <v>2026</v>
      </c>
      <c r="B633" s="8">
        <v>42128</v>
      </c>
      <c r="C633">
        <v>24</v>
      </c>
      <c r="D633">
        <v>18.75</v>
      </c>
      <c r="E633">
        <v>34.453876482200002</v>
      </c>
      <c r="F633">
        <v>-1.9143118128000001</v>
      </c>
      <c r="G633">
        <v>10</v>
      </c>
      <c r="H633" s="30">
        <f t="shared" si="16"/>
        <v>8.75</v>
      </c>
      <c r="I633"/>
      <c r="J633"/>
      <c r="K633"/>
      <c r="L633"/>
      <c r="M633"/>
      <c r="N633"/>
      <c r="O633"/>
      <c r="P633"/>
      <c r="Q633"/>
    </row>
    <row r="634" spans="1:17" s="30" customFormat="1" hidden="1" x14ac:dyDescent="0.25">
      <c r="A634" t="s">
        <v>2027</v>
      </c>
      <c r="B634" s="8">
        <v>42127</v>
      </c>
      <c r="C634">
        <v>48</v>
      </c>
      <c r="D634">
        <v>14.2</v>
      </c>
      <c r="E634">
        <v>36.904236196900001</v>
      </c>
      <c r="F634">
        <v>-0.515295179667</v>
      </c>
      <c r="G634">
        <v>2.2000000000000002</v>
      </c>
      <c r="H634" s="30">
        <f t="shared" si="16"/>
        <v>12</v>
      </c>
      <c r="I634"/>
      <c r="J634"/>
      <c r="K634"/>
      <c r="L634"/>
      <c r="M634"/>
      <c r="N634"/>
      <c r="O634"/>
      <c r="P634"/>
      <c r="Q634"/>
    </row>
    <row r="635" spans="1:17" hidden="1" x14ac:dyDescent="0.25">
      <c r="A635" t="s">
        <v>2028</v>
      </c>
      <c r="B635" s="8">
        <v>42126</v>
      </c>
      <c r="C635">
        <v>180</v>
      </c>
      <c r="D635">
        <v>15.5</v>
      </c>
      <c r="E635">
        <v>51.452316723700001</v>
      </c>
      <c r="F635">
        <v>-1.10231475092</v>
      </c>
      <c r="G635">
        <v>-2</v>
      </c>
      <c r="H635" s="30">
        <f t="shared" si="16"/>
        <v>17.5</v>
      </c>
    </row>
    <row r="636" spans="1:17" hidden="1" x14ac:dyDescent="0.25">
      <c r="A636" t="s">
        <v>2029</v>
      </c>
      <c r="B636" s="8">
        <v>42126</v>
      </c>
      <c r="C636">
        <v>84</v>
      </c>
      <c r="D636">
        <v>17.25</v>
      </c>
      <c r="E636">
        <v>41.848290688299997</v>
      </c>
      <c r="F636">
        <v>-2.4427010875800002</v>
      </c>
      <c r="G636">
        <v>4</v>
      </c>
      <c r="H636" s="30">
        <f t="shared" si="16"/>
        <v>13.25</v>
      </c>
    </row>
    <row r="637" spans="1:17" hidden="1" x14ac:dyDescent="0.25">
      <c r="A637" t="s">
        <v>2030</v>
      </c>
      <c r="B637" s="8">
        <v>42126</v>
      </c>
      <c r="C637">
        <v>96</v>
      </c>
      <c r="D637">
        <v>4.75</v>
      </c>
      <c r="E637">
        <v>50.077512317900002</v>
      </c>
      <c r="F637">
        <v>0.28154648607600002</v>
      </c>
      <c r="G637">
        <v>-2</v>
      </c>
      <c r="H637" s="30">
        <f t="shared" si="16"/>
        <v>6.75</v>
      </c>
    </row>
    <row r="638" spans="1:17" hidden="1" x14ac:dyDescent="0.25">
      <c r="A638" t="s">
        <v>2031</v>
      </c>
      <c r="B638" s="8">
        <v>42126</v>
      </c>
      <c r="C638">
        <v>36</v>
      </c>
      <c r="D638">
        <v>32.25</v>
      </c>
      <c r="E638">
        <v>41.223428493100002</v>
      </c>
      <c r="F638">
        <v>-2.4780306815399999</v>
      </c>
      <c r="G638">
        <v>4</v>
      </c>
      <c r="H638" s="30">
        <f t="shared" si="16"/>
        <v>28.25</v>
      </c>
    </row>
    <row r="639" spans="1:17" hidden="1" x14ac:dyDescent="0.25">
      <c r="A639" t="s">
        <v>2032</v>
      </c>
      <c r="B639" s="8">
        <v>42125</v>
      </c>
      <c r="C639">
        <v>165</v>
      </c>
      <c r="D639">
        <v>29</v>
      </c>
      <c r="E639">
        <v>41.2944084011</v>
      </c>
      <c r="F639">
        <v>-9.9462549875300006</v>
      </c>
      <c r="G639">
        <v>14</v>
      </c>
      <c r="H639" s="30">
        <f t="shared" si="16"/>
        <v>15</v>
      </c>
    </row>
    <row r="640" spans="1:17" hidden="1" x14ac:dyDescent="0.25">
      <c r="A640" t="s">
        <v>2033</v>
      </c>
      <c r="B640" s="8">
        <v>42125</v>
      </c>
      <c r="C640">
        <v>60</v>
      </c>
      <c r="D640">
        <v>18</v>
      </c>
      <c r="E640">
        <v>36.074562632700001</v>
      </c>
      <c r="F640">
        <v>-4.0035041847699997</v>
      </c>
      <c r="G640">
        <v>1.75</v>
      </c>
      <c r="H640" s="30">
        <f t="shared" si="16"/>
        <v>16.25</v>
      </c>
    </row>
    <row r="641" spans="1:8" hidden="1" x14ac:dyDescent="0.25">
      <c r="A641" t="s">
        <v>2034</v>
      </c>
      <c r="B641" s="8">
        <v>42123</v>
      </c>
      <c r="C641">
        <v>96</v>
      </c>
      <c r="D641">
        <v>33.450000000000003</v>
      </c>
      <c r="E641">
        <v>43.266468013599997</v>
      </c>
      <c r="F641">
        <v>-0.70206981156399995</v>
      </c>
      <c r="G641">
        <v>12.2</v>
      </c>
      <c r="H641" s="30">
        <f t="shared" si="16"/>
        <v>21.250000000000004</v>
      </c>
    </row>
    <row r="642" spans="1:8" hidden="1" x14ac:dyDescent="0.25">
      <c r="A642" t="s">
        <v>1913</v>
      </c>
      <c r="B642" s="8">
        <v>42123</v>
      </c>
      <c r="C642">
        <v>36</v>
      </c>
      <c r="H642" s="30">
        <f t="shared" si="16"/>
        <v>0</v>
      </c>
    </row>
    <row r="643" spans="1:8" hidden="1" x14ac:dyDescent="0.25">
      <c r="A643" t="s">
        <v>2035</v>
      </c>
      <c r="B643" s="8">
        <v>42122</v>
      </c>
      <c r="C643">
        <v>141</v>
      </c>
      <c r="D643">
        <v>31</v>
      </c>
      <c r="E643">
        <v>46.583137252</v>
      </c>
      <c r="F643">
        <v>-3.3118323569200001</v>
      </c>
      <c r="G643">
        <v>-0.5</v>
      </c>
      <c r="H643" s="30">
        <f t="shared" si="16"/>
        <v>31.5</v>
      </c>
    </row>
    <row r="644" spans="1:8" hidden="1" x14ac:dyDescent="0.25">
      <c r="A644" t="s">
        <v>2036</v>
      </c>
      <c r="B644" s="8">
        <v>42122</v>
      </c>
      <c r="C644">
        <v>71</v>
      </c>
      <c r="D644">
        <v>56</v>
      </c>
      <c r="E644">
        <v>39.094555639299998</v>
      </c>
      <c r="F644">
        <v>-2.0001058415799999</v>
      </c>
      <c r="G644">
        <v>16</v>
      </c>
      <c r="H644" s="30">
        <f t="shared" si="16"/>
        <v>40</v>
      </c>
    </row>
    <row r="645" spans="1:8" hidden="1" x14ac:dyDescent="0.25">
      <c r="A645" t="s">
        <v>2037</v>
      </c>
      <c r="B645" s="8">
        <v>42121</v>
      </c>
      <c r="C645">
        <v>154</v>
      </c>
      <c r="D645">
        <v>42.5</v>
      </c>
      <c r="E645">
        <v>44.115401635799998</v>
      </c>
      <c r="F645">
        <v>-2.8874959822499999</v>
      </c>
      <c r="G645">
        <v>-0.5</v>
      </c>
      <c r="H645" s="30">
        <f t="shared" si="16"/>
        <v>43</v>
      </c>
    </row>
    <row r="646" spans="1:8" hidden="1" x14ac:dyDescent="0.25">
      <c r="A646" t="s">
        <v>2038</v>
      </c>
      <c r="B646" s="8">
        <v>42121</v>
      </c>
      <c r="C646">
        <v>131</v>
      </c>
      <c r="D646">
        <v>34.25</v>
      </c>
      <c r="E646">
        <v>42.3191796407</v>
      </c>
      <c r="F646">
        <v>-3.1155020363700001</v>
      </c>
      <c r="G646">
        <v>-0.5</v>
      </c>
      <c r="H646" s="30">
        <f t="shared" si="16"/>
        <v>34.75</v>
      </c>
    </row>
    <row r="647" spans="1:8" hidden="1" x14ac:dyDescent="0.25">
      <c r="A647" t="s">
        <v>2039</v>
      </c>
      <c r="B647" s="8">
        <v>42121</v>
      </c>
      <c r="C647">
        <v>70</v>
      </c>
      <c r="D647">
        <v>48.85</v>
      </c>
      <c r="E647">
        <v>39.2775861979</v>
      </c>
      <c r="F647">
        <v>-5.2802847452800004</v>
      </c>
      <c r="G647">
        <v>7.1</v>
      </c>
      <c r="H647" s="30">
        <f t="shared" si="16"/>
        <v>41.75</v>
      </c>
    </row>
    <row r="648" spans="1:8" hidden="1" x14ac:dyDescent="0.25">
      <c r="A648" t="s">
        <v>2040</v>
      </c>
      <c r="B648" s="8">
        <v>42120</v>
      </c>
      <c r="C648">
        <v>166</v>
      </c>
      <c r="D648">
        <v>22.25</v>
      </c>
      <c r="E648">
        <v>43.853249495900002</v>
      </c>
      <c r="F648">
        <v>0.24601425836999999</v>
      </c>
      <c r="G648">
        <v>14</v>
      </c>
      <c r="H648" s="30">
        <f t="shared" si="16"/>
        <v>8.25</v>
      </c>
    </row>
    <row r="649" spans="1:8" hidden="1" x14ac:dyDescent="0.25">
      <c r="A649" t="s">
        <v>2041</v>
      </c>
      <c r="B649" s="8">
        <v>42120</v>
      </c>
      <c r="C649">
        <v>60</v>
      </c>
      <c r="D649">
        <v>30.35</v>
      </c>
      <c r="E649">
        <v>36.748525714700001</v>
      </c>
      <c r="F649">
        <v>-0.65518953084099996</v>
      </c>
      <c r="G649">
        <v>17.100000000000001</v>
      </c>
      <c r="H649" s="30">
        <f t="shared" si="16"/>
        <v>13.25</v>
      </c>
    </row>
    <row r="650" spans="1:8" hidden="1" x14ac:dyDescent="0.25">
      <c r="A650" t="s">
        <v>2042</v>
      </c>
      <c r="B650" s="8">
        <v>42119</v>
      </c>
      <c r="C650">
        <v>96</v>
      </c>
      <c r="D650">
        <v>36.700000000000003</v>
      </c>
      <c r="E650">
        <v>39.510067730499998</v>
      </c>
      <c r="F650">
        <v>-1.1039449530000001</v>
      </c>
      <c r="G650">
        <v>10.199999999999999</v>
      </c>
      <c r="H650" s="30">
        <f t="shared" si="16"/>
        <v>26.500000000000004</v>
      </c>
    </row>
    <row r="651" spans="1:8" hidden="1" x14ac:dyDescent="0.25">
      <c r="A651" t="s">
        <v>2043</v>
      </c>
      <c r="B651" s="8">
        <v>42119</v>
      </c>
      <c r="C651">
        <v>47</v>
      </c>
      <c r="D651">
        <v>35.25</v>
      </c>
      <c r="E651">
        <v>33.2044350854</v>
      </c>
      <c r="F651">
        <v>-0.22322864847500001</v>
      </c>
      <c r="G651">
        <v>0</v>
      </c>
      <c r="H651" s="30">
        <f t="shared" si="16"/>
        <v>35.25</v>
      </c>
    </row>
    <row r="652" spans="1:8" hidden="1" x14ac:dyDescent="0.25">
      <c r="A652" t="s">
        <v>2044</v>
      </c>
      <c r="B652" s="8">
        <v>42118</v>
      </c>
      <c r="C652">
        <v>179</v>
      </c>
      <c r="D652">
        <v>23.75</v>
      </c>
      <c r="E652">
        <v>48.129533590900003</v>
      </c>
      <c r="F652">
        <v>-3.5848446708299999</v>
      </c>
      <c r="G652">
        <v>3</v>
      </c>
      <c r="H652" s="30">
        <f t="shared" si="16"/>
        <v>20.75</v>
      </c>
    </row>
    <row r="653" spans="1:8" hidden="1" x14ac:dyDescent="0.25">
      <c r="A653" t="s">
        <v>2045</v>
      </c>
      <c r="B653" s="8">
        <v>42118</v>
      </c>
      <c r="C653">
        <v>59</v>
      </c>
      <c r="D653">
        <v>24.5</v>
      </c>
      <c r="E653">
        <v>38.291626419499998</v>
      </c>
      <c r="F653">
        <v>-3.29997473875</v>
      </c>
      <c r="G653">
        <v>22</v>
      </c>
      <c r="H653" s="30">
        <f t="shared" si="16"/>
        <v>2.5</v>
      </c>
    </row>
    <row r="654" spans="1:8" hidden="1" x14ac:dyDescent="0.25">
      <c r="A654" t="s">
        <v>2046</v>
      </c>
      <c r="B654" s="8">
        <v>42118</v>
      </c>
      <c r="C654">
        <v>36</v>
      </c>
      <c r="D654">
        <v>26.25</v>
      </c>
      <c r="E654">
        <v>32.096672327900002</v>
      </c>
      <c r="F654">
        <v>-6.0856827563599998</v>
      </c>
      <c r="G654">
        <v>9</v>
      </c>
      <c r="H654" s="30">
        <f t="shared" si="16"/>
        <v>17.25</v>
      </c>
    </row>
    <row r="655" spans="1:8" hidden="1" x14ac:dyDescent="0.25">
      <c r="A655" t="s">
        <v>2047</v>
      </c>
      <c r="B655" s="8">
        <v>42117</v>
      </c>
      <c r="C655">
        <v>35</v>
      </c>
      <c r="D655">
        <v>25.5</v>
      </c>
      <c r="E655">
        <v>32.369778585600002</v>
      </c>
      <c r="F655">
        <v>-0.89164790750300005</v>
      </c>
      <c r="G655">
        <v>10</v>
      </c>
      <c r="H655" s="30">
        <f t="shared" si="16"/>
        <v>15.5</v>
      </c>
    </row>
    <row r="656" spans="1:8" hidden="1" x14ac:dyDescent="0.25">
      <c r="A656" t="s">
        <v>2048</v>
      </c>
      <c r="B656" s="8">
        <v>42117</v>
      </c>
      <c r="C656">
        <v>47</v>
      </c>
      <c r="D656">
        <v>26.25</v>
      </c>
      <c r="E656">
        <v>35.289513894499997</v>
      </c>
      <c r="F656">
        <v>-1.2516702796500001</v>
      </c>
      <c r="G656">
        <v>17</v>
      </c>
      <c r="H656" s="30">
        <f t="shared" si="16"/>
        <v>9.25</v>
      </c>
    </row>
    <row r="657" spans="1:8" hidden="1" x14ac:dyDescent="0.25">
      <c r="A657" t="s">
        <v>2049</v>
      </c>
      <c r="B657" s="8">
        <v>42116</v>
      </c>
      <c r="C657">
        <v>179</v>
      </c>
      <c r="D657">
        <v>33.75</v>
      </c>
      <c r="E657">
        <v>40.592580593999998</v>
      </c>
      <c r="F657">
        <v>-2.36376988468E-2</v>
      </c>
      <c r="G657">
        <v>19</v>
      </c>
      <c r="H657" s="30">
        <f t="shared" si="16"/>
        <v>14.75</v>
      </c>
    </row>
    <row r="658" spans="1:8" hidden="1" x14ac:dyDescent="0.25">
      <c r="A658" t="s">
        <v>2049</v>
      </c>
      <c r="B658" s="8">
        <v>42116</v>
      </c>
      <c r="C658">
        <v>167</v>
      </c>
      <c r="D658">
        <v>33.75</v>
      </c>
      <c r="E658">
        <v>40.592580593999998</v>
      </c>
      <c r="F658">
        <v>-2.36376988468E-2</v>
      </c>
      <c r="G658">
        <v>19</v>
      </c>
      <c r="H658" s="30">
        <f t="shared" si="16"/>
        <v>14.75</v>
      </c>
    </row>
    <row r="659" spans="1:8" hidden="1" x14ac:dyDescent="0.25">
      <c r="A659" t="s">
        <v>2050</v>
      </c>
      <c r="B659" s="8">
        <v>42116</v>
      </c>
      <c r="C659">
        <v>48</v>
      </c>
      <c r="D659">
        <v>25.75</v>
      </c>
      <c r="E659">
        <v>32.707234568799997</v>
      </c>
      <c r="F659">
        <v>-0.68117071862800005</v>
      </c>
      <c r="G659">
        <v>-0.5</v>
      </c>
      <c r="H659" s="30">
        <f t="shared" si="16"/>
        <v>26.25</v>
      </c>
    </row>
    <row r="660" spans="1:8" hidden="1" x14ac:dyDescent="0.25">
      <c r="A660" t="s">
        <v>1913</v>
      </c>
      <c r="B660" s="8">
        <v>42116</v>
      </c>
      <c r="C660">
        <v>35</v>
      </c>
      <c r="H660" s="30">
        <f t="shared" si="16"/>
        <v>0</v>
      </c>
    </row>
    <row r="661" spans="1:8" hidden="1" x14ac:dyDescent="0.25">
      <c r="A661" t="s">
        <v>2051</v>
      </c>
      <c r="B661" s="8">
        <v>42115</v>
      </c>
      <c r="C661">
        <v>179</v>
      </c>
      <c r="D661">
        <v>34.6</v>
      </c>
      <c r="E661">
        <v>64.511439863700005</v>
      </c>
      <c r="F661">
        <v>-1.8301593333699999</v>
      </c>
      <c r="G661">
        <v>12.1</v>
      </c>
      <c r="H661" s="30">
        <f t="shared" si="16"/>
        <v>22.5</v>
      </c>
    </row>
    <row r="662" spans="1:8" hidden="1" x14ac:dyDescent="0.25">
      <c r="A662" t="s">
        <v>2052</v>
      </c>
      <c r="B662" s="8">
        <v>42115</v>
      </c>
      <c r="C662">
        <v>47</v>
      </c>
      <c r="D662">
        <v>53.2</v>
      </c>
      <c r="E662">
        <v>32.737024655799999</v>
      </c>
      <c r="F662">
        <v>-0.93249992355800004</v>
      </c>
      <c r="G662">
        <v>6.2</v>
      </c>
      <c r="H662" s="30">
        <f t="shared" ref="H662:H671" si="17">D662-G662</f>
        <v>47</v>
      </c>
    </row>
    <row r="663" spans="1:8" hidden="1" x14ac:dyDescent="0.25">
      <c r="A663" t="s">
        <v>2053</v>
      </c>
      <c r="B663" s="8">
        <v>42114</v>
      </c>
      <c r="C663">
        <v>95</v>
      </c>
      <c r="D663">
        <v>31.1</v>
      </c>
      <c r="E663">
        <v>39.170475997499999</v>
      </c>
      <c r="F663">
        <v>-0.69740461514700003</v>
      </c>
      <c r="G663">
        <v>17.100000000000001</v>
      </c>
      <c r="H663" s="30">
        <f t="shared" si="17"/>
        <v>14</v>
      </c>
    </row>
    <row r="664" spans="1:8" hidden="1" x14ac:dyDescent="0.25">
      <c r="A664" t="s">
        <v>2054</v>
      </c>
      <c r="B664" s="8">
        <v>42114</v>
      </c>
      <c r="C664">
        <v>35</v>
      </c>
      <c r="D664">
        <v>11</v>
      </c>
      <c r="E664">
        <v>33.1076040437</v>
      </c>
      <c r="F664">
        <v>-0.86740674080000002</v>
      </c>
      <c r="G664">
        <v>-2</v>
      </c>
      <c r="H664" s="30">
        <f t="shared" si="17"/>
        <v>13</v>
      </c>
    </row>
    <row r="665" spans="1:8" hidden="1" x14ac:dyDescent="0.25">
      <c r="A665" t="s">
        <v>2055</v>
      </c>
      <c r="B665" s="8">
        <v>42113</v>
      </c>
      <c r="C665">
        <v>179</v>
      </c>
      <c r="D665">
        <v>31</v>
      </c>
      <c r="E665">
        <v>53.7647159777</v>
      </c>
      <c r="F665">
        <v>-2.3612039984300002</v>
      </c>
      <c r="G665">
        <v>13</v>
      </c>
      <c r="H665" s="30">
        <f t="shared" si="17"/>
        <v>18</v>
      </c>
    </row>
    <row r="666" spans="1:8" hidden="1" x14ac:dyDescent="0.25">
      <c r="A666" t="s">
        <v>2055</v>
      </c>
      <c r="B666" s="8">
        <v>42113</v>
      </c>
      <c r="C666">
        <v>131</v>
      </c>
      <c r="D666">
        <v>31</v>
      </c>
      <c r="E666">
        <v>53.7647159777</v>
      </c>
      <c r="F666">
        <v>-2.3612039984300002</v>
      </c>
      <c r="G666">
        <v>13</v>
      </c>
      <c r="H666" s="30">
        <f t="shared" si="17"/>
        <v>18</v>
      </c>
    </row>
    <row r="667" spans="1:8" hidden="1" x14ac:dyDescent="0.25">
      <c r="A667" t="s">
        <v>2056</v>
      </c>
      <c r="B667" s="8">
        <v>42113</v>
      </c>
      <c r="C667">
        <v>48</v>
      </c>
      <c r="D667">
        <v>33.25</v>
      </c>
      <c r="E667">
        <v>35.586425749199996</v>
      </c>
      <c r="F667">
        <v>-2.9476142468900002</v>
      </c>
      <c r="G667">
        <v>-0.25</v>
      </c>
      <c r="H667" s="30">
        <f t="shared" si="17"/>
        <v>33.5</v>
      </c>
    </row>
    <row r="668" spans="1:8" hidden="1" x14ac:dyDescent="0.25">
      <c r="A668" t="s">
        <v>2057</v>
      </c>
      <c r="B668" s="8">
        <v>42112</v>
      </c>
      <c r="C668">
        <v>95</v>
      </c>
      <c r="D668">
        <v>26.75</v>
      </c>
      <c r="E668">
        <v>41.825319770100002</v>
      </c>
      <c r="F668">
        <v>-7.7230224289300002</v>
      </c>
      <c r="G668">
        <v>12</v>
      </c>
      <c r="H668" s="30">
        <f t="shared" si="17"/>
        <v>14.75</v>
      </c>
    </row>
    <row r="669" spans="1:8" hidden="1" x14ac:dyDescent="0.25">
      <c r="A669" t="s">
        <v>2058</v>
      </c>
      <c r="B669" s="8">
        <v>42111</v>
      </c>
      <c r="C669">
        <v>154</v>
      </c>
      <c r="D669">
        <v>30.75</v>
      </c>
      <c r="E669">
        <v>55.5577546321</v>
      </c>
      <c r="F669">
        <v>-1.5336209368</v>
      </c>
      <c r="G669">
        <v>14</v>
      </c>
      <c r="H669" s="30">
        <f t="shared" si="17"/>
        <v>16.75</v>
      </c>
    </row>
    <row r="670" spans="1:8" hidden="1" x14ac:dyDescent="0.25">
      <c r="A670" t="s">
        <v>2059</v>
      </c>
      <c r="B670" s="8">
        <v>42111</v>
      </c>
      <c r="C670">
        <v>36</v>
      </c>
      <c r="D670">
        <v>45.25</v>
      </c>
      <c r="E670">
        <v>35.7196660886</v>
      </c>
      <c r="F670">
        <v>-1.6567608502</v>
      </c>
      <c r="G670">
        <v>1.75</v>
      </c>
      <c r="H670" s="30">
        <f t="shared" si="17"/>
        <v>43.5</v>
      </c>
    </row>
    <row r="671" spans="1:8" hidden="1" x14ac:dyDescent="0.25">
      <c r="A671" t="s">
        <v>2060</v>
      </c>
      <c r="B671" s="8">
        <v>42111</v>
      </c>
      <c r="C671">
        <v>48</v>
      </c>
      <c r="D671">
        <v>20.25</v>
      </c>
      <c r="E671">
        <v>47.436304933300001</v>
      </c>
      <c r="F671">
        <v>-3.1726063896899999</v>
      </c>
      <c r="G671">
        <v>14</v>
      </c>
      <c r="H671" s="30">
        <f t="shared" si="17"/>
        <v>6.25</v>
      </c>
    </row>
    <row r="672" spans="1:8" hidden="1" x14ac:dyDescent="0.25"/>
    <row r="673" spans="1:17" ht="15.75" hidden="1" thickBot="1" x14ac:dyDescent="0.3"/>
    <row r="674" spans="1:17" ht="30" hidden="1" x14ac:dyDescent="0.25">
      <c r="A674" s="37" t="s">
        <v>2181</v>
      </c>
      <c r="B674" s="38" t="s">
        <v>311</v>
      </c>
      <c r="C674" s="38" t="s">
        <v>1545</v>
      </c>
      <c r="D674" s="38" t="s">
        <v>1527</v>
      </c>
      <c r="E674" s="38" t="s">
        <v>1546</v>
      </c>
      <c r="F674" s="38" t="s">
        <v>1547</v>
      </c>
      <c r="G674" s="40" t="s">
        <v>1861</v>
      </c>
      <c r="H674" s="38" t="s">
        <v>1862</v>
      </c>
      <c r="I674" s="65" t="s">
        <v>1989</v>
      </c>
      <c r="J674" s="66" t="s">
        <v>1990</v>
      </c>
      <c r="K674" s="67" t="s">
        <v>1991</v>
      </c>
    </row>
    <row r="675" spans="1:17" hidden="1" x14ac:dyDescent="0.25">
      <c r="A675" s="30" t="s">
        <v>2073</v>
      </c>
      <c r="B675" s="8">
        <v>42142</v>
      </c>
      <c r="C675" s="30">
        <v>130</v>
      </c>
      <c r="D675" s="30">
        <v>28.75</v>
      </c>
      <c r="E675" s="30">
        <v>45.773396358500001</v>
      </c>
      <c r="F675" s="30">
        <v>-3.81152491302</v>
      </c>
      <c r="G675" s="30">
        <v>14</v>
      </c>
      <c r="H675" s="30">
        <f t="shared" ref="H675:H685" si="18">D675-G675</f>
        <v>14.75</v>
      </c>
      <c r="I675" s="68">
        <f>AVERAGE(D675:D764)</f>
        <v>31.067241379310339</v>
      </c>
      <c r="J675" s="68">
        <f>_xlfn.STDEV.P(D675:D764)</f>
        <v>12.085975123624191</v>
      </c>
      <c r="K675" s="68">
        <f>MEDIAN(D675:D764)</f>
        <v>30.45</v>
      </c>
    </row>
    <row r="676" spans="1:17" hidden="1" x14ac:dyDescent="0.25">
      <c r="A676" t="s">
        <v>2074</v>
      </c>
      <c r="B676" s="8">
        <v>42142</v>
      </c>
      <c r="C676">
        <v>110</v>
      </c>
      <c r="D676">
        <v>23.75</v>
      </c>
      <c r="E676">
        <v>45.260268201199999</v>
      </c>
      <c r="F676">
        <v>-4.0341555407999996</v>
      </c>
      <c r="G676">
        <v>14</v>
      </c>
      <c r="H676" s="30">
        <f t="shared" si="18"/>
        <v>9.75</v>
      </c>
    </row>
    <row r="677" spans="1:17" hidden="1" x14ac:dyDescent="0.25">
      <c r="A677" t="s">
        <v>2070</v>
      </c>
      <c r="B677" s="8">
        <v>42141</v>
      </c>
      <c r="C677">
        <v>279</v>
      </c>
      <c r="D677">
        <v>6</v>
      </c>
      <c r="E677">
        <v>48.675047156300003</v>
      </c>
      <c r="F677">
        <v>-0.93787321056700002</v>
      </c>
      <c r="G677">
        <v>-0.5</v>
      </c>
      <c r="H677" s="30">
        <f t="shared" si="18"/>
        <v>6.5</v>
      </c>
    </row>
    <row r="678" spans="1:17" hidden="1" x14ac:dyDescent="0.25">
      <c r="A678" t="s">
        <v>2071</v>
      </c>
      <c r="B678" s="8">
        <v>42141</v>
      </c>
      <c r="C678">
        <v>97</v>
      </c>
      <c r="D678">
        <v>21.75</v>
      </c>
      <c r="E678">
        <v>44.787216790499997</v>
      </c>
      <c r="F678">
        <v>-2.1595949921400002</v>
      </c>
      <c r="G678">
        <v>13</v>
      </c>
      <c r="H678" s="30">
        <f t="shared" si="18"/>
        <v>8.75</v>
      </c>
    </row>
    <row r="679" spans="1:17" hidden="1" x14ac:dyDescent="0.25">
      <c r="A679" t="s">
        <v>2070</v>
      </c>
      <c r="B679" s="8">
        <v>42141</v>
      </c>
      <c r="C679">
        <v>187</v>
      </c>
      <c r="D679">
        <v>6</v>
      </c>
      <c r="E679">
        <v>48.675047156300003</v>
      </c>
      <c r="F679">
        <v>-0.93787321056700002</v>
      </c>
      <c r="G679">
        <v>-0.5</v>
      </c>
      <c r="H679" s="30">
        <f t="shared" si="18"/>
        <v>6.5</v>
      </c>
      <c r="M679" s="30"/>
      <c r="N679" s="30"/>
      <c r="O679" s="30"/>
      <c r="P679" s="30"/>
      <c r="Q679" s="30"/>
    </row>
    <row r="680" spans="1:17" hidden="1" x14ac:dyDescent="0.25">
      <c r="A680" t="s">
        <v>2072</v>
      </c>
      <c r="B680" s="8">
        <v>42141</v>
      </c>
      <c r="C680">
        <v>92</v>
      </c>
      <c r="D680">
        <v>36.75</v>
      </c>
      <c r="E680">
        <v>37.065702238900002</v>
      </c>
      <c r="F680">
        <v>-8.9110970249200001</v>
      </c>
      <c r="G680">
        <v>14</v>
      </c>
      <c r="H680" s="30">
        <f t="shared" si="18"/>
        <v>22.75</v>
      </c>
      <c r="M680" s="30"/>
      <c r="N680" s="30"/>
      <c r="O680" s="30"/>
      <c r="P680" s="30"/>
      <c r="Q680" s="30"/>
    </row>
    <row r="681" spans="1:17" hidden="1" x14ac:dyDescent="0.25">
      <c r="A681" t="s">
        <v>2067</v>
      </c>
      <c r="B681" s="8">
        <v>42140</v>
      </c>
      <c r="C681">
        <v>275</v>
      </c>
      <c r="D681">
        <v>43.5</v>
      </c>
      <c r="E681">
        <v>44.208727430000003</v>
      </c>
      <c r="F681">
        <v>-7.6929573098699997</v>
      </c>
      <c r="G681">
        <v>7</v>
      </c>
      <c r="H681" s="30">
        <f t="shared" si="18"/>
        <v>36.5</v>
      </c>
      <c r="M681" s="30"/>
      <c r="N681" s="30"/>
      <c r="O681" s="30"/>
      <c r="P681" s="30"/>
      <c r="Q681" s="30"/>
    </row>
    <row r="682" spans="1:17" hidden="1" x14ac:dyDescent="0.25">
      <c r="A682" t="s">
        <v>2068</v>
      </c>
      <c r="B682" s="8">
        <v>42140</v>
      </c>
      <c r="C682">
        <v>71</v>
      </c>
      <c r="D682">
        <v>34.5</v>
      </c>
      <c r="E682">
        <v>39.504484016600003</v>
      </c>
      <c r="F682">
        <v>-6.3507913823299997</v>
      </c>
      <c r="G682">
        <v>1</v>
      </c>
      <c r="H682" s="30">
        <f t="shared" si="18"/>
        <v>33.5</v>
      </c>
      <c r="M682" s="30"/>
      <c r="N682" s="30"/>
      <c r="O682" s="30"/>
      <c r="P682" s="30"/>
      <c r="Q682" s="30"/>
    </row>
    <row r="683" spans="1:17" hidden="1" x14ac:dyDescent="0.25">
      <c r="A683" t="s">
        <v>2069</v>
      </c>
      <c r="B683" s="8">
        <v>42140</v>
      </c>
      <c r="C683">
        <v>204</v>
      </c>
      <c r="D683">
        <v>30.5</v>
      </c>
      <c r="E683">
        <v>42.913660890300001</v>
      </c>
      <c r="F683">
        <v>-7.1506891416</v>
      </c>
      <c r="G683">
        <v>7</v>
      </c>
      <c r="H683" s="30">
        <f t="shared" si="18"/>
        <v>23.5</v>
      </c>
      <c r="M683" s="30"/>
      <c r="N683" s="30"/>
      <c r="O683" s="30"/>
      <c r="P683" s="30"/>
      <c r="Q683" s="30"/>
    </row>
    <row r="684" spans="1:17" hidden="1" x14ac:dyDescent="0.25">
      <c r="A684" t="s">
        <v>2065</v>
      </c>
      <c r="B684" s="8">
        <v>42139</v>
      </c>
      <c r="C684">
        <v>279</v>
      </c>
      <c r="D684">
        <v>47.95</v>
      </c>
      <c r="E684">
        <v>44.820921495299999</v>
      </c>
      <c r="F684">
        <v>-3.2158429067699998</v>
      </c>
      <c r="G684">
        <v>1.75</v>
      </c>
      <c r="H684" s="30">
        <f t="shared" si="18"/>
        <v>46.2</v>
      </c>
      <c r="M684" s="30"/>
      <c r="N684" s="30"/>
      <c r="O684" s="30"/>
      <c r="P684" s="30"/>
      <c r="Q684" s="30"/>
    </row>
    <row r="685" spans="1:17" hidden="1" x14ac:dyDescent="0.25">
      <c r="A685" t="s">
        <v>2066</v>
      </c>
      <c r="B685" s="8">
        <v>42139</v>
      </c>
      <c r="C685">
        <v>262</v>
      </c>
      <c r="D685">
        <v>38.200000000000003</v>
      </c>
      <c r="E685">
        <v>41.995729888299998</v>
      </c>
      <c r="F685">
        <v>-1.99787068397</v>
      </c>
      <c r="G685">
        <v>1.75</v>
      </c>
      <c r="H685" s="30">
        <f t="shared" si="18"/>
        <v>36.450000000000003</v>
      </c>
      <c r="M685" s="30"/>
      <c r="N685" s="30"/>
      <c r="O685" s="30"/>
      <c r="P685" s="30"/>
      <c r="Q685" s="30"/>
    </row>
    <row r="686" spans="1:17" hidden="1" x14ac:dyDescent="0.25">
      <c r="A686" t="s">
        <v>2061</v>
      </c>
      <c r="B686" s="8">
        <v>42138</v>
      </c>
      <c r="C686">
        <v>207</v>
      </c>
      <c r="D686">
        <v>32.450000000000003</v>
      </c>
      <c r="E686">
        <v>5594.4748665999996</v>
      </c>
      <c r="F686">
        <v>-1.6584729195500001</v>
      </c>
      <c r="G686">
        <v>1.2</v>
      </c>
      <c r="H686">
        <f>D686-G686</f>
        <v>31.250000000000004</v>
      </c>
      <c r="I686" s="68"/>
      <c r="J686" s="68"/>
      <c r="K686" s="68"/>
      <c r="M686" s="30"/>
      <c r="N686" s="30"/>
      <c r="O686" s="30"/>
      <c r="P686" s="30"/>
      <c r="Q686" s="30"/>
    </row>
    <row r="687" spans="1:17" hidden="1" x14ac:dyDescent="0.25">
      <c r="A687" t="s">
        <v>2062</v>
      </c>
      <c r="B687" s="8">
        <v>42138</v>
      </c>
      <c r="C687">
        <v>94</v>
      </c>
      <c r="D687">
        <v>37.200000000000003</v>
      </c>
      <c r="E687">
        <v>5594.1644391099999</v>
      </c>
      <c r="F687">
        <v>-1.93923133589</v>
      </c>
      <c r="G687">
        <v>1.2</v>
      </c>
      <c r="H687" s="30">
        <f t="shared" ref="H687:H748" si="19">D687-G687</f>
        <v>36</v>
      </c>
      <c r="M687" s="30"/>
      <c r="N687" s="30"/>
      <c r="O687" s="30"/>
      <c r="P687" s="30"/>
      <c r="Q687" s="30"/>
    </row>
    <row r="688" spans="1:17" hidden="1" x14ac:dyDescent="0.25">
      <c r="A688" t="s">
        <v>2063</v>
      </c>
      <c r="B688" s="8">
        <v>42138</v>
      </c>
      <c r="C688">
        <v>113</v>
      </c>
      <c r="D688">
        <v>33</v>
      </c>
      <c r="E688">
        <v>37.824438236299997</v>
      </c>
      <c r="F688">
        <v>-2.19102325804</v>
      </c>
      <c r="G688">
        <v>14</v>
      </c>
      <c r="H688" s="30">
        <f t="shared" si="19"/>
        <v>19</v>
      </c>
      <c r="M688" s="30"/>
      <c r="N688" s="30"/>
      <c r="O688" s="30"/>
      <c r="P688" s="30"/>
      <c r="Q688" s="30"/>
    </row>
    <row r="689" spans="1:17" hidden="1" x14ac:dyDescent="0.25">
      <c r="A689" t="s">
        <v>2064</v>
      </c>
      <c r="B689" s="8">
        <v>42138</v>
      </c>
      <c r="C689">
        <v>37</v>
      </c>
      <c r="D689">
        <v>18.350000000000001</v>
      </c>
      <c r="E689">
        <v>37.7069405262</v>
      </c>
      <c r="F689">
        <v>-9.6823337901399995</v>
      </c>
      <c r="G689">
        <v>-0.75</v>
      </c>
      <c r="H689" s="30">
        <f t="shared" si="19"/>
        <v>19.100000000000001</v>
      </c>
      <c r="M689" s="30"/>
      <c r="N689" s="30"/>
      <c r="O689" s="30"/>
      <c r="P689" s="30"/>
      <c r="Q689" s="30"/>
    </row>
    <row r="690" spans="1:17" hidden="1" x14ac:dyDescent="0.25">
      <c r="A690" t="s">
        <v>2075</v>
      </c>
      <c r="B690" s="8">
        <v>42137</v>
      </c>
      <c r="C690">
        <v>39</v>
      </c>
      <c r="D690">
        <v>10.75</v>
      </c>
      <c r="E690">
        <v>32.284324371799997</v>
      </c>
      <c r="F690">
        <v>-4.4510683167499998</v>
      </c>
      <c r="G690">
        <v>1</v>
      </c>
      <c r="H690" s="30">
        <f t="shared" si="19"/>
        <v>9.75</v>
      </c>
      <c r="M690" s="30"/>
      <c r="N690" s="30"/>
      <c r="O690" s="30"/>
      <c r="P690" s="30"/>
      <c r="Q690" s="30"/>
    </row>
    <row r="691" spans="1:17" hidden="1" x14ac:dyDescent="0.25">
      <c r="A691" t="s">
        <v>2076</v>
      </c>
      <c r="B691" s="8">
        <v>42136</v>
      </c>
      <c r="C691">
        <v>278</v>
      </c>
      <c r="D691">
        <v>27.7</v>
      </c>
      <c r="E691">
        <v>46.132622985200001</v>
      </c>
      <c r="F691">
        <v>-4.1697744093900004</v>
      </c>
      <c r="G691">
        <v>4.2</v>
      </c>
      <c r="H691" s="30">
        <f t="shared" si="19"/>
        <v>23.5</v>
      </c>
      <c r="M691" s="30"/>
      <c r="N691" s="30"/>
      <c r="O691" s="30"/>
      <c r="P691" s="30"/>
      <c r="Q691" s="30"/>
    </row>
    <row r="692" spans="1:17" hidden="1" x14ac:dyDescent="0.25">
      <c r="A692" t="s">
        <v>2077</v>
      </c>
      <c r="B692" s="8">
        <v>42136</v>
      </c>
      <c r="C692">
        <v>258</v>
      </c>
      <c r="D692">
        <v>31.95</v>
      </c>
      <c r="E692">
        <v>45.5301797069</v>
      </c>
      <c r="F692">
        <v>-4.52875644579</v>
      </c>
      <c r="G692">
        <v>4.2</v>
      </c>
      <c r="H692" s="30">
        <f t="shared" si="19"/>
        <v>27.75</v>
      </c>
      <c r="M692" s="30"/>
      <c r="N692" s="30"/>
      <c r="O692" s="30"/>
      <c r="P692" s="30"/>
      <c r="Q692" s="30"/>
    </row>
    <row r="693" spans="1:17" hidden="1" x14ac:dyDescent="0.25">
      <c r="A693" t="s">
        <v>2078</v>
      </c>
      <c r="B693" s="8">
        <v>42136</v>
      </c>
      <c r="C693">
        <v>113</v>
      </c>
      <c r="D693">
        <v>31.2</v>
      </c>
      <c r="E693">
        <v>38.018168795100003</v>
      </c>
      <c r="F693">
        <v>-0.83532873306099997</v>
      </c>
      <c r="G693">
        <v>12.2</v>
      </c>
      <c r="H693" s="30">
        <f t="shared" si="19"/>
        <v>19</v>
      </c>
      <c r="M693" s="30"/>
      <c r="N693" s="30"/>
      <c r="O693" s="30"/>
      <c r="P693" s="30"/>
      <c r="Q693" s="30"/>
    </row>
    <row r="694" spans="1:17" hidden="1" x14ac:dyDescent="0.25">
      <c r="A694" t="s">
        <v>2079</v>
      </c>
      <c r="B694" s="8">
        <v>42136</v>
      </c>
      <c r="C694">
        <v>92</v>
      </c>
      <c r="D694">
        <v>14.45</v>
      </c>
      <c r="E694">
        <v>42.506491302000001</v>
      </c>
      <c r="F694">
        <v>-5.7885519889800001</v>
      </c>
      <c r="G694">
        <v>4.2</v>
      </c>
      <c r="H694" s="30">
        <f t="shared" si="19"/>
        <v>10.25</v>
      </c>
      <c r="M694" s="30"/>
      <c r="N694" s="30"/>
      <c r="O694" s="30"/>
      <c r="P694" s="30"/>
      <c r="Q694" s="30"/>
    </row>
    <row r="695" spans="1:17" hidden="1" x14ac:dyDescent="0.25">
      <c r="A695" t="s">
        <v>2080</v>
      </c>
      <c r="B695" s="8">
        <v>42136</v>
      </c>
      <c r="C695">
        <v>73</v>
      </c>
      <c r="D695">
        <v>31.7</v>
      </c>
      <c r="E695">
        <v>38.084810576000002</v>
      </c>
      <c r="F695">
        <v>-2.7183545443899999</v>
      </c>
      <c r="G695">
        <v>4.2</v>
      </c>
      <c r="H695" s="30">
        <f t="shared" si="19"/>
        <v>27.5</v>
      </c>
      <c r="M695" s="30"/>
      <c r="N695" s="30"/>
      <c r="O695" s="30"/>
      <c r="P695" s="30"/>
      <c r="Q695" s="30"/>
    </row>
    <row r="696" spans="1:17" hidden="1" x14ac:dyDescent="0.25">
      <c r="A696" t="s">
        <v>2081</v>
      </c>
      <c r="B696" s="8">
        <v>42135</v>
      </c>
      <c r="C696">
        <v>184</v>
      </c>
      <c r="D696">
        <v>19</v>
      </c>
      <c r="E696">
        <v>44.813207103400003</v>
      </c>
      <c r="F696">
        <v>-4.3465050559999998</v>
      </c>
      <c r="G696">
        <v>7</v>
      </c>
      <c r="H696" s="30">
        <f t="shared" si="19"/>
        <v>12</v>
      </c>
      <c r="M696" s="30"/>
      <c r="N696" s="30"/>
      <c r="O696" s="30"/>
      <c r="P696" s="30"/>
      <c r="Q696" s="30"/>
    </row>
    <row r="697" spans="1:17" hidden="1" x14ac:dyDescent="0.25">
      <c r="A697" t="s">
        <v>2082</v>
      </c>
      <c r="B697" s="8">
        <v>42135</v>
      </c>
      <c r="C697">
        <v>55</v>
      </c>
      <c r="D697">
        <v>21.75</v>
      </c>
      <c r="E697">
        <v>36.685897706900001</v>
      </c>
      <c r="F697">
        <v>-9.9630365739099993</v>
      </c>
      <c r="G697">
        <v>11</v>
      </c>
      <c r="H697" s="30">
        <f t="shared" si="19"/>
        <v>10.75</v>
      </c>
      <c r="M697" s="30"/>
      <c r="N697" s="30"/>
      <c r="O697" s="30"/>
      <c r="P697" s="30"/>
      <c r="Q697" s="30"/>
    </row>
    <row r="698" spans="1:17" hidden="1" x14ac:dyDescent="0.25">
      <c r="A698" t="s">
        <v>2083</v>
      </c>
      <c r="B698" s="8">
        <v>42135</v>
      </c>
      <c r="C698">
        <v>37</v>
      </c>
      <c r="D698">
        <v>30</v>
      </c>
      <c r="E698">
        <v>34.448642399400001</v>
      </c>
      <c r="F698">
        <v>-2.5950129534299999</v>
      </c>
      <c r="G698">
        <v>13</v>
      </c>
      <c r="H698" s="30">
        <f t="shared" si="19"/>
        <v>17</v>
      </c>
      <c r="M698" s="30"/>
      <c r="N698" s="30"/>
      <c r="O698" s="30"/>
      <c r="P698" s="30"/>
      <c r="Q698" s="30"/>
    </row>
    <row r="699" spans="1:17" hidden="1" x14ac:dyDescent="0.25">
      <c r="A699" t="s">
        <v>2084</v>
      </c>
      <c r="B699" s="8">
        <v>42134</v>
      </c>
      <c r="C699">
        <v>280</v>
      </c>
      <c r="D699">
        <v>30.45</v>
      </c>
      <c r="E699">
        <v>40.913493328900003</v>
      </c>
      <c r="F699">
        <v>-4.8751693639200004</v>
      </c>
      <c r="G699">
        <v>-0.75</v>
      </c>
      <c r="H699" s="30">
        <f t="shared" si="19"/>
        <v>31.2</v>
      </c>
    </row>
    <row r="700" spans="1:17" hidden="1" x14ac:dyDescent="0.25">
      <c r="A700" t="s">
        <v>2085</v>
      </c>
      <c r="B700" s="8">
        <v>42134</v>
      </c>
      <c r="C700">
        <v>169</v>
      </c>
      <c r="D700">
        <v>46.5</v>
      </c>
      <c r="E700">
        <v>40.285491875399998</v>
      </c>
      <c r="F700">
        <v>-3.1284948622200002</v>
      </c>
      <c r="G700">
        <v>26</v>
      </c>
      <c r="H700" s="30">
        <f t="shared" si="19"/>
        <v>20.5</v>
      </c>
    </row>
    <row r="701" spans="1:17" hidden="1" x14ac:dyDescent="0.25">
      <c r="A701" t="s">
        <v>2086</v>
      </c>
      <c r="B701" s="8">
        <v>42134</v>
      </c>
      <c r="C701">
        <v>91</v>
      </c>
      <c r="D701">
        <v>30.45</v>
      </c>
      <c r="E701">
        <v>36.868588470399999</v>
      </c>
      <c r="F701">
        <v>-3.6390575008499999</v>
      </c>
      <c r="G701">
        <v>-0.75</v>
      </c>
      <c r="H701" s="30">
        <f t="shared" si="19"/>
        <v>31.2</v>
      </c>
    </row>
    <row r="702" spans="1:17" hidden="1" x14ac:dyDescent="0.25">
      <c r="A702" t="s">
        <v>2087</v>
      </c>
      <c r="B702" s="8">
        <v>42133</v>
      </c>
      <c r="C702">
        <v>158</v>
      </c>
      <c r="D702">
        <v>38.6</v>
      </c>
      <c r="E702">
        <v>39.3530007158</v>
      </c>
      <c r="F702">
        <v>-3.77978798435</v>
      </c>
      <c r="G702">
        <v>15.1</v>
      </c>
      <c r="H702" s="30">
        <f t="shared" si="19"/>
        <v>23.5</v>
      </c>
    </row>
    <row r="703" spans="1:17" hidden="1" x14ac:dyDescent="0.25">
      <c r="A703" t="s">
        <v>2088</v>
      </c>
      <c r="B703" s="8">
        <v>42133</v>
      </c>
      <c r="C703">
        <v>57</v>
      </c>
      <c r="D703">
        <v>47.45</v>
      </c>
      <c r="E703">
        <v>33.273696576900001</v>
      </c>
      <c r="F703">
        <v>-0.534163237668</v>
      </c>
      <c r="G703">
        <v>6.2</v>
      </c>
      <c r="H703" s="30">
        <f t="shared" si="19"/>
        <v>41.25</v>
      </c>
    </row>
    <row r="704" spans="1:17" hidden="1" x14ac:dyDescent="0.25">
      <c r="A704" t="s">
        <v>2089</v>
      </c>
      <c r="B704" s="8">
        <v>42132</v>
      </c>
      <c r="C704">
        <v>262</v>
      </c>
      <c r="D704">
        <v>24.5</v>
      </c>
      <c r="E704">
        <v>60.520109507900003</v>
      </c>
      <c r="F704">
        <v>-4.1098946810700001</v>
      </c>
      <c r="G704">
        <v>9</v>
      </c>
      <c r="H704" s="30">
        <f t="shared" si="19"/>
        <v>15.5</v>
      </c>
    </row>
    <row r="705" spans="1:8" hidden="1" x14ac:dyDescent="0.25">
      <c r="A705" t="s">
        <v>2090</v>
      </c>
      <c r="B705" s="8">
        <v>42131</v>
      </c>
      <c r="C705">
        <v>112</v>
      </c>
      <c r="D705">
        <v>47</v>
      </c>
      <c r="E705">
        <v>35.3780904726</v>
      </c>
      <c r="F705">
        <v>-0.736498216712</v>
      </c>
      <c r="G705">
        <v>-0.5</v>
      </c>
      <c r="H705" s="30">
        <f t="shared" si="19"/>
        <v>47.5</v>
      </c>
    </row>
    <row r="706" spans="1:8" hidden="1" x14ac:dyDescent="0.25">
      <c r="A706" t="s">
        <v>2091</v>
      </c>
      <c r="B706" s="8">
        <v>42130</v>
      </c>
      <c r="C706">
        <v>224</v>
      </c>
      <c r="D706">
        <v>49.5</v>
      </c>
      <c r="E706">
        <v>39.806570841899998</v>
      </c>
      <c r="F706">
        <v>-8.1922504294799996</v>
      </c>
      <c r="G706">
        <v>19</v>
      </c>
      <c r="H706" s="30">
        <f t="shared" si="19"/>
        <v>30.5</v>
      </c>
    </row>
    <row r="707" spans="1:8" hidden="1" x14ac:dyDescent="0.25">
      <c r="A707" t="s">
        <v>2092</v>
      </c>
      <c r="B707" s="8">
        <v>42129</v>
      </c>
      <c r="C707">
        <v>261</v>
      </c>
      <c r="D707">
        <v>37.75</v>
      </c>
      <c r="E707">
        <v>41.175357206100003</v>
      </c>
      <c r="F707">
        <v>-9.8470346602499994</v>
      </c>
      <c r="G707">
        <v>11</v>
      </c>
      <c r="H707" s="30">
        <f t="shared" si="19"/>
        <v>26.75</v>
      </c>
    </row>
    <row r="708" spans="1:8" hidden="1" x14ac:dyDescent="0.25">
      <c r="A708" t="s">
        <v>2093</v>
      </c>
      <c r="B708" s="8">
        <v>42128</v>
      </c>
      <c r="C708">
        <v>188</v>
      </c>
      <c r="D708">
        <v>31.6</v>
      </c>
      <c r="E708">
        <v>47.1703854183</v>
      </c>
      <c r="F708">
        <v>-4.6769565866600002</v>
      </c>
      <c r="G708">
        <v>-1</v>
      </c>
      <c r="H708" s="30">
        <f t="shared" si="19"/>
        <v>32.6</v>
      </c>
    </row>
    <row r="709" spans="1:8" hidden="1" x14ac:dyDescent="0.25">
      <c r="A709" t="s">
        <v>2094</v>
      </c>
      <c r="B709" s="8">
        <v>42128</v>
      </c>
      <c r="C709">
        <v>58</v>
      </c>
      <c r="D709">
        <v>45.75</v>
      </c>
      <c r="E709">
        <v>36.304650777399999</v>
      </c>
      <c r="F709">
        <v>-5.13853091978</v>
      </c>
      <c r="G709">
        <v>7</v>
      </c>
      <c r="H709" s="30">
        <f t="shared" si="19"/>
        <v>38.75</v>
      </c>
    </row>
    <row r="710" spans="1:8" hidden="1" x14ac:dyDescent="0.25">
      <c r="A710" t="s">
        <v>2095</v>
      </c>
      <c r="B710" s="8">
        <v>42128</v>
      </c>
      <c r="C710">
        <v>38</v>
      </c>
      <c r="D710">
        <v>28</v>
      </c>
      <c r="E710">
        <v>35.008095282100001</v>
      </c>
      <c r="F710">
        <v>-0.26335423090400001</v>
      </c>
      <c r="G710">
        <v>18</v>
      </c>
      <c r="H710" s="30">
        <f t="shared" si="19"/>
        <v>10</v>
      </c>
    </row>
    <row r="711" spans="1:8" hidden="1" x14ac:dyDescent="0.25">
      <c r="A711" t="s">
        <v>2027</v>
      </c>
      <c r="B711" s="8">
        <v>42127</v>
      </c>
      <c r="C711">
        <v>73</v>
      </c>
      <c r="D711">
        <v>14.2</v>
      </c>
      <c r="E711">
        <v>36.904236196900001</v>
      </c>
      <c r="F711">
        <v>-0.515295179667</v>
      </c>
      <c r="G711">
        <v>2.2000000000000002</v>
      </c>
      <c r="H711" s="30">
        <f t="shared" si="19"/>
        <v>12</v>
      </c>
    </row>
    <row r="712" spans="1:8" hidden="1" x14ac:dyDescent="0.25">
      <c r="A712" t="s">
        <v>2096</v>
      </c>
      <c r="B712" s="8">
        <v>42126</v>
      </c>
      <c r="C712">
        <v>279</v>
      </c>
      <c r="D712">
        <v>13.75</v>
      </c>
      <c r="E712">
        <v>94.424073850799999</v>
      </c>
      <c r="F712">
        <v>-1.7874274812299999</v>
      </c>
      <c r="G712">
        <v>-2</v>
      </c>
      <c r="H712" s="30">
        <f t="shared" si="19"/>
        <v>15.75</v>
      </c>
    </row>
    <row r="713" spans="1:8" hidden="1" x14ac:dyDescent="0.25">
      <c r="A713" t="s">
        <v>2097</v>
      </c>
      <c r="B713" s="8">
        <v>42126</v>
      </c>
      <c r="C713">
        <v>129</v>
      </c>
      <c r="D713">
        <v>26.5</v>
      </c>
      <c r="E713">
        <v>84.659207418799994</v>
      </c>
      <c r="F713">
        <v>-3.65643816579</v>
      </c>
      <c r="G713">
        <v>4</v>
      </c>
      <c r="H713" s="30">
        <f t="shared" si="19"/>
        <v>22.5</v>
      </c>
    </row>
    <row r="714" spans="1:8" hidden="1" x14ac:dyDescent="0.25">
      <c r="A714" t="s">
        <v>2098</v>
      </c>
      <c r="B714" s="8">
        <v>42126</v>
      </c>
      <c r="C714">
        <v>150</v>
      </c>
      <c r="D714">
        <v>24</v>
      </c>
      <c r="E714">
        <v>50.834261071500002</v>
      </c>
      <c r="F714">
        <v>-0.89749617182999997</v>
      </c>
      <c r="G714">
        <v>-2</v>
      </c>
      <c r="H714" s="30">
        <f t="shared" si="19"/>
        <v>26</v>
      </c>
    </row>
    <row r="715" spans="1:8" hidden="1" x14ac:dyDescent="0.25">
      <c r="A715" t="s">
        <v>2031</v>
      </c>
      <c r="B715" s="8">
        <v>42126</v>
      </c>
      <c r="C715">
        <v>54</v>
      </c>
      <c r="D715">
        <v>32.25</v>
      </c>
      <c r="E715">
        <v>41.223428493100002</v>
      </c>
      <c r="F715">
        <v>-2.4780306815399999</v>
      </c>
      <c r="G715">
        <v>4</v>
      </c>
      <c r="H715" s="30">
        <f t="shared" si="19"/>
        <v>28.25</v>
      </c>
    </row>
    <row r="716" spans="1:8" hidden="1" x14ac:dyDescent="0.25">
      <c r="A716" t="s">
        <v>2099</v>
      </c>
      <c r="B716" s="8">
        <v>42125</v>
      </c>
      <c r="C716">
        <v>260</v>
      </c>
      <c r="D716">
        <v>25.75</v>
      </c>
      <c r="E716">
        <v>41.932607577900001</v>
      </c>
      <c r="F716">
        <v>-9.8293304993700001</v>
      </c>
      <c r="G716">
        <v>14</v>
      </c>
      <c r="H716" s="30">
        <f t="shared" si="19"/>
        <v>11.75</v>
      </c>
    </row>
    <row r="717" spans="1:8" hidden="1" x14ac:dyDescent="0.25">
      <c r="A717" t="s">
        <v>2100</v>
      </c>
      <c r="B717" s="8">
        <v>42125</v>
      </c>
      <c r="C717">
        <v>98</v>
      </c>
      <c r="D717">
        <v>17.5</v>
      </c>
      <c r="E717">
        <v>36.498106941300001</v>
      </c>
      <c r="F717">
        <v>-4.3892138958100002</v>
      </c>
      <c r="G717">
        <v>1.75</v>
      </c>
      <c r="H717" s="30">
        <f t="shared" si="19"/>
        <v>15.75</v>
      </c>
    </row>
    <row r="718" spans="1:8" hidden="1" x14ac:dyDescent="0.25">
      <c r="A718" t="s">
        <v>2101</v>
      </c>
      <c r="B718" s="8">
        <v>42123</v>
      </c>
      <c r="C718">
        <v>146</v>
      </c>
      <c r="D718">
        <v>29.95</v>
      </c>
      <c r="E718">
        <v>43.988703906200001</v>
      </c>
      <c r="F718">
        <v>-1.35701535561</v>
      </c>
      <c r="G718">
        <v>12.2</v>
      </c>
      <c r="H718" s="30">
        <f t="shared" si="19"/>
        <v>17.75</v>
      </c>
    </row>
    <row r="719" spans="1:8" hidden="1" x14ac:dyDescent="0.25">
      <c r="A719" t="s">
        <v>2102</v>
      </c>
      <c r="B719" s="8">
        <v>42123</v>
      </c>
      <c r="C719">
        <v>58</v>
      </c>
      <c r="D719">
        <v>1.6</v>
      </c>
      <c r="E719">
        <v>39.289461117999998</v>
      </c>
      <c r="F719">
        <v>-4.3758404066300001</v>
      </c>
      <c r="G719">
        <v>1.1000000000000001</v>
      </c>
      <c r="H719" s="30">
        <f t="shared" si="19"/>
        <v>0.5</v>
      </c>
    </row>
    <row r="720" spans="1:8" hidden="1" x14ac:dyDescent="0.25">
      <c r="A720" t="s">
        <v>2103</v>
      </c>
      <c r="B720" s="8">
        <v>42122</v>
      </c>
      <c r="C720">
        <v>219</v>
      </c>
      <c r="D720">
        <v>25.5</v>
      </c>
      <c r="E720">
        <v>49.577697796700001</v>
      </c>
      <c r="F720">
        <v>-3.27001328427</v>
      </c>
      <c r="G720">
        <v>-0.5</v>
      </c>
      <c r="H720" s="30">
        <f t="shared" si="19"/>
        <v>26</v>
      </c>
    </row>
    <row r="721" spans="1:8" hidden="1" x14ac:dyDescent="0.25">
      <c r="A721" t="s">
        <v>2104</v>
      </c>
      <c r="B721" s="8">
        <v>42122</v>
      </c>
      <c r="C721">
        <v>113</v>
      </c>
      <c r="D721">
        <v>66</v>
      </c>
      <c r="E721">
        <v>39.522193732799998</v>
      </c>
      <c r="F721">
        <v>-2.4508438376199999</v>
      </c>
      <c r="G721">
        <v>16</v>
      </c>
      <c r="H721" s="30">
        <f t="shared" si="19"/>
        <v>50</v>
      </c>
    </row>
    <row r="722" spans="1:8" hidden="1" x14ac:dyDescent="0.25">
      <c r="A722" t="s">
        <v>2105</v>
      </c>
      <c r="B722" s="8">
        <v>42121</v>
      </c>
      <c r="C722">
        <v>241</v>
      </c>
      <c r="D722">
        <v>32.25</v>
      </c>
      <c r="E722">
        <v>44.256528779</v>
      </c>
      <c r="F722">
        <v>-2.71418588506</v>
      </c>
      <c r="G722">
        <v>-0.5</v>
      </c>
      <c r="H722" s="30">
        <f t="shared" si="19"/>
        <v>32.75</v>
      </c>
    </row>
    <row r="723" spans="1:8" hidden="1" x14ac:dyDescent="0.25">
      <c r="A723" t="s">
        <v>2106</v>
      </c>
      <c r="B723" s="8">
        <v>42121</v>
      </c>
      <c r="C723">
        <v>202</v>
      </c>
      <c r="D723">
        <v>27.5</v>
      </c>
      <c r="E723">
        <v>42.696374617499998</v>
      </c>
      <c r="F723">
        <v>-2.7961192605899998</v>
      </c>
      <c r="G723">
        <v>-0.5</v>
      </c>
      <c r="H723" s="30">
        <f t="shared" si="19"/>
        <v>28</v>
      </c>
    </row>
    <row r="724" spans="1:8" hidden="1" x14ac:dyDescent="0.25">
      <c r="A724" t="s">
        <v>2107</v>
      </c>
      <c r="B724" s="8">
        <v>42121</v>
      </c>
      <c r="C724">
        <v>112</v>
      </c>
      <c r="D724">
        <v>46.6</v>
      </c>
      <c r="E724">
        <v>39.739222010100001</v>
      </c>
      <c r="F724">
        <v>-5.0269590799400001</v>
      </c>
      <c r="G724">
        <v>7.1</v>
      </c>
      <c r="H724" s="30">
        <f t="shared" si="19"/>
        <v>39.5</v>
      </c>
    </row>
    <row r="725" spans="1:8" hidden="1" x14ac:dyDescent="0.25">
      <c r="A725" t="s">
        <v>2108</v>
      </c>
      <c r="B725" s="8">
        <v>42120</v>
      </c>
      <c r="C725">
        <v>266</v>
      </c>
      <c r="D725">
        <v>14.5</v>
      </c>
      <c r="E725">
        <v>54.461227389299999</v>
      </c>
      <c r="F725">
        <v>-0.41704190705499999</v>
      </c>
      <c r="G725">
        <v>14</v>
      </c>
      <c r="H725" s="30">
        <f t="shared" si="19"/>
        <v>0.5</v>
      </c>
    </row>
    <row r="726" spans="1:8" hidden="1" x14ac:dyDescent="0.25">
      <c r="A726" t="s">
        <v>2109</v>
      </c>
      <c r="B726" s="8">
        <v>42120</v>
      </c>
      <c r="C726">
        <v>96</v>
      </c>
      <c r="D726">
        <v>29.35</v>
      </c>
      <c r="E726">
        <v>38.358952421399998</v>
      </c>
      <c r="F726">
        <v>-0.578753136738</v>
      </c>
      <c r="G726">
        <v>17.100000000000001</v>
      </c>
      <c r="H726" s="30">
        <f t="shared" si="19"/>
        <v>12.25</v>
      </c>
    </row>
    <row r="727" spans="1:8" hidden="1" x14ac:dyDescent="0.25">
      <c r="A727" t="s">
        <v>2110</v>
      </c>
      <c r="B727" s="8">
        <v>42119</v>
      </c>
      <c r="C727">
        <v>147</v>
      </c>
      <c r="D727">
        <v>18.100000000000001</v>
      </c>
      <c r="E727">
        <v>40.765804408299999</v>
      </c>
      <c r="F727">
        <v>-0.44154522739899998</v>
      </c>
      <c r="G727">
        <v>-1.9</v>
      </c>
      <c r="H727" s="30">
        <f t="shared" si="19"/>
        <v>20</v>
      </c>
    </row>
    <row r="728" spans="1:8" hidden="1" x14ac:dyDescent="0.25">
      <c r="A728" t="s">
        <v>2111</v>
      </c>
      <c r="B728" s="8">
        <v>42119</v>
      </c>
      <c r="C728">
        <v>76</v>
      </c>
      <c r="D728">
        <v>32.5</v>
      </c>
      <c r="E728">
        <v>35.399133550099997</v>
      </c>
      <c r="F728">
        <v>-1.0002589120600001</v>
      </c>
      <c r="G728">
        <v>0</v>
      </c>
      <c r="H728" s="30">
        <f t="shared" si="19"/>
        <v>32.5</v>
      </c>
    </row>
    <row r="729" spans="1:8" hidden="1" x14ac:dyDescent="0.25">
      <c r="A729" t="s">
        <v>2112</v>
      </c>
      <c r="B729" s="8">
        <v>42118</v>
      </c>
      <c r="C729">
        <v>283</v>
      </c>
      <c r="D729">
        <v>29.75</v>
      </c>
      <c r="E729">
        <v>49.329303186600001</v>
      </c>
      <c r="F729">
        <v>-7.9666557300900003</v>
      </c>
      <c r="G729">
        <v>22</v>
      </c>
      <c r="H729" s="30">
        <f t="shared" si="19"/>
        <v>7.75</v>
      </c>
    </row>
    <row r="730" spans="1:8" hidden="1" x14ac:dyDescent="0.25">
      <c r="A730" t="s">
        <v>2113</v>
      </c>
      <c r="B730" s="8">
        <v>42118</v>
      </c>
      <c r="C730">
        <v>94</v>
      </c>
      <c r="D730">
        <v>26</v>
      </c>
      <c r="E730">
        <v>39.891094468299997</v>
      </c>
      <c r="F730">
        <v>-7.7359837578899997</v>
      </c>
      <c r="G730">
        <v>22</v>
      </c>
      <c r="H730" s="30">
        <f t="shared" si="19"/>
        <v>4</v>
      </c>
    </row>
    <row r="731" spans="1:8" hidden="1" x14ac:dyDescent="0.25">
      <c r="A731" t="s">
        <v>2114</v>
      </c>
      <c r="B731" s="8">
        <v>42118</v>
      </c>
      <c r="C731">
        <v>56</v>
      </c>
      <c r="D731">
        <v>27.75</v>
      </c>
      <c r="E731">
        <v>33.2722647521</v>
      </c>
      <c r="F731">
        <v>-6.1190682199399999</v>
      </c>
      <c r="G731">
        <v>9</v>
      </c>
      <c r="H731" s="30">
        <f t="shared" si="19"/>
        <v>18.75</v>
      </c>
    </row>
    <row r="732" spans="1:8" hidden="1" x14ac:dyDescent="0.25">
      <c r="A732" t="s">
        <v>2115</v>
      </c>
      <c r="B732" s="8">
        <v>42117</v>
      </c>
      <c r="C732">
        <v>53</v>
      </c>
      <c r="D732">
        <v>30</v>
      </c>
      <c r="E732">
        <v>34.128432852000003</v>
      </c>
      <c r="F732">
        <v>-6.9721534993400001</v>
      </c>
      <c r="G732">
        <v>10</v>
      </c>
      <c r="H732" s="30">
        <f t="shared" si="19"/>
        <v>20</v>
      </c>
    </row>
    <row r="733" spans="1:8" hidden="1" x14ac:dyDescent="0.25">
      <c r="A733" t="s">
        <v>2116</v>
      </c>
      <c r="B733" s="8">
        <v>42117</v>
      </c>
      <c r="C733">
        <v>79</v>
      </c>
      <c r="D733">
        <v>30</v>
      </c>
      <c r="E733">
        <v>36.040074459000003</v>
      </c>
      <c r="F733">
        <v>-8.1114240152099999</v>
      </c>
      <c r="G733">
        <v>17</v>
      </c>
      <c r="H733" s="30">
        <f t="shared" si="19"/>
        <v>13</v>
      </c>
    </row>
    <row r="734" spans="1:8" hidden="1" x14ac:dyDescent="0.25">
      <c r="A734" t="s">
        <v>2117</v>
      </c>
      <c r="B734" s="8">
        <v>42116</v>
      </c>
      <c r="C734">
        <v>280</v>
      </c>
      <c r="D734">
        <v>29.5</v>
      </c>
      <c r="E734">
        <v>41.838388330999997</v>
      </c>
      <c r="F734">
        <v>-0.14777213327700001</v>
      </c>
      <c r="G734">
        <v>19</v>
      </c>
      <c r="H734" s="30">
        <f t="shared" si="19"/>
        <v>10.5</v>
      </c>
    </row>
    <row r="735" spans="1:8" hidden="1" x14ac:dyDescent="0.25">
      <c r="A735" t="s">
        <v>2117</v>
      </c>
      <c r="B735" s="8">
        <v>42116</v>
      </c>
      <c r="C735">
        <v>260</v>
      </c>
      <c r="D735">
        <v>29.5</v>
      </c>
      <c r="E735">
        <v>41.838388330999997</v>
      </c>
      <c r="F735">
        <v>-0.14777213327700001</v>
      </c>
      <c r="G735">
        <v>19</v>
      </c>
      <c r="H735" s="30">
        <f t="shared" si="19"/>
        <v>10.5</v>
      </c>
    </row>
    <row r="736" spans="1:8" hidden="1" x14ac:dyDescent="0.25">
      <c r="A736" t="s">
        <v>2118</v>
      </c>
      <c r="B736" s="8">
        <v>42116</v>
      </c>
      <c r="C736">
        <v>74</v>
      </c>
      <c r="D736">
        <v>42.75</v>
      </c>
      <c r="E736">
        <v>36.402110911800001</v>
      </c>
      <c r="F736">
        <v>-2.96261651896</v>
      </c>
      <c r="G736">
        <v>-0.5</v>
      </c>
      <c r="H736" s="30">
        <f t="shared" si="19"/>
        <v>43.25</v>
      </c>
    </row>
    <row r="737" spans="1:12" hidden="1" x14ac:dyDescent="0.25">
      <c r="A737" t="s">
        <v>2119</v>
      </c>
      <c r="B737" s="8">
        <v>42116</v>
      </c>
      <c r="C737">
        <v>55</v>
      </c>
      <c r="D737">
        <v>38.25</v>
      </c>
      <c r="E737">
        <v>36.717032046500002</v>
      </c>
      <c r="F737">
        <v>-0.154245460295</v>
      </c>
      <c r="G737">
        <v>19</v>
      </c>
      <c r="H737" s="30">
        <f t="shared" si="19"/>
        <v>19.25</v>
      </c>
    </row>
    <row r="738" spans="1:12" hidden="1" x14ac:dyDescent="0.25">
      <c r="A738" t="s">
        <v>2120</v>
      </c>
      <c r="B738" s="8">
        <v>42115</v>
      </c>
      <c r="C738">
        <v>278</v>
      </c>
      <c r="D738">
        <v>34.1</v>
      </c>
      <c r="E738">
        <v>65.5559493847</v>
      </c>
      <c r="F738">
        <v>-2.2566355335199999</v>
      </c>
      <c r="G738">
        <v>12.1</v>
      </c>
      <c r="H738" s="30">
        <f t="shared" si="19"/>
        <v>22</v>
      </c>
    </row>
    <row r="739" spans="1:12" hidden="1" x14ac:dyDescent="0.25">
      <c r="A739" t="s">
        <v>2121</v>
      </c>
      <c r="B739" s="8">
        <v>42115</v>
      </c>
      <c r="C739">
        <v>74</v>
      </c>
      <c r="D739">
        <v>40.450000000000003</v>
      </c>
      <c r="E739">
        <v>33.594572393100002</v>
      </c>
      <c r="F739">
        <v>-0.51966450507399997</v>
      </c>
      <c r="G739">
        <v>6.2</v>
      </c>
      <c r="H739" s="30">
        <f t="shared" si="19"/>
        <v>34.25</v>
      </c>
    </row>
    <row r="740" spans="1:12" hidden="1" x14ac:dyDescent="0.25">
      <c r="A740" t="s">
        <v>2122</v>
      </c>
      <c r="B740" s="8">
        <v>42114</v>
      </c>
      <c r="C740">
        <v>152</v>
      </c>
      <c r="D740">
        <v>9.5</v>
      </c>
      <c r="E740">
        <v>41.130312101500003</v>
      </c>
      <c r="F740">
        <v>-7.8812538228199998</v>
      </c>
      <c r="G740">
        <v>0</v>
      </c>
      <c r="H740" s="30">
        <f t="shared" si="19"/>
        <v>9.5</v>
      </c>
    </row>
    <row r="741" spans="1:12" hidden="1" x14ac:dyDescent="0.25">
      <c r="A741" t="s">
        <v>2123</v>
      </c>
      <c r="B741" s="8">
        <v>42114</v>
      </c>
      <c r="C741">
        <v>57</v>
      </c>
      <c r="D741">
        <v>8.5</v>
      </c>
      <c r="E741">
        <v>33.469888809300002</v>
      </c>
      <c r="F741">
        <v>-1.15836769054</v>
      </c>
      <c r="G741">
        <v>-2</v>
      </c>
      <c r="H741" s="30">
        <f t="shared" si="19"/>
        <v>10.5</v>
      </c>
    </row>
    <row r="742" spans="1:12" hidden="1" x14ac:dyDescent="0.25">
      <c r="A742" t="s">
        <v>2124</v>
      </c>
      <c r="B742" s="8">
        <v>42113</v>
      </c>
      <c r="C742">
        <v>284</v>
      </c>
      <c r="D742">
        <v>32</v>
      </c>
      <c r="E742">
        <v>55.291531594200002</v>
      </c>
      <c r="F742">
        <v>-3.9789749435899999</v>
      </c>
      <c r="G742">
        <v>13</v>
      </c>
      <c r="H742" s="30">
        <f t="shared" si="19"/>
        <v>19</v>
      </c>
    </row>
    <row r="743" spans="1:12" hidden="1" x14ac:dyDescent="0.25">
      <c r="A743" s="30" t="s">
        <v>2125</v>
      </c>
      <c r="B743" s="8">
        <v>42113</v>
      </c>
      <c r="C743" s="30">
        <v>211</v>
      </c>
      <c r="D743" s="30">
        <v>27.75</v>
      </c>
      <c r="E743" s="30">
        <v>54.608895226599998</v>
      </c>
      <c r="F743" s="30">
        <v>-3.96573805344</v>
      </c>
      <c r="G743" s="30">
        <v>13</v>
      </c>
      <c r="H743" s="30">
        <f t="shared" si="19"/>
        <v>14.75</v>
      </c>
      <c r="I743" s="30"/>
      <c r="J743" s="30"/>
      <c r="K743" s="30"/>
      <c r="L743" s="30"/>
    </row>
    <row r="744" spans="1:12" hidden="1" x14ac:dyDescent="0.25">
      <c r="A744" s="30" t="s">
        <v>2127</v>
      </c>
      <c r="B744" s="8">
        <v>42113</v>
      </c>
      <c r="C744" s="30">
        <v>74</v>
      </c>
      <c r="D744" s="30">
        <v>64.75</v>
      </c>
      <c r="E744" s="30">
        <v>38.551481706600001</v>
      </c>
      <c r="F744" s="30">
        <v>-2.3117612572300001</v>
      </c>
      <c r="G744" s="30">
        <v>-0.25</v>
      </c>
      <c r="H744" s="30">
        <f t="shared" si="19"/>
        <v>65</v>
      </c>
      <c r="I744" s="30"/>
      <c r="J744" s="30"/>
      <c r="K744" s="30"/>
      <c r="L744" s="30"/>
    </row>
    <row r="745" spans="1:12" hidden="1" x14ac:dyDescent="0.25">
      <c r="A745" s="30" t="s">
        <v>2129</v>
      </c>
      <c r="B745" s="8">
        <v>42112</v>
      </c>
      <c r="C745" s="30">
        <v>150</v>
      </c>
      <c r="D745" s="30">
        <v>34</v>
      </c>
      <c r="E745" s="30">
        <v>44.684058000900002</v>
      </c>
      <c r="F745" s="30">
        <v>-0.86445557583900001</v>
      </c>
      <c r="G745" s="30">
        <v>22</v>
      </c>
      <c r="H745" s="30">
        <f t="shared" si="19"/>
        <v>12</v>
      </c>
      <c r="I745" s="30"/>
      <c r="J745" s="30"/>
      <c r="K745" s="30"/>
      <c r="L745" s="30"/>
    </row>
    <row r="746" spans="1:12" hidden="1" x14ac:dyDescent="0.25">
      <c r="A746" s="30" t="s">
        <v>2131</v>
      </c>
      <c r="B746" s="8">
        <v>42111</v>
      </c>
      <c r="C746" s="30">
        <v>244</v>
      </c>
      <c r="D746" s="30">
        <v>48</v>
      </c>
      <c r="E746" s="30">
        <v>80.637303187699999</v>
      </c>
      <c r="F746" s="30">
        <v>-2.4951897271700001</v>
      </c>
      <c r="G746" s="30">
        <v>14</v>
      </c>
      <c r="H746" s="30">
        <f t="shared" si="19"/>
        <v>34</v>
      </c>
      <c r="I746" s="30"/>
      <c r="J746" s="30"/>
      <c r="K746" s="30"/>
      <c r="L746" s="30"/>
    </row>
    <row r="747" spans="1:12" hidden="1" x14ac:dyDescent="0.25">
      <c r="A747" s="30" t="s">
        <v>2133</v>
      </c>
      <c r="B747" s="8">
        <v>42111</v>
      </c>
      <c r="C747" s="30">
        <v>55</v>
      </c>
      <c r="D747" s="30">
        <v>52.25</v>
      </c>
      <c r="E747" s="30">
        <v>38.261285459900002</v>
      </c>
      <c r="F747" s="30">
        <v>-1.62115232279</v>
      </c>
      <c r="G747" s="30">
        <v>1.75</v>
      </c>
      <c r="H747" s="30">
        <f t="shared" si="19"/>
        <v>50.5</v>
      </c>
      <c r="I747" s="30"/>
      <c r="J747" s="30"/>
      <c r="K747" s="30"/>
      <c r="L747" s="30"/>
    </row>
    <row r="748" spans="1:12" hidden="1" x14ac:dyDescent="0.25">
      <c r="A748" s="30" t="s">
        <v>2135</v>
      </c>
      <c r="B748" s="8">
        <v>42111</v>
      </c>
      <c r="C748" s="30">
        <v>78</v>
      </c>
      <c r="D748" s="30">
        <v>26.25</v>
      </c>
      <c r="E748" s="30">
        <v>50.156841909299999</v>
      </c>
      <c r="F748" s="30">
        <v>-2.7738670752000001</v>
      </c>
      <c r="G748" s="30">
        <v>14</v>
      </c>
      <c r="H748" s="30">
        <f t="shared" si="19"/>
        <v>12.25</v>
      </c>
      <c r="I748" s="30"/>
      <c r="J748" s="30"/>
      <c r="K748" s="30"/>
      <c r="L748" s="30"/>
    </row>
    <row r="749" spans="1:12" hidden="1" x14ac:dyDescent="0.25">
      <c r="A749" s="30"/>
      <c r="B749" s="8"/>
      <c r="C749" s="30"/>
      <c r="D749" s="30"/>
      <c r="E749" s="30"/>
      <c r="F749" s="30"/>
      <c r="G749" s="30"/>
      <c r="H749" s="30"/>
      <c r="I749" s="30"/>
      <c r="J749" s="30"/>
      <c r="K749" s="30"/>
      <c r="L749" s="30"/>
    </row>
    <row r="750" spans="1:12" ht="15.75" hidden="1" thickBot="1" x14ac:dyDescent="0.3">
      <c r="A750" s="30"/>
      <c r="B750" s="8"/>
      <c r="C750" s="30"/>
      <c r="D750" s="30"/>
      <c r="E750" s="30"/>
      <c r="F750" s="30"/>
      <c r="G750" s="30"/>
      <c r="H750" s="30"/>
      <c r="I750" s="30"/>
      <c r="J750" s="30"/>
      <c r="K750" s="30"/>
      <c r="L750" s="30"/>
    </row>
    <row r="751" spans="1:12" ht="30" hidden="1" x14ac:dyDescent="0.25">
      <c r="A751" s="37" t="s">
        <v>2180</v>
      </c>
      <c r="B751" s="38" t="s">
        <v>311</v>
      </c>
      <c r="C751" s="38" t="s">
        <v>1545</v>
      </c>
      <c r="D751" s="38" t="s">
        <v>1527</v>
      </c>
      <c r="E751" s="38" t="s">
        <v>1546</v>
      </c>
      <c r="F751" s="38" t="s">
        <v>1547</v>
      </c>
      <c r="G751" s="40" t="s">
        <v>1861</v>
      </c>
      <c r="H751" s="38" t="s">
        <v>1862</v>
      </c>
      <c r="I751" s="38"/>
      <c r="J751" s="65" t="s">
        <v>1989</v>
      </c>
      <c r="K751" s="66" t="s">
        <v>1990</v>
      </c>
      <c r="L751" s="67" t="s">
        <v>1991</v>
      </c>
    </row>
    <row r="752" spans="1:12" hidden="1" x14ac:dyDescent="0.25">
      <c r="A752" s="30" t="s">
        <v>2196</v>
      </c>
      <c r="B752" s="8">
        <v>42142</v>
      </c>
      <c r="C752" s="30">
        <v>130</v>
      </c>
      <c r="D752" s="30">
        <v>42.75</v>
      </c>
      <c r="E752" s="30">
        <v>42.298963422299998</v>
      </c>
      <c r="F752" s="30">
        <v>-1.2405154969000001</v>
      </c>
      <c r="G752" s="30">
        <v>14</v>
      </c>
      <c r="H752" s="30"/>
      <c r="I752" s="30"/>
      <c r="J752" s="68">
        <f>AVERAGE(D752:D841)</f>
        <v>32.356081081081072</v>
      </c>
      <c r="K752" s="68">
        <f>_xlfn.STDEV.P(D752:D841)</f>
        <v>10.931963896851974</v>
      </c>
      <c r="L752" s="68">
        <f>MEDIAN(D752:D841)</f>
        <v>30.875</v>
      </c>
    </row>
    <row r="753" spans="1:12" hidden="1" x14ac:dyDescent="0.25">
      <c r="A753" s="30" t="s">
        <v>2197</v>
      </c>
      <c r="B753" s="8">
        <v>42142</v>
      </c>
      <c r="C753" s="30">
        <v>110</v>
      </c>
      <c r="D753" s="30">
        <v>28.25</v>
      </c>
      <c r="E753" s="30">
        <v>41.792959298900001</v>
      </c>
      <c r="F753" s="30">
        <v>-1.5850898228999999</v>
      </c>
      <c r="G753" s="30">
        <v>14</v>
      </c>
      <c r="H753" s="30"/>
      <c r="I753" s="30"/>
      <c r="J753" s="30"/>
      <c r="K753" s="30"/>
      <c r="L753" s="30"/>
    </row>
    <row r="754" spans="1:12" hidden="1" x14ac:dyDescent="0.25">
      <c r="A754" s="30" t="s">
        <v>2192</v>
      </c>
      <c r="B754" s="8">
        <v>42141</v>
      </c>
      <c r="C754" s="30">
        <v>279</v>
      </c>
      <c r="D754" s="30">
        <v>22.5</v>
      </c>
      <c r="E754" s="30">
        <v>46.449669259799997</v>
      </c>
      <c r="F754" s="30">
        <v>-9.0500522163799992</v>
      </c>
      <c r="G754" s="30">
        <v>13</v>
      </c>
      <c r="H754" s="30"/>
      <c r="I754" s="30"/>
      <c r="J754" s="30"/>
      <c r="K754" s="30"/>
      <c r="L754" s="30"/>
    </row>
    <row r="755" spans="1:12" hidden="1" x14ac:dyDescent="0.25">
      <c r="A755" s="30" t="s">
        <v>2193</v>
      </c>
      <c r="B755" s="8">
        <v>42141</v>
      </c>
      <c r="C755" s="30">
        <v>97</v>
      </c>
      <c r="D755" s="30">
        <v>23.5</v>
      </c>
      <c r="E755" s="30">
        <v>45.168512764500001</v>
      </c>
      <c r="F755" s="30">
        <v>-2.2853873463799999</v>
      </c>
      <c r="G755" s="30">
        <v>13</v>
      </c>
      <c r="H755" s="30"/>
      <c r="I755" s="30"/>
      <c r="J755" s="30"/>
      <c r="K755" s="30"/>
      <c r="L755" s="30"/>
    </row>
    <row r="756" spans="1:12" hidden="1" x14ac:dyDescent="0.25">
      <c r="A756" s="30" t="s">
        <v>2194</v>
      </c>
      <c r="B756" s="8">
        <v>42141</v>
      </c>
      <c r="C756" s="30">
        <v>187</v>
      </c>
      <c r="D756" s="30">
        <v>20</v>
      </c>
      <c r="E756" s="30">
        <v>46.115066583299999</v>
      </c>
      <c r="F756" s="30">
        <v>-1.82790668662</v>
      </c>
      <c r="G756" s="30">
        <v>13</v>
      </c>
      <c r="H756" s="30"/>
      <c r="I756" s="30"/>
      <c r="J756" s="30"/>
      <c r="K756" s="30"/>
      <c r="L756" s="30"/>
    </row>
    <row r="757" spans="1:12" hidden="1" x14ac:dyDescent="0.25">
      <c r="A757" s="30" t="s">
        <v>2195</v>
      </c>
      <c r="B757" s="8">
        <v>42141</v>
      </c>
      <c r="C757" s="30">
        <v>92</v>
      </c>
      <c r="D757" s="30">
        <v>36.75</v>
      </c>
      <c r="E757" s="30">
        <v>37.1467509083</v>
      </c>
      <c r="F757" s="30">
        <v>-6.6300161212699997</v>
      </c>
      <c r="G757" s="30">
        <v>14</v>
      </c>
      <c r="H757" s="30"/>
      <c r="I757" s="30"/>
      <c r="J757" s="30"/>
      <c r="K757" s="30"/>
      <c r="L757" s="30"/>
    </row>
    <row r="758" spans="1:12" hidden="1" x14ac:dyDescent="0.25">
      <c r="A758" s="30" t="s">
        <v>2189</v>
      </c>
      <c r="B758" s="8">
        <v>42140</v>
      </c>
      <c r="C758" s="30">
        <v>275</v>
      </c>
      <c r="D758" s="30">
        <v>38.25</v>
      </c>
      <c r="E758" s="30">
        <v>42.385725159300002</v>
      </c>
      <c r="F758" s="30">
        <v>-7.3077130963599997</v>
      </c>
      <c r="G758" s="30">
        <v>7</v>
      </c>
      <c r="H758" s="30"/>
      <c r="I758" s="30"/>
      <c r="J758" s="30"/>
      <c r="K758" s="30"/>
      <c r="L758" s="30"/>
    </row>
    <row r="759" spans="1:12" hidden="1" x14ac:dyDescent="0.25">
      <c r="A759" s="30" t="s">
        <v>2190</v>
      </c>
      <c r="B759" s="8">
        <v>42140</v>
      </c>
      <c r="C759" s="30">
        <v>71</v>
      </c>
      <c r="D759" s="30">
        <v>30.5</v>
      </c>
      <c r="E759" s="30">
        <v>39.021231460499997</v>
      </c>
      <c r="F759" s="30">
        <v>-4.1631996121799997</v>
      </c>
      <c r="G759" s="30">
        <v>1</v>
      </c>
      <c r="H759" s="30"/>
      <c r="I759" s="30"/>
      <c r="J759" s="30"/>
      <c r="K759" s="30"/>
      <c r="L759" s="30"/>
    </row>
    <row r="760" spans="1:12" hidden="1" x14ac:dyDescent="0.25">
      <c r="A760" s="30" t="s">
        <v>2191</v>
      </c>
      <c r="B760" s="8">
        <v>42140</v>
      </c>
      <c r="C760" s="30">
        <v>204</v>
      </c>
      <c r="D760" s="30">
        <v>38.5</v>
      </c>
      <c r="E760" s="30">
        <v>41.111166917399999</v>
      </c>
      <c r="F760" s="30">
        <v>-9.4555402819900003</v>
      </c>
      <c r="G760" s="30">
        <v>7</v>
      </c>
      <c r="H760" s="30"/>
      <c r="I760" s="30"/>
      <c r="J760" s="30"/>
      <c r="K760" s="30"/>
      <c r="L760" s="30"/>
    </row>
    <row r="761" spans="1:12" hidden="1" x14ac:dyDescent="0.25">
      <c r="A761" s="30" t="s">
        <v>2187</v>
      </c>
      <c r="B761" s="8">
        <v>42139</v>
      </c>
      <c r="C761" s="30">
        <v>279</v>
      </c>
      <c r="D761" s="30">
        <v>53.45</v>
      </c>
      <c r="E761" s="30">
        <v>44.0433491824</v>
      </c>
      <c r="F761" s="30">
        <v>-2.64354795171</v>
      </c>
      <c r="G761" s="30">
        <v>1.75</v>
      </c>
      <c r="H761" s="30"/>
      <c r="I761" s="30"/>
      <c r="J761" s="30"/>
      <c r="K761" s="30"/>
      <c r="L761" s="30"/>
    </row>
    <row r="762" spans="1:12" hidden="1" x14ac:dyDescent="0.25">
      <c r="A762" s="30" t="s">
        <v>2188</v>
      </c>
      <c r="B762" s="8">
        <v>42139</v>
      </c>
      <c r="C762" s="30">
        <v>262</v>
      </c>
      <c r="D762" s="30">
        <v>44.2</v>
      </c>
      <c r="E762" s="30">
        <v>41.033770585699997</v>
      </c>
      <c r="F762" s="30">
        <v>-1.80073338745</v>
      </c>
      <c r="G762" s="30">
        <v>1.75</v>
      </c>
      <c r="H762" s="30"/>
      <c r="I762" s="30"/>
      <c r="J762" s="30"/>
      <c r="K762" s="30"/>
      <c r="L762" s="30"/>
    </row>
    <row r="763" spans="1:12" hidden="1" x14ac:dyDescent="0.25">
      <c r="A763" t="s">
        <v>2183</v>
      </c>
      <c r="B763" s="8">
        <v>42138</v>
      </c>
      <c r="C763">
        <v>207</v>
      </c>
      <c r="D763">
        <v>36.200000000000003</v>
      </c>
      <c r="E763">
        <v>5569.6790964600004</v>
      </c>
      <c r="F763">
        <v>-7.3607704565600001</v>
      </c>
      <c r="G763">
        <v>1.2</v>
      </c>
    </row>
    <row r="764" spans="1:12" hidden="1" x14ac:dyDescent="0.25">
      <c r="A764" t="s">
        <v>2184</v>
      </c>
      <c r="B764" s="8">
        <v>42138</v>
      </c>
      <c r="C764">
        <v>94</v>
      </c>
      <c r="D764">
        <v>34.450000000000003</v>
      </c>
      <c r="E764">
        <v>5569.5125882100001</v>
      </c>
      <c r="F764">
        <v>-8.3725030044299995</v>
      </c>
      <c r="G764">
        <v>1.2</v>
      </c>
    </row>
    <row r="765" spans="1:12" hidden="1" x14ac:dyDescent="0.25">
      <c r="A765" t="s">
        <v>2185</v>
      </c>
      <c r="B765" s="8">
        <v>42138</v>
      </c>
      <c r="C765">
        <v>113</v>
      </c>
      <c r="D765">
        <v>31</v>
      </c>
      <c r="E765">
        <v>59.802956051300001</v>
      </c>
      <c r="F765">
        <v>-0.63766481107999995</v>
      </c>
      <c r="G765">
        <v>14</v>
      </c>
    </row>
    <row r="766" spans="1:12" hidden="1" x14ac:dyDescent="0.25">
      <c r="A766" t="s">
        <v>2186</v>
      </c>
      <c r="B766" s="8">
        <v>42138</v>
      </c>
      <c r="C766">
        <v>37</v>
      </c>
      <c r="D766">
        <v>25.6</v>
      </c>
      <c r="E766">
        <v>32.3720919342</v>
      </c>
      <c r="F766">
        <v>-8.8986966191000008</v>
      </c>
      <c r="G766">
        <v>-0.75</v>
      </c>
    </row>
    <row r="767" spans="1:12" hidden="1" x14ac:dyDescent="0.25">
      <c r="A767" t="s">
        <v>2198</v>
      </c>
      <c r="B767" s="8">
        <v>42137</v>
      </c>
      <c r="C767">
        <v>39</v>
      </c>
      <c r="D767">
        <v>25.25</v>
      </c>
      <c r="E767">
        <v>31.297253789900001</v>
      </c>
      <c r="F767">
        <v>-3.4946629385399999</v>
      </c>
      <c r="G767">
        <v>18</v>
      </c>
    </row>
    <row r="768" spans="1:12" hidden="1" x14ac:dyDescent="0.25">
      <c r="A768" t="s">
        <v>2199</v>
      </c>
      <c r="B768" s="8">
        <v>42136</v>
      </c>
      <c r="C768">
        <v>278</v>
      </c>
      <c r="D768">
        <v>27.7</v>
      </c>
      <c r="E768">
        <v>42.741921843699998</v>
      </c>
      <c r="F768">
        <v>-3.3498724008799998</v>
      </c>
      <c r="G768">
        <v>4.2</v>
      </c>
    </row>
    <row r="769" spans="1:7" hidden="1" x14ac:dyDescent="0.25">
      <c r="A769" t="s">
        <v>2200</v>
      </c>
      <c r="B769" s="8">
        <v>42136</v>
      </c>
      <c r="C769">
        <v>258</v>
      </c>
      <c r="D769">
        <v>31.95</v>
      </c>
      <c r="E769">
        <v>41.780539675500002</v>
      </c>
      <c r="F769">
        <v>-3.6374937627300001</v>
      </c>
      <c r="G769">
        <v>4.2</v>
      </c>
    </row>
    <row r="770" spans="1:7" hidden="1" x14ac:dyDescent="0.25">
      <c r="A770" t="s">
        <v>2201</v>
      </c>
      <c r="B770" s="8">
        <v>42136</v>
      </c>
      <c r="C770">
        <v>113</v>
      </c>
      <c r="D770">
        <v>28.45</v>
      </c>
      <c r="E770">
        <v>38.092762397100003</v>
      </c>
      <c r="F770">
        <v>-0.81370478934099999</v>
      </c>
      <c r="G770">
        <v>12.2</v>
      </c>
    </row>
    <row r="771" spans="1:7" hidden="1" x14ac:dyDescent="0.25">
      <c r="A771" t="s">
        <v>2202</v>
      </c>
      <c r="B771" s="8">
        <v>42136</v>
      </c>
      <c r="C771">
        <v>92</v>
      </c>
      <c r="D771">
        <v>13.7</v>
      </c>
      <c r="E771">
        <v>39.317593477899997</v>
      </c>
      <c r="F771">
        <v>-3.6012810112700002</v>
      </c>
      <c r="G771">
        <v>4.2</v>
      </c>
    </row>
    <row r="772" spans="1:7" hidden="1" x14ac:dyDescent="0.25">
      <c r="A772" t="s">
        <v>2203</v>
      </c>
      <c r="B772" s="8">
        <v>42136</v>
      </c>
      <c r="C772">
        <v>73</v>
      </c>
      <c r="D772">
        <v>30.2</v>
      </c>
      <c r="E772">
        <v>37.282019492899998</v>
      </c>
      <c r="F772">
        <v>-3.42407206741</v>
      </c>
      <c r="G772">
        <v>4.2</v>
      </c>
    </row>
    <row r="773" spans="1:7" hidden="1" x14ac:dyDescent="0.25">
      <c r="A773" t="s">
        <v>2204</v>
      </c>
      <c r="B773" s="8">
        <v>42135</v>
      </c>
      <c r="C773">
        <v>184</v>
      </c>
      <c r="D773">
        <v>13.25</v>
      </c>
      <c r="E773">
        <v>43.948768728899999</v>
      </c>
      <c r="F773">
        <v>-3.6372972526899998</v>
      </c>
      <c r="G773">
        <v>7</v>
      </c>
    </row>
    <row r="774" spans="1:7" hidden="1" x14ac:dyDescent="0.25">
      <c r="A774" t="s">
        <v>2205</v>
      </c>
      <c r="B774" s="8">
        <v>42135</v>
      </c>
      <c r="C774">
        <v>55</v>
      </c>
      <c r="D774">
        <v>29</v>
      </c>
      <c r="E774">
        <v>35.519965922099999</v>
      </c>
      <c r="F774">
        <v>-7.9459342045900003</v>
      </c>
      <c r="G774">
        <v>11</v>
      </c>
    </row>
    <row r="775" spans="1:7" hidden="1" x14ac:dyDescent="0.25">
      <c r="A775" t="s">
        <v>2206</v>
      </c>
      <c r="B775" s="8">
        <v>42135</v>
      </c>
      <c r="C775">
        <v>37</v>
      </c>
      <c r="D775">
        <v>35.5</v>
      </c>
      <c r="E775">
        <v>34.281615735599999</v>
      </c>
      <c r="F775">
        <v>-1.8862584168400001</v>
      </c>
      <c r="G775">
        <v>13</v>
      </c>
    </row>
    <row r="776" spans="1:7" hidden="1" x14ac:dyDescent="0.25">
      <c r="A776" t="s">
        <v>2126</v>
      </c>
      <c r="B776" s="8">
        <v>42134</v>
      </c>
      <c r="C776">
        <v>280</v>
      </c>
      <c r="D776">
        <v>35.5</v>
      </c>
      <c r="E776">
        <v>40.7800825737</v>
      </c>
      <c r="F776">
        <v>-6.4465980196199997</v>
      </c>
      <c r="G776">
        <v>11</v>
      </c>
    </row>
    <row r="777" spans="1:7" hidden="1" x14ac:dyDescent="0.25">
      <c r="A777" t="s">
        <v>2128</v>
      </c>
      <c r="B777" s="8">
        <v>42134</v>
      </c>
      <c r="C777">
        <v>169</v>
      </c>
      <c r="D777">
        <v>30.75</v>
      </c>
      <c r="E777">
        <v>40.025295284899997</v>
      </c>
      <c r="F777">
        <v>-2.0947206441000001</v>
      </c>
      <c r="G777">
        <v>11</v>
      </c>
    </row>
    <row r="778" spans="1:7" hidden="1" x14ac:dyDescent="0.25">
      <c r="A778" t="s">
        <v>2130</v>
      </c>
      <c r="B778" s="8">
        <v>42134</v>
      </c>
      <c r="C778">
        <v>91</v>
      </c>
      <c r="D778">
        <v>46.75</v>
      </c>
      <c r="E778">
        <v>36.101851486599998</v>
      </c>
      <c r="F778">
        <v>-5.0091034486000003</v>
      </c>
      <c r="G778">
        <v>15</v>
      </c>
    </row>
    <row r="779" spans="1:7" hidden="1" x14ac:dyDescent="0.25">
      <c r="A779" t="s">
        <v>2132</v>
      </c>
      <c r="B779" s="8">
        <v>42133</v>
      </c>
      <c r="C779">
        <v>158</v>
      </c>
      <c r="D779">
        <v>38.6</v>
      </c>
      <c r="E779">
        <v>39.057695081600002</v>
      </c>
      <c r="F779">
        <v>-3.52656625331</v>
      </c>
      <c r="G779">
        <v>15.1</v>
      </c>
    </row>
    <row r="780" spans="1:7" hidden="1" x14ac:dyDescent="0.25">
      <c r="A780" t="s">
        <v>2134</v>
      </c>
      <c r="B780" s="8">
        <v>42133</v>
      </c>
      <c r="C780">
        <v>57</v>
      </c>
      <c r="D780">
        <v>37.85</v>
      </c>
      <c r="E780">
        <v>32.3686268043</v>
      </c>
      <c r="F780">
        <v>-0.375000941127</v>
      </c>
      <c r="G780">
        <v>10.1</v>
      </c>
    </row>
    <row r="781" spans="1:7" hidden="1" x14ac:dyDescent="0.25">
      <c r="A781" t="s">
        <v>2136</v>
      </c>
      <c r="B781" s="8">
        <v>42132</v>
      </c>
      <c r="C781">
        <v>262</v>
      </c>
      <c r="D781">
        <v>40.75</v>
      </c>
      <c r="E781">
        <v>130.48414466899999</v>
      </c>
      <c r="F781">
        <v>-4.0912904670200003</v>
      </c>
      <c r="G781">
        <v>9</v>
      </c>
    </row>
    <row r="782" spans="1:7" hidden="1" x14ac:dyDescent="0.25">
      <c r="A782" t="s">
        <v>2137</v>
      </c>
      <c r="B782" s="8">
        <v>42131</v>
      </c>
      <c r="C782">
        <v>112</v>
      </c>
      <c r="D782">
        <v>44.35</v>
      </c>
      <c r="E782">
        <v>34.722765839700003</v>
      </c>
      <c r="F782">
        <v>-0.48218229760199999</v>
      </c>
      <c r="G782">
        <v>12.1</v>
      </c>
    </row>
    <row r="783" spans="1:7" hidden="1" x14ac:dyDescent="0.25">
      <c r="A783" t="s">
        <v>2138</v>
      </c>
      <c r="B783" s="8">
        <v>42130</v>
      </c>
      <c r="C783">
        <v>224</v>
      </c>
      <c r="D783">
        <v>37.6</v>
      </c>
      <c r="E783">
        <v>38.342633320799997</v>
      </c>
      <c r="F783">
        <v>-4.9827417303899999</v>
      </c>
      <c r="G783">
        <v>6.1</v>
      </c>
    </row>
    <row r="784" spans="1:7" hidden="1" x14ac:dyDescent="0.25">
      <c r="A784" t="s">
        <v>2139</v>
      </c>
      <c r="B784" s="8">
        <v>42129</v>
      </c>
      <c r="C784">
        <v>261</v>
      </c>
      <c r="D784">
        <v>40.5</v>
      </c>
      <c r="E784">
        <v>40.8246112514</v>
      </c>
      <c r="F784">
        <v>-3.3338099214799999</v>
      </c>
      <c r="G784">
        <v>18</v>
      </c>
    </row>
    <row r="785" spans="1:7" hidden="1" x14ac:dyDescent="0.25">
      <c r="A785" t="s">
        <v>2140</v>
      </c>
      <c r="B785" s="8">
        <v>42128</v>
      </c>
      <c r="C785">
        <v>188</v>
      </c>
      <c r="D785">
        <v>23.1</v>
      </c>
      <c r="E785">
        <v>45.954186971399999</v>
      </c>
      <c r="F785">
        <v>-3.7020951256500001</v>
      </c>
      <c r="G785">
        <v>-1</v>
      </c>
    </row>
    <row r="786" spans="1:7" hidden="1" x14ac:dyDescent="0.25">
      <c r="A786" t="s">
        <v>2141</v>
      </c>
      <c r="B786" s="8">
        <v>42128</v>
      </c>
      <c r="C786">
        <v>58</v>
      </c>
      <c r="D786">
        <v>42.25</v>
      </c>
      <c r="E786">
        <v>35.346533934900002</v>
      </c>
      <c r="F786">
        <v>-5.1436223919700002</v>
      </c>
      <c r="G786">
        <v>7</v>
      </c>
    </row>
    <row r="787" spans="1:7" hidden="1" x14ac:dyDescent="0.25">
      <c r="A787" t="s">
        <v>2142</v>
      </c>
      <c r="B787" s="8">
        <v>42128</v>
      </c>
      <c r="C787">
        <v>38</v>
      </c>
      <c r="D787">
        <v>21.75</v>
      </c>
      <c r="E787">
        <v>35.146122726000002</v>
      </c>
      <c r="F787">
        <v>3.7538169592200001E-2</v>
      </c>
      <c r="G787">
        <v>18</v>
      </c>
    </row>
    <row r="788" spans="1:7" hidden="1" x14ac:dyDescent="0.25">
      <c r="A788" t="s">
        <v>2143</v>
      </c>
      <c r="B788" s="8">
        <v>42127</v>
      </c>
      <c r="C788">
        <v>73</v>
      </c>
      <c r="D788">
        <v>21.45</v>
      </c>
      <c r="E788">
        <v>35.010295990000003</v>
      </c>
      <c r="F788">
        <v>-8.2519019015899993</v>
      </c>
      <c r="G788">
        <v>2.2000000000000002</v>
      </c>
    </row>
    <row r="789" spans="1:7" hidden="1" x14ac:dyDescent="0.25">
      <c r="A789" t="s">
        <v>2144</v>
      </c>
      <c r="B789" s="8">
        <v>42126</v>
      </c>
      <c r="C789">
        <v>279</v>
      </c>
      <c r="D789">
        <v>18.5</v>
      </c>
      <c r="E789">
        <v>43.3359992719</v>
      </c>
      <c r="F789">
        <v>-4.9232209638500004</v>
      </c>
      <c r="G789">
        <v>4</v>
      </c>
    </row>
    <row r="790" spans="1:7" hidden="1" x14ac:dyDescent="0.25">
      <c r="A790" t="s">
        <v>2145</v>
      </c>
      <c r="B790" s="8">
        <v>42126</v>
      </c>
      <c r="C790">
        <v>129</v>
      </c>
      <c r="D790">
        <v>24.25</v>
      </c>
      <c r="E790">
        <v>41.974128102000002</v>
      </c>
      <c r="F790">
        <v>-2.07273459476</v>
      </c>
      <c r="G790">
        <v>4</v>
      </c>
    </row>
    <row r="791" spans="1:7" hidden="1" x14ac:dyDescent="0.25">
      <c r="A791" t="s">
        <v>2146</v>
      </c>
      <c r="B791" s="8">
        <v>42126</v>
      </c>
      <c r="C791">
        <v>150</v>
      </c>
      <c r="D791">
        <v>26.25</v>
      </c>
      <c r="E791">
        <v>38.013269429200001</v>
      </c>
      <c r="F791">
        <v>-2.7833525782500002</v>
      </c>
      <c r="G791">
        <v>15</v>
      </c>
    </row>
    <row r="792" spans="1:7" hidden="1" x14ac:dyDescent="0.25">
      <c r="A792" t="s">
        <v>2147</v>
      </c>
      <c r="B792" s="8">
        <v>42126</v>
      </c>
      <c r="C792">
        <v>54</v>
      </c>
      <c r="D792">
        <v>32.25</v>
      </c>
      <c r="E792">
        <v>41.481193001599998</v>
      </c>
      <c r="F792">
        <v>-1.9647089322</v>
      </c>
      <c r="G792">
        <v>4</v>
      </c>
    </row>
    <row r="793" spans="1:7" hidden="1" x14ac:dyDescent="0.25">
      <c r="A793" t="s">
        <v>2148</v>
      </c>
      <c r="B793" s="8">
        <v>42125</v>
      </c>
      <c r="C793">
        <v>260</v>
      </c>
      <c r="D793">
        <v>31</v>
      </c>
      <c r="E793">
        <v>41.135177461399998</v>
      </c>
      <c r="F793">
        <v>-9.9797479081000002</v>
      </c>
      <c r="G793">
        <v>14</v>
      </c>
    </row>
    <row r="794" spans="1:7" hidden="1" x14ac:dyDescent="0.25">
      <c r="A794" t="s">
        <v>2149</v>
      </c>
      <c r="B794" s="8">
        <v>42125</v>
      </c>
      <c r="C794">
        <v>98</v>
      </c>
      <c r="D794">
        <v>16.75</v>
      </c>
      <c r="E794">
        <v>35.954604938400003</v>
      </c>
      <c r="F794">
        <v>-1.35522848461</v>
      </c>
      <c r="G794">
        <v>9</v>
      </c>
    </row>
    <row r="795" spans="1:7" hidden="1" x14ac:dyDescent="0.25">
      <c r="A795" t="s">
        <v>2150</v>
      </c>
      <c r="B795" s="8">
        <v>42123</v>
      </c>
      <c r="C795">
        <v>146</v>
      </c>
      <c r="D795">
        <v>29.95</v>
      </c>
      <c r="E795">
        <v>42.0470481284</v>
      </c>
      <c r="F795">
        <v>-0.61582561457700002</v>
      </c>
      <c r="G795">
        <v>12.2</v>
      </c>
    </row>
    <row r="796" spans="1:7" hidden="1" x14ac:dyDescent="0.25">
      <c r="A796" t="s">
        <v>2151</v>
      </c>
      <c r="B796" s="8">
        <v>42123</v>
      </c>
      <c r="C796">
        <v>58</v>
      </c>
      <c r="D796">
        <v>3.6</v>
      </c>
      <c r="E796">
        <v>38.056885430400001</v>
      </c>
      <c r="F796">
        <v>-3.2848664589099998</v>
      </c>
      <c r="G796">
        <v>1.1000000000000001</v>
      </c>
    </row>
    <row r="797" spans="1:7" hidden="1" x14ac:dyDescent="0.25">
      <c r="A797" t="s">
        <v>2152</v>
      </c>
      <c r="B797" s="8">
        <v>42122</v>
      </c>
      <c r="C797">
        <v>219</v>
      </c>
      <c r="D797">
        <v>26</v>
      </c>
      <c r="E797">
        <v>43.216837134099997</v>
      </c>
      <c r="F797">
        <v>-2.4363234141599999</v>
      </c>
      <c r="G797">
        <v>-0.5</v>
      </c>
    </row>
    <row r="798" spans="1:7" hidden="1" x14ac:dyDescent="0.25">
      <c r="A798" t="s">
        <v>2153</v>
      </c>
      <c r="B798" s="8">
        <v>42122</v>
      </c>
      <c r="C798">
        <v>113</v>
      </c>
      <c r="D798">
        <v>41.5</v>
      </c>
      <c r="E798">
        <v>38.964856687400001</v>
      </c>
      <c r="F798">
        <v>-2.8492360753899999</v>
      </c>
      <c r="G798">
        <v>16</v>
      </c>
    </row>
    <row r="799" spans="1:7" hidden="1" x14ac:dyDescent="0.25">
      <c r="A799" t="s">
        <v>2154</v>
      </c>
      <c r="B799" s="8">
        <v>42121</v>
      </c>
      <c r="C799">
        <v>241</v>
      </c>
      <c r="D799">
        <v>37.6</v>
      </c>
      <c r="E799">
        <v>42.932004328200001</v>
      </c>
      <c r="F799">
        <v>-5.1546865397900001</v>
      </c>
      <c r="G799">
        <v>14.1</v>
      </c>
    </row>
    <row r="800" spans="1:7" hidden="1" x14ac:dyDescent="0.25">
      <c r="A800" t="s">
        <v>2155</v>
      </c>
      <c r="B800" s="8">
        <v>42121</v>
      </c>
      <c r="C800">
        <v>202</v>
      </c>
      <c r="D800">
        <v>37.1</v>
      </c>
      <c r="E800">
        <v>40.298872694400004</v>
      </c>
      <c r="F800">
        <v>-6.0240910906099998</v>
      </c>
      <c r="G800">
        <v>14.1</v>
      </c>
    </row>
    <row r="801" spans="1:7" hidden="1" x14ac:dyDescent="0.25">
      <c r="A801" t="s">
        <v>2156</v>
      </c>
      <c r="B801" s="8">
        <v>42121</v>
      </c>
      <c r="C801">
        <v>112</v>
      </c>
      <c r="D801">
        <v>28.6</v>
      </c>
      <c r="E801">
        <v>40.681886050300001</v>
      </c>
      <c r="F801">
        <v>-9.1296825392700001</v>
      </c>
      <c r="G801">
        <v>7.1</v>
      </c>
    </row>
    <row r="802" spans="1:7" hidden="1" x14ac:dyDescent="0.25">
      <c r="A802" t="s">
        <v>2157</v>
      </c>
      <c r="B802" s="8">
        <v>42120</v>
      </c>
      <c r="C802">
        <v>266</v>
      </c>
      <c r="D802">
        <v>24.5</v>
      </c>
      <c r="E802">
        <v>56.152499992300001</v>
      </c>
      <c r="F802">
        <v>-0.20950609488399999</v>
      </c>
      <c r="G802">
        <v>12</v>
      </c>
    </row>
    <row r="803" spans="1:7" hidden="1" x14ac:dyDescent="0.25">
      <c r="A803" t="s">
        <v>2158</v>
      </c>
      <c r="B803" s="8">
        <v>42120</v>
      </c>
      <c r="C803">
        <v>96</v>
      </c>
      <c r="D803">
        <v>30.1</v>
      </c>
      <c r="E803">
        <v>35.777406189099999</v>
      </c>
      <c r="F803">
        <v>-1.22134999299</v>
      </c>
      <c r="G803">
        <v>17.100000000000001</v>
      </c>
    </row>
    <row r="804" spans="1:7" hidden="1" x14ac:dyDescent="0.25">
      <c r="A804" t="s">
        <v>2159</v>
      </c>
      <c r="B804" s="8">
        <v>42119</v>
      </c>
      <c r="C804">
        <v>147</v>
      </c>
      <c r="D804">
        <v>30.7</v>
      </c>
      <c r="E804">
        <v>40.4291844404</v>
      </c>
      <c r="F804">
        <v>-0.22085639825200001</v>
      </c>
      <c r="G804">
        <v>10.199999999999999</v>
      </c>
    </row>
    <row r="805" spans="1:7" hidden="1" x14ac:dyDescent="0.25">
      <c r="A805" t="s">
        <v>2160</v>
      </c>
      <c r="B805" s="8">
        <v>42119</v>
      </c>
      <c r="C805">
        <v>76</v>
      </c>
      <c r="D805">
        <v>30.75</v>
      </c>
      <c r="E805">
        <v>35.163890828699998</v>
      </c>
      <c r="F805">
        <v>-1.4498828881100001</v>
      </c>
      <c r="G805">
        <v>0</v>
      </c>
    </row>
    <row r="806" spans="1:7" hidden="1" x14ac:dyDescent="0.25">
      <c r="A806" t="s">
        <v>2161</v>
      </c>
      <c r="B806" s="8">
        <v>42118</v>
      </c>
      <c r="C806">
        <v>283</v>
      </c>
      <c r="D806">
        <v>27.25</v>
      </c>
      <c r="E806">
        <v>51.561811223900001</v>
      </c>
      <c r="F806">
        <v>-4.4545990046200004</v>
      </c>
      <c r="G806">
        <v>3</v>
      </c>
    </row>
    <row r="807" spans="1:7" hidden="1" x14ac:dyDescent="0.25">
      <c r="A807" t="s">
        <v>2162</v>
      </c>
      <c r="B807" s="8">
        <v>42118</v>
      </c>
      <c r="C807">
        <v>94</v>
      </c>
      <c r="D807">
        <v>31.5</v>
      </c>
      <c r="E807">
        <v>36.783482392899998</v>
      </c>
      <c r="F807">
        <v>-5.1397160743999999</v>
      </c>
      <c r="G807">
        <v>22</v>
      </c>
    </row>
    <row r="808" spans="1:7" hidden="1" x14ac:dyDescent="0.25">
      <c r="A808" t="s">
        <v>2163</v>
      </c>
      <c r="B808" s="8">
        <v>42118</v>
      </c>
      <c r="C808">
        <v>56</v>
      </c>
      <c r="D808">
        <v>27.75</v>
      </c>
      <c r="E808">
        <v>33.500127243000001</v>
      </c>
      <c r="F808">
        <v>-4.9527435525000003</v>
      </c>
      <c r="G808">
        <v>9</v>
      </c>
    </row>
    <row r="809" spans="1:7" hidden="1" x14ac:dyDescent="0.25">
      <c r="A809" t="s">
        <v>2164</v>
      </c>
      <c r="B809" s="8">
        <v>42117</v>
      </c>
      <c r="C809">
        <v>53</v>
      </c>
      <c r="D809">
        <v>26.75</v>
      </c>
      <c r="E809">
        <v>34.771200716800003</v>
      </c>
      <c r="F809">
        <v>-9.9128182380599998</v>
      </c>
      <c r="G809">
        <v>10</v>
      </c>
    </row>
    <row r="810" spans="1:7" hidden="1" x14ac:dyDescent="0.25">
      <c r="A810" t="s">
        <v>2165</v>
      </c>
      <c r="B810" s="8">
        <v>42117</v>
      </c>
      <c r="C810">
        <v>79</v>
      </c>
      <c r="D810">
        <v>17</v>
      </c>
      <c r="E810">
        <v>35.9296088181</v>
      </c>
      <c r="F810">
        <v>-0.49584494696999998</v>
      </c>
      <c r="G810">
        <v>7</v>
      </c>
    </row>
    <row r="811" spans="1:7" hidden="1" x14ac:dyDescent="0.25">
      <c r="A811" t="s">
        <v>2166</v>
      </c>
      <c r="B811" s="8">
        <v>42116</v>
      </c>
      <c r="C811">
        <v>280</v>
      </c>
      <c r="D811">
        <v>43</v>
      </c>
      <c r="E811">
        <v>41.882165477299999</v>
      </c>
      <c r="F811">
        <v>0.231029493137</v>
      </c>
      <c r="G811">
        <v>19</v>
      </c>
    </row>
    <row r="812" spans="1:7" hidden="1" x14ac:dyDescent="0.25">
      <c r="A812" t="s">
        <v>2166</v>
      </c>
      <c r="B812" s="8">
        <v>42116</v>
      </c>
      <c r="C812">
        <v>260</v>
      </c>
      <c r="D812">
        <v>43</v>
      </c>
      <c r="E812">
        <v>41.882165477299999</v>
      </c>
      <c r="F812">
        <v>0.231029493137</v>
      </c>
      <c r="G812">
        <v>19</v>
      </c>
    </row>
    <row r="813" spans="1:7" hidden="1" x14ac:dyDescent="0.25">
      <c r="A813" t="s">
        <v>2167</v>
      </c>
      <c r="B813" s="8">
        <v>42116</v>
      </c>
      <c r="C813">
        <v>74</v>
      </c>
      <c r="D813">
        <v>43.75</v>
      </c>
      <c r="E813">
        <v>35.743583950100003</v>
      </c>
      <c r="F813">
        <v>-2.6058185322099998</v>
      </c>
      <c r="G813">
        <v>-0.5</v>
      </c>
    </row>
    <row r="814" spans="1:7" hidden="1" x14ac:dyDescent="0.25">
      <c r="A814" t="s">
        <v>2168</v>
      </c>
      <c r="B814" s="8">
        <v>42116</v>
      </c>
      <c r="C814">
        <v>55</v>
      </c>
      <c r="D814">
        <v>37</v>
      </c>
      <c r="E814">
        <v>38.817693192199997</v>
      </c>
      <c r="F814">
        <v>-0.33416173516600001</v>
      </c>
      <c r="G814">
        <v>19</v>
      </c>
    </row>
    <row r="815" spans="1:7" hidden="1" x14ac:dyDescent="0.25">
      <c r="A815" t="s">
        <v>2169</v>
      </c>
      <c r="B815" s="8">
        <v>42115</v>
      </c>
      <c r="C815">
        <v>278</v>
      </c>
      <c r="D815">
        <v>38.1</v>
      </c>
      <c r="E815">
        <v>76.817468847100002</v>
      </c>
      <c r="F815">
        <v>-3.5939858062600001</v>
      </c>
      <c r="G815">
        <v>12.1</v>
      </c>
    </row>
    <row r="816" spans="1:7" hidden="1" x14ac:dyDescent="0.25">
      <c r="A816" t="s">
        <v>2170</v>
      </c>
      <c r="B816" s="8">
        <v>42115</v>
      </c>
      <c r="C816">
        <v>74</v>
      </c>
      <c r="D816">
        <v>50</v>
      </c>
      <c r="E816">
        <v>34.986674939099998</v>
      </c>
      <c r="F816">
        <v>-6.3484480552200004</v>
      </c>
      <c r="G816">
        <v>1.75</v>
      </c>
    </row>
    <row r="817" spans="1:7" hidden="1" x14ac:dyDescent="0.25">
      <c r="A817" t="s">
        <v>2171</v>
      </c>
      <c r="B817" s="8">
        <v>42114</v>
      </c>
      <c r="C817">
        <v>152</v>
      </c>
      <c r="D817">
        <v>6.75</v>
      </c>
      <c r="E817">
        <v>39.234965781699998</v>
      </c>
      <c r="F817">
        <v>-1.1232815919600001</v>
      </c>
      <c r="G817">
        <v>0</v>
      </c>
    </row>
    <row r="818" spans="1:7" hidden="1" x14ac:dyDescent="0.25">
      <c r="A818" t="s">
        <v>2172</v>
      </c>
      <c r="B818" s="8">
        <v>42114</v>
      </c>
      <c r="C818">
        <v>57</v>
      </c>
      <c r="D818">
        <v>27</v>
      </c>
      <c r="E818">
        <v>33.974387694699999</v>
      </c>
      <c r="F818">
        <v>-0.20283101614499999</v>
      </c>
      <c r="G818">
        <v>14</v>
      </c>
    </row>
    <row r="819" spans="1:7" hidden="1" x14ac:dyDescent="0.25">
      <c r="A819" t="s">
        <v>2173</v>
      </c>
      <c r="B819" s="8">
        <v>42113</v>
      </c>
      <c r="C819">
        <v>284</v>
      </c>
      <c r="D819">
        <v>33.25</v>
      </c>
      <c r="E819">
        <v>51.004242394000002</v>
      </c>
      <c r="F819">
        <v>-0.96927895875199999</v>
      </c>
      <c r="G819">
        <v>13</v>
      </c>
    </row>
    <row r="820" spans="1:7" hidden="1" x14ac:dyDescent="0.25">
      <c r="A820" t="s">
        <v>2174</v>
      </c>
      <c r="B820" s="8">
        <v>42113</v>
      </c>
      <c r="C820">
        <v>211</v>
      </c>
      <c r="D820">
        <v>27.75</v>
      </c>
      <c r="E820">
        <v>50.350182715999999</v>
      </c>
      <c r="F820">
        <v>-1.0491786249899999</v>
      </c>
      <c r="G820">
        <v>13</v>
      </c>
    </row>
    <row r="821" spans="1:7" hidden="1" x14ac:dyDescent="0.25">
      <c r="A821" t="s">
        <v>2175</v>
      </c>
      <c r="B821" s="8">
        <v>42113</v>
      </c>
      <c r="C821">
        <v>74</v>
      </c>
      <c r="D821">
        <v>64.75</v>
      </c>
      <c r="E821">
        <v>35.516859622799998</v>
      </c>
      <c r="F821">
        <v>-2.1692562796299999</v>
      </c>
      <c r="G821">
        <v>-0.25</v>
      </c>
    </row>
    <row r="822" spans="1:7" hidden="1" x14ac:dyDescent="0.25">
      <c r="A822" t="s">
        <v>2176</v>
      </c>
      <c r="B822" s="8">
        <v>42112</v>
      </c>
      <c r="C822">
        <v>150</v>
      </c>
      <c r="D822">
        <v>36</v>
      </c>
      <c r="E822">
        <v>41.778434996599998</v>
      </c>
      <c r="F822">
        <v>-0.848511355164</v>
      </c>
      <c r="G822">
        <v>22</v>
      </c>
    </row>
    <row r="823" spans="1:7" hidden="1" x14ac:dyDescent="0.25">
      <c r="A823" t="s">
        <v>2177</v>
      </c>
      <c r="B823" s="8">
        <v>42111</v>
      </c>
      <c r="C823">
        <v>244</v>
      </c>
      <c r="D823">
        <v>55.5</v>
      </c>
      <c r="E823">
        <v>57.489974389399997</v>
      </c>
      <c r="F823">
        <v>-2.1613626188100001</v>
      </c>
      <c r="G823">
        <v>14</v>
      </c>
    </row>
    <row r="824" spans="1:7" hidden="1" x14ac:dyDescent="0.25">
      <c r="A824" t="s">
        <v>2178</v>
      </c>
      <c r="B824" s="8">
        <v>42111</v>
      </c>
      <c r="C824">
        <v>55</v>
      </c>
      <c r="D824">
        <v>60.5</v>
      </c>
      <c r="E824">
        <v>38.304757954999999</v>
      </c>
      <c r="F824">
        <v>-2.6725225737899998</v>
      </c>
      <c r="G824">
        <v>1.75</v>
      </c>
    </row>
    <row r="825" spans="1:7" hidden="1" x14ac:dyDescent="0.25">
      <c r="A825" t="s">
        <v>2179</v>
      </c>
      <c r="B825" s="8">
        <v>42111</v>
      </c>
      <c r="C825">
        <v>78</v>
      </c>
      <c r="D825">
        <v>26.25</v>
      </c>
      <c r="E825">
        <v>48.001869272900002</v>
      </c>
      <c r="F825">
        <v>-2.3333923237700001</v>
      </c>
      <c r="G825">
        <v>14</v>
      </c>
    </row>
    <row r="826" spans="1:7" hidden="1" x14ac:dyDescent="0.25"/>
    <row r="827" spans="1:7" hidden="1" x14ac:dyDescent="0.25"/>
    <row r="828" spans="1:7" hidden="1" x14ac:dyDescent="0.25"/>
    <row r="829" spans="1:7" hidden="1" x14ac:dyDescent="0.25"/>
    <row r="830" spans="1:7" hidden="1" x14ac:dyDescent="0.25"/>
    <row r="831" spans="1:7" hidden="1" x14ac:dyDescent="0.25"/>
    <row r="832" spans="1:7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:12" hidden="1" x14ac:dyDescent="0.25"/>
    <row r="850" spans="1:12" hidden="1" x14ac:dyDescent="0.25"/>
    <row r="851" spans="1:12" hidden="1" x14ac:dyDescent="0.25"/>
    <row r="852" spans="1:12" hidden="1" x14ac:dyDescent="0.25"/>
    <row r="853" spans="1:12" hidden="1" x14ac:dyDescent="0.25"/>
    <row r="854" spans="1:12" hidden="1" x14ac:dyDescent="0.25"/>
    <row r="855" spans="1:12" hidden="1" x14ac:dyDescent="0.25"/>
    <row r="856" spans="1:12" hidden="1" x14ac:dyDescent="0.25"/>
    <row r="857" spans="1:12" hidden="1" x14ac:dyDescent="0.25"/>
    <row r="858" spans="1:12" hidden="1" x14ac:dyDescent="0.25"/>
    <row r="859" spans="1:12" hidden="1" x14ac:dyDescent="0.25"/>
    <row r="860" spans="1:12" hidden="1" x14ac:dyDescent="0.25"/>
    <row r="861" spans="1:12" ht="15.75" hidden="1" thickBot="1" x14ac:dyDescent="0.3"/>
    <row r="862" spans="1:12" ht="30" hidden="1" x14ac:dyDescent="0.25">
      <c r="A862" s="37" t="s">
        <v>2207</v>
      </c>
      <c r="B862" s="38" t="s">
        <v>311</v>
      </c>
      <c r="C862" s="38" t="s">
        <v>1545</v>
      </c>
      <c r="D862" s="38" t="s">
        <v>1527</v>
      </c>
      <c r="E862" s="38" t="s">
        <v>1546</v>
      </c>
      <c r="F862" s="38" t="s">
        <v>1547</v>
      </c>
      <c r="G862" s="40" t="s">
        <v>1861</v>
      </c>
      <c r="H862" s="38" t="s">
        <v>1862</v>
      </c>
      <c r="I862" s="38"/>
      <c r="J862" s="65" t="s">
        <v>1989</v>
      </c>
      <c r="K862" s="66" t="s">
        <v>1990</v>
      </c>
      <c r="L862" s="67" t="s">
        <v>1991</v>
      </c>
    </row>
    <row r="863" spans="1:12" hidden="1" x14ac:dyDescent="0.25">
      <c r="A863" s="30" t="s">
        <v>2196</v>
      </c>
      <c r="B863" s="8">
        <v>42142</v>
      </c>
      <c r="C863" s="30">
        <v>130</v>
      </c>
      <c r="D863" s="30">
        <v>42.75</v>
      </c>
      <c r="E863" s="30">
        <v>42.298963422299998</v>
      </c>
      <c r="F863" s="30">
        <v>-1.2405154969000001</v>
      </c>
      <c r="G863" s="30">
        <v>14</v>
      </c>
      <c r="H863" s="30"/>
      <c r="I863" s="30"/>
      <c r="J863" s="68">
        <f>AVERAGE(D863:D952)</f>
        <v>31.967123287671225</v>
      </c>
      <c r="K863" s="68">
        <f>_xlfn.STDEV.P(D863:D952)</f>
        <v>11.327818283632233</v>
      </c>
      <c r="L863" s="68">
        <f>MEDIAN(D863:D952)</f>
        <v>29.95</v>
      </c>
    </row>
    <row r="864" spans="1:12" hidden="1" x14ac:dyDescent="0.25">
      <c r="A864" t="s">
        <v>2197</v>
      </c>
      <c r="B864" s="8">
        <v>42142</v>
      </c>
      <c r="C864">
        <v>110</v>
      </c>
      <c r="D864">
        <v>28.25</v>
      </c>
      <c r="E864">
        <v>41.792959298900001</v>
      </c>
      <c r="F864">
        <v>-1.5850898228999999</v>
      </c>
      <c r="G864">
        <v>14</v>
      </c>
    </row>
    <row r="865" spans="1:7" hidden="1" x14ac:dyDescent="0.25">
      <c r="A865" t="s">
        <v>2211</v>
      </c>
      <c r="B865" s="8">
        <v>42141</v>
      </c>
      <c r="C865">
        <v>279</v>
      </c>
      <c r="D865">
        <v>22.5</v>
      </c>
      <c r="E865">
        <v>45.780815399200002</v>
      </c>
      <c r="F865">
        <v>-9.0108181450499991</v>
      </c>
      <c r="G865">
        <v>13</v>
      </c>
    </row>
    <row r="866" spans="1:7" hidden="1" x14ac:dyDescent="0.25">
      <c r="A866" t="s">
        <v>2212</v>
      </c>
      <c r="B866" s="8">
        <v>42141</v>
      </c>
      <c r="C866">
        <v>97</v>
      </c>
      <c r="D866">
        <v>23.5</v>
      </c>
      <c r="E866">
        <v>44.499658903899999</v>
      </c>
      <c r="F866">
        <v>-2.2461532750400002</v>
      </c>
      <c r="G866">
        <v>13</v>
      </c>
    </row>
    <row r="867" spans="1:7" hidden="1" x14ac:dyDescent="0.25">
      <c r="A867" t="s">
        <v>2213</v>
      </c>
      <c r="B867" s="8">
        <v>42141</v>
      </c>
      <c r="C867">
        <v>187</v>
      </c>
      <c r="D867">
        <v>20</v>
      </c>
      <c r="E867">
        <v>45.446212722600002</v>
      </c>
      <c r="F867">
        <v>-1.7886726152800001</v>
      </c>
      <c r="G867">
        <v>13</v>
      </c>
    </row>
    <row r="868" spans="1:7" hidden="1" x14ac:dyDescent="0.25">
      <c r="A868" t="s">
        <v>2214</v>
      </c>
      <c r="B868" s="8">
        <v>42141</v>
      </c>
      <c r="C868">
        <v>92</v>
      </c>
      <c r="D868">
        <v>36.75</v>
      </c>
      <c r="E868">
        <v>37.146750763199996</v>
      </c>
      <c r="F868">
        <v>-6.6300161189900004</v>
      </c>
      <c r="G868">
        <v>14</v>
      </c>
    </row>
    <row r="869" spans="1:7" hidden="1" x14ac:dyDescent="0.25">
      <c r="A869" t="s">
        <v>2210</v>
      </c>
      <c r="B869" s="8">
        <v>42140</v>
      </c>
      <c r="C869">
        <v>275</v>
      </c>
      <c r="D869">
        <v>38.25</v>
      </c>
      <c r="E869">
        <v>42.699909915299997</v>
      </c>
      <c r="F869">
        <v>-7.3078555940700003</v>
      </c>
      <c r="G869">
        <v>7</v>
      </c>
    </row>
    <row r="870" spans="1:7" hidden="1" x14ac:dyDescent="0.25">
      <c r="A870" t="s">
        <v>2190</v>
      </c>
      <c r="B870" s="8">
        <v>42140</v>
      </c>
      <c r="C870">
        <v>71</v>
      </c>
      <c r="D870">
        <v>30.5</v>
      </c>
      <c r="E870">
        <v>39.021231460499997</v>
      </c>
      <c r="F870">
        <v>-4.1631996121799997</v>
      </c>
      <c r="G870">
        <v>1</v>
      </c>
    </row>
    <row r="871" spans="1:7" hidden="1" x14ac:dyDescent="0.25">
      <c r="A871" t="s">
        <v>2187</v>
      </c>
      <c r="B871" s="8">
        <v>42139</v>
      </c>
      <c r="C871">
        <v>279</v>
      </c>
      <c r="D871">
        <v>53.45</v>
      </c>
      <c r="E871">
        <v>44.0433491824</v>
      </c>
      <c r="F871">
        <v>-2.64354795171</v>
      </c>
      <c r="G871">
        <v>1.75</v>
      </c>
    </row>
    <row r="872" spans="1:7" hidden="1" x14ac:dyDescent="0.25">
      <c r="A872" t="s">
        <v>2188</v>
      </c>
      <c r="B872" s="8">
        <v>42139</v>
      </c>
      <c r="C872">
        <v>262</v>
      </c>
      <c r="D872">
        <v>44.2</v>
      </c>
      <c r="E872">
        <v>41.033770585699997</v>
      </c>
      <c r="F872">
        <v>-1.80073338745</v>
      </c>
      <c r="G872">
        <v>1.75</v>
      </c>
    </row>
    <row r="873" spans="1:7" hidden="1" x14ac:dyDescent="0.25">
      <c r="A873" t="s">
        <v>2183</v>
      </c>
      <c r="B873" s="8">
        <v>42138</v>
      </c>
      <c r="C873">
        <v>207</v>
      </c>
      <c r="D873">
        <v>36.200000000000003</v>
      </c>
      <c r="E873">
        <v>5569.6790964600004</v>
      </c>
      <c r="F873">
        <v>-7.3607704565600001</v>
      </c>
      <c r="G873">
        <v>1.2</v>
      </c>
    </row>
    <row r="874" spans="1:7" hidden="1" x14ac:dyDescent="0.25">
      <c r="A874" t="s">
        <v>2184</v>
      </c>
      <c r="B874" s="8">
        <v>42138</v>
      </c>
      <c r="C874">
        <v>94</v>
      </c>
      <c r="D874">
        <v>34.450000000000003</v>
      </c>
      <c r="E874">
        <v>5569.5125882100001</v>
      </c>
      <c r="F874">
        <v>-8.3725030044299995</v>
      </c>
      <c r="G874">
        <v>1.2</v>
      </c>
    </row>
    <row r="875" spans="1:7" hidden="1" x14ac:dyDescent="0.25">
      <c r="A875" t="s">
        <v>2208</v>
      </c>
      <c r="B875" s="8">
        <v>42138</v>
      </c>
      <c r="C875">
        <v>113</v>
      </c>
      <c r="D875">
        <v>31</v>
      </c>
      <c r="E875">
        <v>61.492185560700001</v>
      </c>
      <c r="F875">
        <v>-0.79930410976199995</v>
      </c>
      <c r="G875">
        <v>14</v>
      </c>
    </row>
    <row r="876" spans="1:7" hidden="1" x14ac:dyDescent="0.25">
      <c r="A876" t="s">
        <v>2209</v>
      </c>
      <c r="B876" s="8">
        <v>42138</v>
      </c>
      <c r="C876">
        <v>37</v>
      </c>
      <c r="D876">
        <v>25.6</v>
      </c>
      <c r="E876">
        <v>32.9606502273</v>
      </c>
      <c r="F876">
        <v>-9.3445146719600007</v>
      </c>
      <c r="G876">
        <v>-0.75</v>
      </c>
    </row>
    <row r="877" spans="1:7" hidden="1" x14ac:dyDescent="0.25">
      <c r="A877" t="s">
        <v>2215</v>
      </c>
      <c r="B877" s="8">
        <v>42137</v>
      </c>
      <c r="C877">
        <v>39</v>
      </c>
      <c r="D877">
        <v>29.25</v>
      </c>
      <c r="E877">
        <v>30.981026604299998</v>
      </c>
      <c r="F877">
        <v>-1.4145162660599999</v>
      </c>
      <c r="G877">
        <v>18</v>
      </c>
    </row>
    <row r="878" spans="1:7" hidden="1" x14ac:dyDescent="0.25">
      <c r="A878" t="s">
        <v>2216</v>
      </c>
      <c r="B878" s="8">
        <v>42136</v>
      </c>
      <c r="C878">
        <v>278</v>
      </c>
      <c r="D878">
        <v>27.7</v>
      </c>
      <c r="E878">
        <v>42.360299519999998</v>
      </c>
      <c r="F878">
        <v>-3.1542518825900001</v>
      </c>
      <c r="G878">
        <v>4.2</v>
      </c>
    </row>
    <row r="879" spans="1:7" hidden="1" x14ac:dyDescent="0.25">
      <c r="A879" t="s">
        <v>2217</v>
      </c>
      <c r="B879" s="8">
        <v>42136</v>
      </c>
      <c r="C879">
        <v>258</v>
      </c>
      <c r="D879">
        <v>23.2</v>
      </c>
      <c r="E879">
        <v>41.498377098500001</v>
      </c>
      <c r="F879">
        <v>-4.1483272380400003</v>
      </c>
      <c r="G879">
        <v>4.2</v>
      </c>
    </row>
    <row r="880" spans="1:7" hidden="1" x14ac:dyDescent="0.25">
      <c r="A880" t="s">
        <v>2218</v>
      </c>
      <c r="B880" s="8">
        <v>42136</v>
      </c>
      <c r="C880">
        <v>113</v>
      </c>
      <c r="D880">
        <v>28.45</v>
      </c>
      <c r="E880">
        <v>38.103867422100002</v>
      </c>
      <c r="F880">
        <v>-0.80094739602499998</v>
      </c>
      <c r="G880">
        <v>12.2</v>
      </c>
    </row>
    <row r="881" spans="1:7" hidden="1" x14ac:dyDescent="0.25">
      <c r="A881" t="s">
        <v>2219</v>
      </c>
      <c r="B881" s="8">
        <v>42136</v>
      </c>
      <c r="C881">
        <v>92</v>
      </c>
      <c r="D881">
        <v>18.95</v>
      </c>
      <c r="E881">
        <v>39.355526599000001</v>
      </c>
      <c r="F881">
        <v>-2.86191840612</v>
      </c>
      <c r="G881">
        <v>4.2</v>
      </c>
    </row>
    <row r="882" spans="1:7" hidden="1" x14ac:dyDescent="0.25">
      <c r="A882" t="s">
        <v>2220</v>
      </c>
      <c r="B882" s="8">
        <v>42136</v>
      </c>
      <c r="C882">
        <v>73</v>
      </c>
      <c r="D882">
        <v>30.2</v>
      </c>
      <c r="E882">
        <v>36.723986664599998</v>
      </c>
      <c r="F882">
        <v>-3.59522590055</v>
      </c>
      <c r="G882">
        <v>4.2</v>
      </c>
    </row>
    <row r="883" spans="1:7" hidden="1" x14ac:dyDescent="0.25">
      <c r="A883" t="s">
        <v>2222</v>
      </c>
      <c r="B883" s="8">
        <v>42135</v>
      </c>
      <c r="C883">
        <v>184</v>
      </c>
      <c r="D883">
        <v>13.25</v>
      </c>
      <c r="E883">
        <v>44.228676468899998</v>
      </c>
      <c r="F883">
        <v>-3.6272862253399998</v>
      </c>
      <c r="G883">
        <v>7</v>
      </c>
    </row>
    <row r="884" spans="1:7" hidden="1" x14ac:dyDescent="0.25">
      <c r="A884" t="s">
        <v>2205</v>
      </c>
      <c r="B884" s="8">
        <v>42135</v>
      </c>
      <c r="C884">
        <v>55</v>
      </c>
      <c r="D884">
        <v>29</v>
      </c>
      <c r="E884">
        <v>35.519965922099999</v>
      </c>
      <c r="F884">
        <v>-7.9459342045900003</v>
      </c>
      <c r="G884">
        <v>11</v>
      </c>
    </row>
    <row r="885" spans="1:7" hidden="1" x14ac:dyDescent="0.25">
      <c r="A885" t="s">
        <v>2223</v>
      </c>
      <c r="B885" s="8">
        <v>42135</v>
      </c>
      <c r="C885">
        <v>37</v>
      </c>
      <c r="D885">
        <v>35.5</v>
      </c>
      <c r="E885">
        <v>33.773180873000001</v>
      </c>
      <c r="F885">
        <v>-1.78098079744</v>
      </c>
      <c r="G885">
        <v>13</v>
      </c>
    </row>
    <row r="886" spans="1:7" hidden="1" x14ac:dyDescent="0.25">
      <c r="A886" t="s">
        <v>2224</v>
      </c>
      <c r="B886" s="8">
        <v>42134</v>
      </c>
      <c r="C886">
        <v>280</v>
      </c>
      <c r="D886">
        <v>40.25</v>
      </c>
      <c r="E886">
        <v>41.183779051099997</v>
      </c>
      <c r="F886">
        <v>-1.4111620362999999</v>
      </c>
      <c r="G886">
        <v>11</v>
      </c>
    </row>
    <row r="887" spans="1:7" hidden="1" x14ac:dyDescent="0.25">
      <c r="A887" t="s">
        <v>2225</v>
      </c>
      <c r="B887" s="8">
        <v>42134</v>
      </c>
      <c r="C887">
        <v>169</v>
      </c>
      <c r="D887">
        <v>30.75</v>
      </c>
      <c r="E887">
        <v>39.968179012900002</v>
      </c>
      <c r="F887">
        <v>-2.01268919909</v>
      </c>
      <c r="G887">
        <v>11</v>
      </c>
    </row>
    <row r="888" spans="1:7" hidden="1" x14ac:dyDescent="0.25">
      <c r="A888" t="s">
        <v>2226</v>
      </c>
      <c r="B888" s="8">
        <v>42134</v>
      </c>
      <c r="C888">
        <v>91</v>
      </c>
      <c r="D888">
        <v>46.75</v>
      </c>
      <c r="E888">
        <v>36.152308946700003</v>
      </c>
      <c r="F888">
        <v>-5.0427025738499998</v>
      </c>
      <c r="G888">
        <v>15</v>
      </c>
    </row>
    <row r="889" spans="1:7" hidden="1" x14ac:dyDescent="0.25">
      <c r="A889" t="s">
        <v>2227</v>
      </c>
      <c r="B889" s="8">
        <v>42133</v>
      </c>
      <c r="C889">
        <v>158</v>
      </c>
      <c r="D889">
        <v>38.6</v>
      </c>
      <c r="E889">
        <v>39.430734600100003</v>
      </c>
      <c r="F889">
        <v>-4.0079169284100002</v>
      </c>
      <c r="G889">
        <v>15.1</v>
      </c>
    </row>
    <row r="890" spans="1:7" hidden="1" x14ac:dyDescent="0.25">
      <c r="A890" t="s">
        <v>2228</v>
      </c>
      <c r="B890" s="8">
        <v>42133</v>
      </c>
      <c r="C890">
        <v>57</v>
      </c>
      <c r="D890">
        <v>37.85</v>
      </c>
      <c r="E890">
        <v>33.262614023700003</v>
      </c>
      <c r="F890">
        <v>-0.40674152863700003</v>
      </c>
      <c r="G890">
        <v>10.1</v>
      </c>
    </row>
    <row r="891" spans="1:7" hidden="1" x14ac:dyDescent="0.25">
      <c r="A891" t="s">
        <v>2229</v>
      </c>
      <c r="B891" s="8">
        <v>42132</v>
      </c>
      <c r="C891">
        <v>262</v>
      </c>
      <c r="D891">
        <v>40.75</v>
      </c>
      <c r="E891">
        <v>145.80155900899999</v>
      </c>
      <c r="F891">
        <v>-7.9275405283899998</v>
      </c>
      <c r="G891">
        <v>9</v>
      </c>
    </row>
    <row r="892" spans="1:7" hidden="1" x14ac:dyDescent="0.25">
      <c r="A892" t="s">
        <v>2137</v>
      </c>
      <c r="B892" s="8">
        <v>42131</v>
      </c>
      <c r="C892">
        <v>112</v>
      </c>
      <c r="D892">
        <v>44.35</v>
      </c>
      <c r="E892">
        <v>34.722765839700003</v>
      </c>
      <c r="F892">
        <v>-0.48218229760199999</v>
      </c>
      <c r="G892">
        <v>12.1</v>
      </c>
    </row>
    <row r="893" spans="1:7" hidden="1" x14ac:dyDescent="0.25">
      <c r="A893" t="s">
        <v>2138</v>
      </c>
      <c r="B893" s="8">
        <v>42130</v>
      </c>
      <c r="C893">
        <v>224</v>
      </c>
      <c r="D893">
        <v>37.6</v>
      </c>
      <c r="E893">
        <v>38.342633320799997</v>
      </c>
      <c r="F893">
        <v>-4.9827417303899999</v>
      </c>
      <c r="G893">
        <v>6.1</v>
      </c>
    </row>
    <row r="894" spans="1:7" hidden="1" x14ac:dyDescent="0.25">
      <c r="A894" t="s">
        <v>2230</v>
      </c>
      <c r="B894" s="8">
        <v>42129</v>
      </c>
      <c r="C894">
        <v>261</v>
      </c>
      <c r="D894">
        <v>19.75</v>
      </c>
      <c r="E894">
        <v>41.941834759199999</v>
      </c>
      <c r="F894">
        <v>-6.0429780132600003E-2</v>
      </c>
      <c r="G894">
        <v>12</v>
      </c>
    </row>
    <row r="895" spans="1:7" hidden="1" x14ac:dyDescent="0.25">
      <c r="A895" t="s">
        <v>2231</v>
      </c>
      <c r="B895" s="8">
        <v>42128</v>
      </c>
      <c r="C895">
        <v>188</v>
      </c>
      <c r="D895">
        <v>21.6</v>
      </c>
      <c r="E895">
        <v>46.154967882400001</v>
      </c>
      <c r="F895">
        <v>-0.79603979312499995</v>
      </c>
      <c r="G895">
        <v>-1</v>
      </c>
    </row>
    <row r="896" spans="1:7" hidden="1" x14ac:dyDescent="0.25">
      <c r="A896" t="s">
        <v>2232</v>
      </c>
      <c r="B896" s="8">
        <v>42128</v>
      </c>
      <c r="C896">
        <v>58</v>
      </c>
      <c r="D896">
        <v>42.25</v>
      </c>
      <c r="E896">
        <v>34.6116518802</v>
      </c>
      <c r="F896">
        <v>-4.8399962682600002</v>
      </c>
      <c r="G896">
        <v>7</v>
      </c>
    </row>
    <row r="897" spans="1:7" hidden="1" x14ac:dyDescent="0.25">
      <c r="A897" t="s">
        <v>2142</v>
      </c>
      <c r="B897" s="8">
        <v>42128</v>
      </c>
      <c r="C897">
        <v>38</v>
      </c>
      <c r="D897">
        <v>21.75</v>
      </c>
      <c r="E897">
        <v>35.146122726000002</v>
      </c>
      <c r="F897">
        <v>3.7538169592200001E-2</v>
      </c>
      <c r="G897">
        <v>18</v>
      </c>
    </row>
    <row r="898" spans="1:7" hidden="1" x14ac:dyDescent="0.25">
      <c r="A898" t="s">
        <v>2233</v>
      </c>
      <c r="B898" s="8">
        <v>42127</v>
      </c>
      <c r="C898">
        <v>73</v>
      </c>
      <c r="D898">
        <v>16.7</v>
      </c>
      <c r="E898">
        <v>36.0904366129</v>
      </c>
      <c r="F898">
        <v>-7.8406459607799999</v>
      </c>
      <c r="G898">
        <v>2.2000000000000002</v>
      </c>
    </row>
    <row r="899" spans="1:7" hidden="1" x14ac:dyDescent="0.25">
      <c r="A899" t="s">
        <v>2234</v>
      </c>
      <c r="B899" s="8">
        <v>42126</v>
      </c>
      <c r="C899">
        <v>279</v>
      </c>
      <c r="D899">
        <v>18.5</v>
      </c>
      <c r="E899">
        <v>43.627125091499998</v>
      </c>
      <c r="F899">
        <v>-4.89578057662</v>
      </c>
      <c r="G899">
        <v>4</v>
      </c>
    </row>
    <row r="900" spans="1:7" hidden="1" x14ac:dyDescent="0.25">
      <c r="A900" t="s">
        <v>2235</v>
      </c>
      <c r="B900" s="8">
        <v>42126</v>
      </c>
      <c r="C900">
        <v>129</v>
      </c>
      <c r="D900">
        <v>24.25</v>
      </c>
      <c r="E900">
        <v>42.265240057600003</v>
      </c>
      <c r="F900">
        <v>-2.04531495672</v>
      </c>
      <c r="G900">
        <v>4</v>
      </c>
    </row>
    <row r="901" spans="1:7" hidden="1" x14ac:dyDescent="0.25">
      <c r="A901" t="s">
        <v>2236</v>
      </c>
      <c r="B901" s="8">
        <v>42126</v>
      </c>
      <c r="C901">
        <v>150</v>
      </c>
      <c r="D901">
        <v>24.75</v>
      </c>
      <c r="E901">
        <v>37.199695924099998</v>
      </c>
      <c r="F901">
        <v>-3.2604599306600002</v>
      </c>
      <c r="G901">
        <v>10</v>
      </c>
    </row>
    <row r="902" spans="1:7" hidden="1" x14ac:dyDescent="0.25">
      <c r="A902" t="s">
        <v>2237</v>
      </c>
      <c r="B902" s="8">
        <v>42126</v>
      </c>
      <c r="C902">
        <v>54</v>
      </c>
      <c r="D902">
        <v>32.25</v>
      </c>
      <c r="E902">
        <v>41.772304957099998</v>
      </c>
      <c r="F902">
        <v>-1.93728929416</v>
      </c>
      <c r="G902">
        <v>4</v>
      </c>
    </row>
    <row r="903" spans="1:7" hidden="1" x14ac:dyDescent="0.25">
      <c r="A903" t="s">
        <v>2238</v>
      </c>
      <c r="B903" s="8">
        <v>42125</v>
      </c>
      <c r="C903">
        <v>260</v>
      </c>
      <c r="D903">
        <v>29</v>
      </c>
      <c r="E903">
        <v>42.400701879099998</v>
      </c>
      <c r="F903">
        <v>-9.7214951090100001</v>
      </c>
      <c r="G903">
        <v>14</v>
      </c>
    </row>
    <row r="904" spans="1:7" hidden="1" x14ac:dyDescent="0.25">
      <c r="A904" t="s">
        <v>2149</v>
      </c>
      <c r="B904" s="8">
        <v>42125</v>
      </c>
      <c r="C904">
        <v>98</v>
      </c>
      <c r="D904">
        <v>16.75</v>
      </c>
      <c r="E904">
        <v>35.954604938400003</v>
      </c>
      <c r="F904">
        <v>-1.35522848461</v>
      </c>
      <c r="G904">
        <v>9</v>
      </c>
    </row>
    <row r="905" spans="1:7" hidden="1" x14ac:dyDescent="0.25">
      <c r="A905" t="s">
        <v>2239</v>
      </c>
      <c r="B905" s="8">
        <v>42123</v>
      </c>
      <c r="C905">
        <v>146</v>
      </c>
      <c r="D905">
        <v>29.95</v>
      </c>
      <c r="E905">
        <v>42.961153700799997</v>
      </c>
      <c r="F905">
        <v>-0.460880751187</v>
      </c>
      <c r="G905">
        <v>12.2</v>
      </c>
    </row>
    <row r="906" spans="1:7" hidden="1" x14ac:dyDescent="0.25">
      <c r="A906" t="s">
        <v>2240</v>
      </c>
      <c r="B906" s="8">
        <v>42123</v>
      </c>
      <c r="C906">
        <v>58</v>
      </c>
      <c r="D906">
        <v>3.6</v>
      </c>
      <c r="E906">
        <v>38.156871887800001</v>
      </c>
      <c r="F906">
        <v>-3.2573702673399998</v>
      </c>
      <c r="G906">
        <v>1.1000000000000001</v>
      </c>
    </row>
    <row r="907" spans="1:7" hidden="1" x14ac:dyDescent="0.25">
      <c r="A907" t="s">
        <v>2241</v>
      </c>
      <c r="B907" s="8">
        <v>42122</v>
      </c>
      <c r="C907">
        <v>219</v>
      </c>
      <c r="D907">
        <v>25.5</v>
      </c>
      <c r="E907">
        <v>46.4843426463</v>
      </c>
      <c r="F907">
        <v>-1.5800014070799999</v>
      </c>
      <c r="G907">
        <v>-0.5</v>
      </c>
    </row>
    <row r="908" spans="1:7" hidden="1" x14ac:dyDescent="0.25">
      <c r="A908" t="s">
        <v>2242</v>
      </c>
      <c r="B908" s="8">
        <v>42122</v>
      </c>
      <c r="C908">
        <v>113</v>
      </c>
      <c r="D908">
        <v>41.5</v>
      </c>
      <c r="E908">
        <v>39.739996136400002</v>
      </c>
      <c r="F908">
        <v>-2.85308675352</v>
      </c>
      <c r="G908">
        <v>16</v>
      </c>
    </row>
    <row r="909" spans="1:7" hidden="1" x14ac:dyDescent="0.25">
      <c r="A909" t="s">
        <v>2243</v>
      </c>
      <c r="B909" s="8">
        <v>42121</v>
      </c>
      <c r="C909">
        <v>241</v>
      </c>
      <c r="D909">
        <v>33.85</v>
      </c>
      <c r="E909">
        <v>43.65423096</v>
      </c>
      <c r="F909">
        <v>-6.5538533795999996</v>
      </c>
      <c r="G909">
        <v>14.1</v>
      </c>
    </row>
    <row r="910" spans="1:7" hidden="1" x14ac:dyDescent="0.25">
      <c r="A910" t="s">
        <v>2244</v>
      </c>
      <c r="B910" s="8">
        <v>42121</v>
      </c>
      <c r="C910">
        <v>202</v>
      </c>
      <c r="D910">
        <v>40.85</v>
      </c>
      <c r="E910">
        <v>41.061045376199999</v>
      </c>
      <c r="F910">
        <v>-7.4403482595200003</v>
      </c>
      <c r="G910">
        <v>14.1</v>
      </c>
    </row>
    <row r="911" spans="1:7" hidden="1" x14ac:dyDescent="0.25">
      <c r="A911" t="s">
        <v>2245</v>
      </c>
      <c r="B911" s="8">
        <v>42121</v>
      </c>
      <c r="C911">
        <v>112</v>
      </c>
      <c r="D911">
        <v>27.35</v>
      </c>
      <c r="E911">
        <v>40.722597069700001</v>
      </c>
      <c r="F911">
        <v>-8.8306028306400002</v>
      </c>
      <c r="G911">
        <v>7.1</v>
      </c>
    </row>
    <row r="912" spans="1:7" hidden="1" x14ac:dyDescent="0.25">
      <c r="A912" t="s">
        <v>2246</v>
      </c>
      <c r="B912" s="8">
        <v>42120</v>
      </c>
      <c r="C912">
        <v>266</v>
      </c>
      <c r="D912">
        <v>22.5</v>
      </c>
      <c r="E912">
        <v>56.6691860894</v>
      </c>
      <c r="F912">
        <v>-0.60446611013200002</v>
      </c>
      <c r="G912">
        <v>12</v>
      </c>
    </row>
    <row r="913" spans="1:7" hidden="1" x14ac:dyDescent="0.25">
      <c r="A913" t="s">
        <v>2247</v>
      </c>
      <c r="B913" s="8">
        <v>42120</v>
      </c>
      <c r="C913">
        <v>96</v>
      </c>
      <c r="D913">
        <v>30.1</v>
      </c>
      <c r="E913">
        <v>37.125132508599997</v>
      </c>
      <c r="F913">
        <v>-3.0154052498400001</v>
      </c>
      <c r="G913">
        <v>17.100000000000001</v>
      </c>
    </row>
    <row r="914" spans="1:7" hidden="1" x14ac:dyDescent="0.25">
      <c r="A914" t="s">
        <v>2248</v>
      </c>
      <c r="B914" s="8">
        <v>42119</v>
      </c>
      <c r="C914">
        <v>147</v>
      </c>
      <c r="D914">
        <v>26.2</v>
      </c>
      <c r="E914">
        <v>40.440880397500003</v>
      </c>
      <c r="F914">
        <v>-0.398350608587</v>
      </c>
      <c r="G914">
        <v>10.199999999999999</v>
      </c>
    </row>
    <row r="915" spans="1:7" hidden="1" x14ac:dyDescent="0.25">
      <c r="A915" t="s">
        <v>2249</v>
      </c>
      <c r="B915" s="8">
        <v>42119</v>
      </c>
      <c r="C915">
        <v>76</v>
      </c>
      <c r="D915">
        <v>26.5</v>
      </c>
      <c r="E915">
        <v>35.330359527100001</v>
      </c>
      <c r="F915">
        <v>-1.8279753190700001</v>
      </c>
      <c r="G915">
        <v>8</v>
      </c>
    </row>
    <row r="916" spans="1:7" hidden="1" x14ac:dyDescent="0.25">
      <c r="A916" t="s">
        <v>2250</v>
      </c>
      <c r="B916" s="8">
        <v>42118</v>
      </c>
      <c r="C916">
        <v>283</v>
      </c>
      <c r="D916">
        <v>27.25</v>
      </c>
      <c r="E916">
        <v>51.597300830000002</v>
      </c>
      <c r="F916">
        <v>-4.43419989686</v>
      </c>
      <c r="G916">
        <v>3</v>
      </c>
    </row>
    <row r="917" spans="1:7" hidden="1" x14ac:dyDescent="0.25">
      <c r="A917" t="s">
        <v>2251</v>
      </c>
      <c r="B917" s="8">
        <v>42118</v>
      </c>
      <c r="C917">
        <v>94</v>
      </c>
      <c r="D917">
        <v>29.75</v>
      </c>
      <c r="E917">
        <v>36.814511117599999</v>
      </c>
      <c r="F917">
        <v>-5.1426020660800003</v>
      </c>
      <c r="G917">
        <v>22</v>
      </c>
    </row>
    <row r="918" spans="1:7" hidden="1" x14ac:dyDescent="0.25">
      <c r="A918" t="s">
        <v>2252</v>
      </c>
      <c r="B918" s="8">
        <v>42118</v>
      </c>
      <c r="C918">
        <v>56</v>
      </c>
      <c r="D918">
        <v>27.75</v>
      </c>
      <c r="E918">
        <v>34.277086563099999</v>
      </c>
      <c r="F918">
        <v>-1.80048436231</v>
      </c>
      <c r="G918">
        <v>9</v>
      </c>
    </row>
    <row r="919" spans="1:7" hidden="1" x14ac:dyDescent="0.25">
      <c r="A919" t="s">
        <v>2253</v>
      </c>
      <c r="B919" s="8">
        <v>42117</v>
      </c>
      <c r="C919">
        <v>53</v>
      </c>
      <c r="D919">
        <v>26.75</v>
      </c>
      <c r="E919">
        <v>35.2045138131</v>
      </c>
      <c r="F919">
        <v>-9.8693927198200004</v>
      </c>
      <c r="G919">
        <v>10</v>
      </c>
    </row>
    <row r="920" spans="1:7" hidden="1" x14ac:dyDescent="0.25">
      <c r="A920" t="s">
        <v>2165</v>
      </c>
      <c r="B920" s="8">
        <v>42117</v>
      </c>
      <c r="C920">
        <v>79</v>
      </c>
      <c r="D920">
        <v>17</v>
      </c>
      <c r="E920">
        <v>35.9296088181</v>
      </c>
      <c r="F920">
        <v>-0.49584494696999998</v>
      </c>
      <c r="G920">
        <v>7</v>
      </c>
    </row>
    <row r="921" spans="1:7" hidden="1" x14ac:dyDescent="0.25">
      <c r="A921" t="s">
        <v>2254</v>
      </c>
      <c r="B921" s="8">
        <v>42116</v>
      </c>
      <c r="C921">
        <v>280</v>
      </c>
      <c r="D921">
        <v>43</v>
      </c>
      <c r="E921">
        <v>41.619146294499998</v>
      </c>
      <c r="F921">
        <v>9.9598124091899998E-2</v>
      </c>
      <c r="G921">
        <v>19</v>
      </c>
    </row>
    <row r="922" spans="1:7" hidden="1" x14ac:dyDescent="0.25">
      <c r="A922" t="s">
        <v>2254</v>
      </c>
      <c r="B922" s="8">
        <v>42116</v>
      </c>
      <c r="C922">
        <v>260</v>
      </c>
      <c r="D922">
        <v>43</v>
      </c>
      <c r="E922">
        <v>41.619146294499998</v>
      </c>
      <c r="F922">
        <v>9.9598124091899998E-2</v>
      </c>
      <c r="G922">
        <v>19</v>
      </c>
    </row>
    <row r="923" spans="1:7" hidden="1" x14ac:dyDescent="0.25">
      <c r="A923" t="s">
        <v>2167</v>
      </c>
      <c r="B923" s="8">
        <v>42116</v>
      </c>
      <c r="C923">
        <v>74</v>
      </c>
      <c r="D923">
        <v>43.75</v>
      </c>
      <c r="E923">
        <v>35.743583950100003</v>
      </c>
      <c r="F923">
        <v>-2.6058185322099998</v>
      </c>
      <c r="G923">
        <v>-0.5</v>
      </c>
    </row>
    <row r="924" spans="1:7" hidden="1" x14ac:dyDescent="0.25">
      <c r="A924" t="s">
        <v>2255</v>
      </c>
      <c r="B924" s="8">
        <v>42116</v>
      </c>
      <c r="C924">
        <v>55</v>
      </c>
      <c r="D924">
        <v>37</v>
      </c>
      <c r="E924">
        <v>38.516297159399997</v>
      </c>
      <c r="F924">
        <v>-0.53848123906800005</v>
      </c>
      <c r="G924">
        <v>19</v>
      </c>
    </row>
    <row r="925" spans="1:7" hidden="1" x14ac:dyDescent="0.25">
      <c r="A925" t="s">
        <v>2256</v>
      </c>
      <c r="B925" s="8">
        <v>42115</v>
      </c>
      <c r="C925">
        <v>278</v>
      </c>
      <c r="D925">
        <v>45.1</v>
      </c>
      <c r="E925">
        <v>77.351515642899997</v>
      </c>
      <c r="F925">
        <v>-4.9668795031800004</v>
      </c>
      <c r="G925">
        <v>12.1</v>
      </c>
    </row>
    <row r="926" spans="1:7" hidden="1" x14ac:dyDescent="0.25">
      <c r="A926" t="s">
        <v>2257</v>
      </c>
      <c r="B926" s="8">
        <v>42115</v>
      </c>
      <c r="C926">
        <v>74</v>
      </c>
      <c r="D926">
        <v>50</v>
      </c>
      <c r="E926">
        <v>35.053350707200003</v>
      </c>
      <c r="F926">
        <v>-6.2509543595399997</v>
      </c>
      <c r="G926">
        <v>1.75</v>
      </c>
    </row>
    <row r="927" spans="1:7" hidden="1" x14ac:dyDescent="0.25">
      <c r="A927" t="s">
        <v>2258</v>
      </c>
      <c r="B927" s="8">
        <v>42114</v>
      </c>
      <c r="C927">
        <v>152</v>
      </c>
      <c r="D927">
        <v>6.75</v>
      </c>
      <c r="E927">
        <v>38.955410836699997</v>
      </c>
      <c r="F927">
        <v>-1.3225688492600001</v>
      </c>
      <c r="G927">
        <v>0</v>
      </c>
    </row>
    <row r="928" spans="1:7" hidden="1" x14ac:dyDescent="0.25">
      <c r="A928" t="s">
        <v>2172</v>
      </c>
      <c r="B928" s="8">
        <v>42114</v>
      </c>
      <c r="C928">
        <v>57</v>
      </c>
      <c r="D928">
        <v>27</v>
      </c>
      <c r="E928">
        <v>33.974387694699999</v>
      </c>
      <c r="F928">
        <v>-0.20283101614499999</v>
      </c>
      <c r="G928">
        <v>14</v>
      </c>
    </row>
    <row r="929" spans="1:7" hidden="1" x14ac:dyDescent="0.25">
      <c r="A929" t="s">
        <v>2259</v>
      </c>
      <c r="B929" s="8">
        <v>42113</v>
      </c>
      <c r="C929">
        <v>284</v>
      </c>
      <c r="D929">
        <v>42.25</v>
      </c>
      <c r="E929">
        <v>52.347984379899998</v>
      </c>
      <c r="F929">
        <v>-1.7554332190399999</v>
      </c>
      <c r="G929">
        <v>13</v>
      </c>
    </row>
    <row r="930" spans="1:7" hidden="1" x14ac:dyDescent="0.25">
      <c r="A930" t="s">
        <v>2260</v>
      </c>
      <c r="B930" s="8">
        <v>42113</v>
      </c>
      <c r="C930">
        <v>211</v>
      </c>
      <c r="D930">
        <v>29</v>
      </c>
      <c r="E930">
        <v>51.583425778799999</v>
      </c>
      <c r="F930">
        <v>-1.83618657864</v>
      </c>
      <c r="G930">
        <v>13</v>
      </c>
    </row>
    <row r="931" spans="1:7" hidden="1" x14ac:dyDescent="0.25">
      <c r="A931" t="s">
        <v>2261</v>
      </c>
      <c r="B931" s="8">
        <v>42113</v>
      </c>
      <c r="C931">
        <v>74</v>
      </c>
      <c r="D931">
        <v>64.75</v>
      </c>
      <c r="E931">
        <v>35.617646647699999</v>
      </c>
      <c r="F931">
        <v>-2.1771524838</v>
      </c>
      <c r="G931">
        <v>-0.25</v>
      </c>
    </row>
    <row r="932" spans="1:7" hidden="1" x14ac:dyDescent="0.25">
      <c r="A932" t="s">
        <v>2262</v>
      </c>
      <c r="B932" s="8">
        <v>42112</v>
      </c>
      <c r="C932">
        <v>150</v>
      </c>
      <c r="D932">
        <v>36</v>
      </c>
      <c r="E932">
        <v>41.8702854637</v>
      </c>
      <c r="F932">
        <v>-0.77339407183099995</v>
      </c>
      <c r="G932">
        <v>22</v>
      </c>
    </row>
    <row r="933" spans="1:7" hidden="1" x14ac:dyDescent="0.25">
      <c r="A933" t="s">
        <v>2263</v>
      </c>
      <c r="B933" s="8">
        <v>42111</v>
      </c>
      <c r="C933">
        <v>244</v>
      </c>
      <c r="D933">
        <v>55.5</v>
      </c>
      <c r="E933">
        <v>57.489978580100001</v>
      </c>
      <c r="F933">
        <v>-2.1613626188100001</v>
      </c>
      <c r="G933">
        <v>14</v>
      </c>
    </row>
    <row r="934" spans="1:7" hidden="1" x14ac:dyDescent="0.25">
      <c r="A934" t="s">
        <v>2178</v>
      </c>
      <c r="B934" s="8">
        <v>42111</v>
      </c>
      <c r="C934">
        <v>55</v>
      </c>
      <c r="D934">
        <v>60.5</v>
      </c>
      <c r="E934">
        <v>38.304757954999999</v>
      </c>
      <c r="F934">
        <v>-2.6725225737899998</v>
      </c>
      <c r="G934">
        <v>1.75</v>
      </c>
    </row>
    <row r="935" spans="1:7" hidden="1" x14ac:dyDescent="0.25">
      <c r="A935" t="s">
        <v>2179</v>
      </c>
      <c r="B935" s="8">
        <v>42111</v>
      </c>
      <c r="C935">
        <v>78</v>
      </c>
      <c r="D935">
        <v>26.25</v>
      </c>
      <c r="E935">
        <v>48.001869272900002</v>
      </c>
      <c r="F935">
        <v>-2.3333923237700001</v>
      </c>
      <c r="G935">
        <v>14</v>
      </c>
    </row>
    <row r="936" spans="1:7" hidden="1" x14ac:dyDescent="0.25"/>
    <row r="937" spans="1:7" hidden="1" x14ac:dyDescent="0.25"/>
    <row r="938" spans="1:7" hidden="1" x14ac:dyDescent="0.25"/>
    <row r="939" spans="1:7" hidden="1" x14ac:dyDescent="0.25"/>
    <row r="940" spans="1:7" hidden="1" x14ac:dyDescent="0.25"/>
    <row r="941" spans="1:7" hidden="1" x14ac:dyDescent="0.25"/>
    <row r="942" spans="1:7" hidden="1" x14ac:dyDescent="0.25"/>
    <row r="943" spans="1:7" hidden="1" x14ac:dyDescent="0.25"/>
    <row r="944" spans="1:7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spans="1:12" hidden="1" x14ac:dyDescent="0.25"/>
    <row r="978" spans="1:12" hidden="1" x14ac:dyDescent="0.25"/>
    <row r="979" spans="1:12" hidden="1" x14ac:dyDescent="0.25"/>
    <row r="980" spans="1:12" hidden="1" x14ac:dyDescent="0.25"/>
    <row r="981" spans="1:12" hidden="1" x14ac:dyDescent="0.25"/>
    <row r="982" spans="1:12" hidden="1" x14ac:dyDescent="0.25"/>
    <row r="983" spans="1:12" hidden="1" x14ac:dyDescent="0.25"/>
    <row r="984" spans="1:12" hidden="1" x14ac:dyDescent="0.25"/>
    <row r="985" spans="1:12" hidden="1" x14ac:dyDescent="0.25"/>
    <row r="986" spans="1:12" hidden="1" x14ac:dyDescent="0.25"/>
    <row r="987" spans="1:12" ht="15.75" hidden="1" thickBot="1" x14ac:dyDescent="0.3"/>
    <row r="988" spans="1:12" ht="30" hidden="1" x14ac:dyDescent="0.25">
      <c r="A988" s="37" t="s">
        <v>2221</v>
      </c>
      <c r="B988" s="38" t="s">
        <v>311</v>
      </c>
      <c r="C988" s="38" t="s">
        <v>1545</v>
      </c>
      <c r="D988" s="38" t="s">
        <v>1527</v>
      </c>
      <c r="E988" s="38" t="s">
        <v>1546</v>
      </c>
      <c r="F988" s="38" t="s">
        <v>1547</v>
      </c>
      <c r="G988" s="40" t="s">
        <v>1861</v>
      </c>
      <c r="H988" s="38" t="s">
        <v>1862</v>
      </c>
      <c r="I988" s="38"/>
      <c r="J988" s="65" t="s">
        <v>1989</v>
      </c>
      <c r="K988" s="66" t="s">
        <v>1990</v>
      </c>
      <c r="L988" s="67" t="s">
        <v>1991</v>
      </c>
    </row>
    <row r="989" spans="1:12" hidden="1" x14ac:dyDescent="0.25">
      <c r="A989" s="30" t="s">
        <v>2264</v>
      </c>
      <c r="B989" s="8">
        <v>42138</v>
      </c>
      <c r="C989" s="30">
        <v>207</v>
      </c>
      <c r="D989" s="30">
        <v>22.2</v>
      </c>
      <c r="E989" s="30">
        <v>5518.4128431600002</v>
      </c>
      <c r="F989" s="30">
        <v>-3.6785925921399998</v>
      </c>
      <c r="G989" s="30">
        <v>1.2</v>
      </c>
      <c r="H989" s="30"/>
      <c r="I989" s="30"/>
      <c r="J989" s="68">
        <f>AVERAGE(D989:D1078)</f>
        <v>29.285135135135139</v>
      </c>
      <c r="K989" s="68">
        <f>_xlfn.STDEV.P(D989:D1078)</f>
        <v>11.148429563776904</v>
      </c>
      <c r="L989" s="68">
        <f>MEDIAN(D989:D1078)</f>
        <v>28.05</v>
      </c>
    </row>
    <row r="990" spans="1:12" hidden="1" x14ac:dyDescent="0.25">
      <c r="A990" t="s">
        <v>2264</v>
      </c>
      <c r="B990" s="8">
        <v>42138</v>
      </c>
      <c r="C990">
        <v>94</v>
      </c>
      <c r="D990">
        <v>22.2</v>
      </c>
      <c r="E990">
        <v>5518.4128431600002</v>
      </c>
      <c r="F990">
        <v>-3.6785925921399998</v>
      </c>
      <c r="G990">
        <v>1.2</v>
      </c>
    </row>
    <row r="991" spans="1:12" hidden="1" x14ac:dyDescent="0.25">
      <c r="A991" t="s">
        <v>2265</v>
      </c>
      <c r="B991" s="8">
        <v>42138</v>
      </c>
      <c r="C991">
        <v>113</v>
      </c>
      <c r="D991">
        <v>31.25</v>
      </c>
      <c r="E991">
        <v>41.5180018617</v>
      </c>
      <c r="F991">
        <v>-0.56988400028999997</v>
      </c>
      <c r="G991">
        <v>14</v>
      </c>
    </row>
    <row r="992" spans="1:12" hidden="1" x14ac:dyDescent="0.25">
      <c r="A992" t="s">
        <v>2266</v>
      </c>
      <c r="B992" s="8">
        <v>42138</v>
      </c>
      <c r="C992">
        <v>37</v>
      </c>
      <c r="D992">
        <v>25.35</v>
      </c>
      <c r="E992">
        <v>32.305211434</v>
      </c>
      <c r="F992">
        <v>-9.9675856555899998</v>
      </c>
      <c r="G992">
        <v>-0.75</v>
      </c>
    </row>
    <row r="993" spans="1:7" hidden="1" x14ac:dyDescent="0.25">
      <c r="A993" t="s">
        <v>2267</v>
      </c>
      <c r="B993" s="8">
        <v>42139</v>
      </c>
      <c r="C993">
        <v>279</v>
      </c>
      <c r="D993">
        <v>54.45</v>
      </c>
      <c r="E993">
        <v>48.210313195399998</v>
      </c>
      <c r="F993">
        <v>-3.2412111671799999</v>
      </c>
      <c r="G993">
        <v>1.75</v>
      </c>
    </row>
    <row r="994" spans="1:7" hidden="1" x14ac:dyDescent="0.25">
      <c r="A994" t="s">
        <v>2268</v>
      </c>
      <c r="B994" s="8">
        <v>42139</v>
      </c>
      <c r="C994">
        <v>262</v>
      </c>
      <c r="D994">
        <v>41.2</v>
      </c>
      <c r="E994">
        <v>46.383626857099998</v>
      </c>
      <c r="F994">
        <v>-1.2950581883900001</v>
      </c>
      <c r="G994">
        <v>1.75</v>
      </c>
    </row>
    <row r="995" spans="1:7" hidden="1" x14ac:dyDescent="0.25">
      <c r="A995" t="s">
        <v>2269</v>
      </c>
      <c r="B995" s="8">
        <v>42140</v>
      </c>
      <c r="C995">
        <v>275</v>
      </c>
      <c r="D995">
        <v>43.5</v>
      </c>
      <c r="E995">
        <v>45.469715515799997</v>
      </c>
      <c r="F995">
        <v>-6.3446674636399996</v>
      </c>
      <c r="G995">
        <v>15</v>
      </c>
    </row>
    <row r="996" spans="1:7" hidden="1" x14ac:dyDescent="0.25">
      <c r="A996" t="s">
        <v>2270</v>
      </c>
      <c r="B996" s="8">
        <v>42140</v>
      </c>
      <c r="C996">
        <v>71</v>
      </c>
      <c r="D996">
        <v>33.75</v>
      </c>
      <c r="E996">
        <v>43.448266256099998</v>
      </c>
      <c r="F996">
        <v>-6.3594165601699997</v>
      </c>
      <c r="G996">
        <v>1</v>
      </c>
    </row>
    <row r="997" spans="1:7" hidden="1" x14ac:dyDescent="0.25">
      <c r="A997" t="s">
        <v>2271</v>
      </c>
      <c r="B997" s="8">
        <v>42140</v>
      </c>
      <c r="C997">
        <v>204</v>
      </c>
      <c r="D997">
        <v>40.5</v>
      </c>
      <c r="E997">
        <v>43.434259519800001</v>
      </c>
      <c r="F997">
        <v>-8.9284709940700004</v>
      </c>
      <c r="G997">
        <v>15</v>
      </c>
    </row>
    <row r="998" spans="1:7" hidden="1" x14ac:dyDescent="0.25">
      <c r="A998" t="s">
        <v>2272</v>
      </c>
      <c r="B998" s="8">
        <v>42141</v>
      </c>
      <c r="C998">
        <v>279</v>
      </c>
      <c r="D998">
        <v>18</v>
      </c>
      <c r="E998">
        <v>59.947437600699999</v>
      </c>
      <c r="F998">
        <v>-0.70361005192600001</v>
      </c>
      <c r="G998">
        <v>-0.5</v>
      </c>
    </row>
    <row r="999" spans="1:7" hidden="1" x14ac:dyDescent="0.25">
      <c r="A999" t="s">
        <v>2273</v>
      </c>
      <c r="B999" s="8">
        <v>42141</v>
      </c>
      <c r="C999">
        <v>97</v>
      </c>
      <c r="D999">
        <v>25.5</v>
      </c>
      <c r="E999">
        <v>52.337024575900003</v>
      </c>
      <c r="F999">
        <v>-3.0479857611400001</v>
      </c>
      <c r="G999">
        <v>13</v>
      </c>
    </row>
    <row r="1000" spans="1:7" hidden="1" x14ac:dyDescent="0.25">
      <c r="A1000" t="s">
        <v>2274</v>
      </c>
      <c r="B1000" s="8">
        <v>42141</v>
      </c>
      <c r="C1000">
        <v>187</v>
      </c>
      <c r="D1000">
        <v>17.5</v>
      </c>
      <c r="E1000">
        <v>59.925497345300002</v>
      </c>
      <c r="F1000">
        <v>-0.91218895462100003</v>
      </c>
      <c r="G1000">
        <v>-0.5</v>
      </c>
    </row>
    <row r="1001" spans="1:7" hidden="1" x14ac:dyDescent="0.25">
      <c r="A1001" t="s">
        <v>2275</v>
      </c>
      <c r="B1001" s="8">
        <v>42141</v>
      </c>
      <c r="C1001">
        <v>92</v>
      </c>
      <c r="D1001">
        <v>26.25</v>
      </c>
      <c r="E1001">
        <v>39.0754924182</v>
      </c>
      <c r="F1001">
        <v>-6.8553215465399999</v>
      </c>
      <c r="G1001">
        <v>14</v>
      </c>
    </row>
    <row r="1002" spans="1:7" hidden="1" x14ac:dyDescent="0.25">
      <c r="A1002" t="s">
        <v>2276</v>
      </c>
      <c r="B1002" s="8">
        <v>42142</v>
      </c>
      <c r="C1002">
        <v>130</v>
      </c>
      <c r="D1002">
        <v>21.75</v>
      </c>
      <c r="E1002">
        <v>45.802107707799998</v>
      </c>
      <c r="F1002">
        <v>-2.6544162244899998</v>
      </c>
      <c r="G1002">
        <v>14</v>
      </c>
    </row>
    <row r="1003" spans="1:7" hidden="1" x14ac:dyDescent="0.25">
      <c r="A1003" t="s">
        <v>2277</v>
      </c>
      <c r="B1003" s="8">
        <v>42142</v>
      </c>
      <c r="C1003">
        <v>110</v>
      </c>
      <c r="D1003">
        <v>25.5</v>
      </c>
      <c r="E1003">
        <v>45.360752417699999</v>
      </c>
      <c r="F1003">
        <v>-2.1791983130800001</v>
      </c>
      <c r="G1003">
        <v>14</v>
      </c>
    </row>
    <row r="1004" spans="1:7" hidden="1" x14ac:dyDescent="0.25">
      <c r="A1004" t="s">
        <v>2278</v>
      </c>
      <c r="B1004" s="8">
        <v>42137</v>
      </c>
      <c r="C1004">
        <v>39</v>
      </c>
      <c r="D1004">
        <v>21.75</v>
      </c>
      <c r="E1004">
        <v>33.3838933205</v>
      </c>
      <c r="F1004">
        <v>-2.9650685934699998</v>
      </c>
      <c r="G1004">
        <v>18</v>
      </c>
    </row>
    <row r="1005" spans="1:7" hidden="1" x14ac:dyDescent="0.25">
      <c r="A1005" t="s">
        <v>2279</v>
      </c>
      <c r="B1005" s="8">
        <v>42136</v>
      </c>
      <c r="C1005">
        <v>278</v>
      </c>
      <c r="D1005">
        <v>12.2</v>
      </c>
      <c r="E1005">
        <v>46.806663570300003</v>
      </c>
      <c r="F1005">
        <v>-2.9533225408699999</v>
      </c>
      <c r="G1005">
        <v>4.2</v>
      </c>
    </row>
    <row r="1006" spans="1:7" hidden="1" x14ac:dyDescent="0.25">
      <c r="A1006" t="s">
        <v>2280</v>
      </c>
      <c r="B1006" s="8">
        <v>42136</v>
      </c>
      <c r="C1006">
        <v>258</v>
      </c>
      <c r="D1006">
        <v>14.45</v>
      </c>
      <c r="E1006">
        <v>46.3656926361</v>
      </c>
      <c r="F1006">
        <v>-2.17721029991</v>
      </c>
      <c r="G1006">
        <v>4.2</v>
      </c>
    </row>
    <row r="1007" spans="1:7" hidden="1" x14ac:dyDescent="0.25">
      <c r="A1007" t="s">
        <v>2281</v>
      </c>
      <c r="B1007" s="8">
        <v>42136</v>
      </c>
      <c r="C1007">
        <v>113</v>
      </c>
      <c r="D1007">
        <v>30.7</v>
      </c>
      <c r="E1007">
        <v>40.578295520200001</v>
      </c>
      <c r="F1007">
        <v>-0.92007891353899995</v>
      </c>
      <c r="G1007">
        <v>12.2</v>
      </c>
    </row>
    <row r="1008" spans="1:7" hidden="1" x14ac:dyDescent="0.25">
      <c r="A1008" t="s">
        <v>2282</v>
      </c>
      <c r="B1008" s="8">
        <v>42136</v>
      </c>
      <c r="C1008">
        <v>92</v>
      </c>
      <c r="D1008">
        <v>21.6</v>
      </c>
      <c r="E1008">
        <v>37.608050125600002</v>
      </c>
      <c r="F1008">
        <v>-2.8306286753099998</v>
      </c>
      <c r="G1008">
        <v>-0.9</v>
      </c>
    </row>
    <row r="1009" spans="1:7" hidden="1" x14ac:dyDescent="0.25">
      <c r="A1009" t="s">
        <v>2283</v>
      </c>
      <c r="B1009" s="8">
        <v>42136</v>
      </c>
      <c r="C1009">
        <v>73</v>
      </c>
      <c r="D1009">
        <v>37.200000000000003</v>
      </c>
      <c r="E1009">
        <v>41.141418095200002</v>
      </c>
      <c r="F1009">
        <v>-3.6428873146399998</v>
      </c>
      <c r="G1009">
        <v>4.2</v>
      </c>
    </row>
    <row r="1010" spans="1:7" hidden="1" x14ac:dyDescent="0.25">
      <c r="A1010" t="s">
        <v>2284</v>
      </c>
      <c r="B1010" s="8">
        <v>42135</v>
      </c>
      <c r="C1010">
        <v>184</v>
      </c>
      <c r="D1010">
        <v>21.75</v>
      </c>
      <c r="E1010">
        <v>47.1786275101</v>
      </c>
      <c r="F1010">
        <v>-3.7329814042999998</v>
      </c>
      <c r="G1010">
        <v>7</v>
      </c>
    </row>
    <row r="1011" spans="1:7" hidden="1" x14ac:dyDescent="0.25">
      <c r="A1011" t="s">
        <v>2285</v>
      </c>
      <c r="B1011" s="8">
        <v>42135</v>
      </c>
      <c r="C1011">
        <v>55</v>
      </c>
      <c r="D1011">
        <v>27.5</v>
      </c>
      <c r="E1011">
        <v>36.4205539915</v>
      </c>
      <c r="F1011">
        <v>-5.2352653709599997</v>
      </c>
      <c r="G1011">
        <v>11</v>
      </c>
    </row>
    <row r="1012" spans="1:7" hidden="1" x14ac:dyDescent="0.25">
      <c r="A1012" t="s">
        <v>2286</v>
      </c>
      <c r="B1012" s="8">
        <v>42135</v>
      </c>
      <c r="C1012">
        <v>37</v>
      </c>
      <c r="D1012">
        <v>39</v>
      </c>
      <c r="E1012">
        <v>33.037758527999998</v>
      </c>
      <c r="F1012">
        <v>-2.8772887896900001</v>
      </c>
      <c r="G1012">
        <v>13</v>
      </c>
    </row>
    <row r="1013" spans="1:7" hidden="1" x14ac:dyDescent="0.25">
      <c r="A1013" t="s">
        <v>2287</v>
      </c>
      <c r="B1013" s="8">
        <v>42134</v>
      </c>
      <c r="C1013">
        <v>280</v>
      </c>
      <c r="D1013">
        <v>13.7</v>
      </c>
      <c r="E1013">
        <v>52.321872038400002</v>
      </c>
      <c r="F1013">
        <v>-9.8864424935600006</v>
      </c>
      <c r="G1013">
        <v>-0.75</v>
      </c>
    </row>
    <row r="1014" spans="1:7" hidden="1" x14ac:dyDescent="0.25">
      <c r="A1014" t="s">
        <v>2288</v>
      </c>
      <c r="B1014" s="8">
        <v>42134</v>
      </c>
      <c r="C1014">
        <v>169</v>
      </c>
      <c r="D1014">
        <v>33</v>
      </c>
      <c r="E1014">
        <v>44.7889846777</v>
      </c>
      <c r="F1014">
        <v>-7.0119953524999996</v>
      </c>
      <c r="G1014">
        <v>26</v>
      </c>
    </row>
    <row r="1015" spans="1:7" hidden="1" x14ac:dyDescent="0.25">
      <c r="A1015" t="s">
        <v>2289</v>
      </c>
      <c r="B1015" s="8">
        <v>42134</v>
      </c>
      <c r="C1015">
        <v>91</v>
      </c>
      <c r="D1015">
        <v>13.2</v>
      </c>
      <c r="E1015">
        <v>45.930636963700003</v>
      </c>
      <c r="F1015">
        <v>-9.1265032843899991</v>
      </c>
      <c r="G1015">
        <v>-0.75</v>
      </c>
    </row>
    <row r="1016" spans="1:7" hidden="1" x14ac:dyDescent="0.25">
      <c r="A1016" t="s">
        <v>2290</v>
      </c>
      <c r="B1016" s="8">
        <v>42133</v>
      </c>
      <c r="C1016">
        <v>158</v>
      </c>
      <c r="D1016">
        <v>45.85</v>
      </c>
      <c r="E1016">
        <v>45.087730249800003</v>
      </c>
      <c r="F1016">
        <v>-4.5031245892699996</v>
      </c>
      <c r="G1016">
        <v>15.1</v>
      </c>
    </row>
    <row r="1017" spans="1:7" hidden="1" x14ac:dyDescent="0.25">
      <c r="A1017" t="s">
        <v>2291</v>
      </c>
      <c r="B1017" s="8">
        <v>42133</v>
      </c>
      <c r="C1017">
        <v>57</v>
      </c>
      <c r="D1017">
        <v>18.7</v>
      </c>
      <c r="E1017">
        <v>37.847139228400003</v>
      </c>
      <c r="F1017">
        <v>-2.2749537845600001</v>
      </c>
      <c r="G1017">
        <v>6.2</v>
      </c>
    </row>
    <row r="1018" spans="1:7" hidden="1" x14ac:dyDescent="0.25">
      <c r="A1018" t="s">
        <v>2292</v>
      </c>
      <c r="B1018" s="8">
        <v>42132</v>
      </c>
      <c r="C1018">
        <v>262</v>
      </c>
      <c r="D1018">
        <v>22.5</v>
      </c>
      <c r="E1018">
        <v>64.912508239299996</v>
      </c>
      <c r="F1018">
        <v>-2.9256787315800001</v>
      </c>
      <c r="G1018">
        <v>9</v>
      </c>
    </row>
    <row r="1019" spans="1:7" hidden="1" x14ac:dyDescent="0.25">
      <c r="A1019" t="s">
        <v>2293</v>
      </c>
      <c r="B1019" s="8">
        <v>42131</v>
      </c>
      <c r="C1019">
        <v>112</v>
      </c>
      <c r="D1019">
        <v>42.35</v>
      </c>
      <c r="E1019">
        <v>38.6278125523</v>
      </c>
      <c r="F1019">
        <v>1.0443914895399999</v>
      </c>
      <c r="G1019">
        <v>12.1</v>
      </c>
    </row>
    <row r="1020" spans="1:7" hidden="1" x14ac:dyDescent="0.25">
      <c r="A1020" t="s">
        <v>2294</v>
      </c>
      <c r="B1020" s="8">
        <v>42130</v>
      </c>
      <c r="C1020">
        <v>224</v>
      </c>
      <c r="D1020">
        <v>36.25</v>
      </c>
      <c r="E1020">
        <v>577.83197643200003</v>
      </c>
      <c r="F1020">
        <v>-3.25068150804</v>
      </c>
      <c r="G1020">
        <v>9</v>
      </c>
    </row>
    <row r="1021" spans="1:7" hidden="1" x14ac:dyDescent="0.25">
      <c r="A1021" t="s">
        <v>2295</v>
      </c>
      <c r="B1021" s="8">
        <v>42129</v>
      </c>
      <c r="C1021">
        <v>261</v>
      </c>
      <c r="D1021">
        <v>40.5</v>
      </c>
      <c r="E1021">
        <v>45.961807548199999</v>
      </c>
      <c r="F1021">
        <v>-8.4721350261800001</v>
      </c>
      <c r="G1021">
        <v>18</v>
      </c>
    </row>
    <row r="1022" spans="1:7" hidden="1" x14ac:dyDescent="0.25">
      <c r="A1022" t="s">
        <v>2296</v>
      </c>
      <c r="B1022" s="8">
        <v>42128</v>
      </c>
      <c r="C1022">
        <v>188</v>
      </c>
      <c r="D1022">
        <v>53.5</v>
      </c>
      <c r="E1022">
        <v>65.537550065700003</v>
      </c>
      <c r="F1022">
        <v>-4.3041563029500001</v>
      </c>
      <c r="G1022">
        <v>10</v>
      </c>
    </row>
    <row r="1023" spans="1:7" hidden="1" x14ac:dyDescent="0.25">
      <c r="A1023" t="s">
        <v>2297</v>
      </c>
      <c r="B1023" s="8">
        <v>42128</v>
      </c>
      <c r="C1023">
        <v>58</v>
      </c>
      <c r="D1023">
        <v>46.75</v>
      </c>
      <c r="E1023">
        <v>55.433003907600003</v>
      </c>
      <c r="F1023">
        <v>-5.3926622106400002</v>
      </c>
      <c r="G1023">
        <v>15</v>
      </c>
    </row>
    <row r="1024" spans="1:7" hidden="1" x14ac:dyDescent="0.25">
      <c r="A1024" t="s">
        <v>2298</v>
      </c>
      <c r="B1024" s="8">
        <v>42128</v>
      </c>
      <c r="C1024">
        <v>38</v>
      </c>
      <c r="D1024">
        <v>11.25</v>
      </c>
      <c r="E1024">
        <v>36.139672753399999</v>
      </c>
      <c r="F1024">
        <v>-3.6936361840899998</v>
      </c>
      <c r="G1024">
        <v>10</v>
      </c>
    </row>
    <row r="1025" spans="1:7" hidden="1" x14ac:dyDescent="0.25">
      <c r="A1025" t="s">
        <v>2299</v>
      </c>
      <c r="B1025" s="8">
        <v>42127</v>
      </c>
      <c r="C1025">
        <v>73</v>
      </c>
      <c r="D1025">
        <v>23.75</v>
      </c>
      <c r="E1025">
        <v>38.845863164299999</v>
      </c>
      <c r="F1025">
        <v>-0.83881458588299995</v>
      </c>
      <c r="G1025">
        <v>-0.5</v>
      </c>
    </row>
    <row r="1026" spans="1:7" hidden="1" x14ac:dyDescent="0.25">
      <c r="A1026" t="s">
        <v>2300</v>
      </c>
      <c r="B1026" s="8">
        <v>42126</v>
      </c>
      <c r="C1026">
        <v>279</v>
      </c>
      <c r="D1026">
        <v>11.75</v>
      </c>
      <c r="E1026">
        <v>49.8846148688</v>
      </c>
      <c r="F1026">
        <v>-3.4102078787600001</v>
      </c>
      <c r="G1026">
        <v>4</v>
      </c>
    </row>
    <row r="1027" spans="1:7" hidden="1" x14ac:dyDescent="0.25">
      <c r="A1027" t="s">
        <v>2301</v>
      </c>
      <c r="B1027" s="8">
        <v>42126</v>
      </c>
      <c r="C1027">
        <v>129</v>
      </c>
      <c r="D1027">
        <v>24</v>
      </c>
      <c r="E1027">
        <v>47.374329949200003</v>
      </c>
      <c r="F1027">
        <v>-3.9310961904899999</v>
      </c>
      <c r="G1027">
        <v>4</v>
      </c>
    </row>
    <row r="1028" spans="1:7" hidden="1" x14ac:dyDescent="0.25">
      <c r="A1028" t="s">
        <v>2302</v>
      </c>
      <c r="B1028" s="8">
        <v>42126</v>
      </c>
      <c r="C1028">
        <v>150</v>
      </c>
      <c r="D1028">
        <v>22.25</v>
      </c>
      <c r="E1028">
        <v>41.9327140085</v>
      </c>
      <c r="F1028">
        <v>-7.5882539973299998</v>
      </c>
      <c r="G1028">
        <v>15</v>
      </c>
    </row>
    <row r="1029" spans="1:7" hidden="1" x14ac:dyDescent="0.25">
      <c r="A1029" t="s">
        <v>2303</v>
      </c>
      <c r="B1029" s="8">
        <v>42126</v>
      </c>
      <c r="C1029">
        <v>54</v>
      </c>
      <c r="D1029">
        <v>20</v>
      </c>
      <c r="E1029">
        <v>44.729536595600003</v>
      </c>
      <c r="F1029">
        <v>-9.24532207739</v>
      </c>
      <c r="G1029">
        <v>4</v>
      </c>
    </row>
    <row r="1030" spans="1:7" hidden="1" x14ac:dyDescent="0.25">
      <c r="A1030" t="s">
        <v>2304</v>
      </c>
      <c r="B1030" s="8">
        <v>42125</v>
      </c>
      <c r="C1030">
        <v>260</v>
      </c>
      <c r="D1030">
        <v>28.75</v>
      </c>
      <c r="E1030">
        <v>42.959768250400003</v>
      </c>
      <c r="F1030">
        <v>-9.9466469102000001</v>
      </c>
      <c r="G1030">
        <v>-0.25</v>
      </c>
    </row>
    <row r="1031" spans="1:7" hidden="1" x14ac:dyDescent="0.25">
      <c r="A1031" t="s">
        <v>2305</v>
      </c>
      <c r="B1031" s="8">
        <v>42125</v>
      </c>
      <c r="C1031">
        <v>98</v>
      </c>
      <c r="D1031">
        <v>13.5</v>
      </c>
      <c r="E1031">
        <v>37.2277605377</v>
      </c>
      <c r="F1031">
        <v>-1.0141730411700001</v>
      </c>
      <c r="G1031">
        <v>-0.5</v>
      </c>
    </row>
    <row r="1032" spans="1:7" hidden="1" x14ac:dyDescent="0.25">
      <c r="A1032" t="s">
        <v>2306</v>
      </c>
      <c r="B1032" s="8">
        <v>42123</v>
      </c>
      <c r="C1032">
        <v>146</v>
      </c>
      <c r="D1032">
        <v>31.45</v>
      </c>
      <c r="E1032">
        <v>44.1575739711</v>
      </c>
      <c r="F1032">
        <v>0.44279361964899999</v>
      </c>
      <c r="G1032">
        <v>12.2</v>
      </c>
    </row>
    <row r="1033" spans="1:7" hidden="1" x14ac:dyDescent="0.25">
      <c r="A1033" t="s">
        <v>2307</v>
      </c>
      <c r="B1033" s="8">
        <v>42123</v>
      </c>
      <c r="C1033">
        <v>58</v>
      </c>
      <c r="D1033">
        <v>0.35</v>
      </c>
      <c r="E1033">
        <v>41.933585070699998</v>
      </c>
      <c r="F1033">
        <v>-9.9836029184400008</v>
      </c>
      <c r="G1033">
        <v>1.1000000000000001</v>
      </c>
    </row>
    <row r="1034" spans="1:7" hidden="1" x14ac:dyDescent="0.25">
      <c r="A1034" t="s">
        <v>2308</v>
      </c>
      <c r="B1034" s="8">
        <v>42122</v>
      </c>
      <c r="C1034">
        <v>219</v>
      </c>
      <c r="D1034">
        <v>28.25</v>
      </c>
      <c r="E1034">
        <v>48.273054107500002</v>
      </c>
      <c r="F1034">
        <v>-1.0312136409399999</v>
      </c>
      <c r="G1034">
        <v>16</v>
      </c>
    </row>
    <row r="1035" spans="1:7" hidden="1" x14ac:dyDescent="0.25">
      <c r="A1035" t="s">
        <v>2309</v>
      </c>
      <c r="B1035" s="8">
        <v>42122</v>
      </c>
      <c r="C1035">
        <v>113</v>
      </c>
      <c r="D1035">
        <v>52.75</v>
      </c>
      <c r="E1035">
        <v>42.842315877799997</v>
      </c>
      <c r="F1035">
        <v>-3.8326180335000002</v>
      </c>
      <c r="G1035">
        <v>16</v>
      </c>
    </row>
    <row r="1036" spans="1:7" hidden="1" x14ac:dyDescent="0.25">
      <c r="A1036" t="s">
        <v>2310</v>
      </c>
      <c r="B1036" s="8">
        <v>42121</v>
      </c>
      <c r="C1036">
        <v>241</v>
      </c>
      <c r="D1036">
        <v>35.35</v>
      </c>
      <c r="E1036">
        <v>51.745915959000001</v>
      </c>
      <c r="F1036">
        <v>-8.8877145844300003</v>
      </c>
      <c r="G1036">
        <v>14.1</v>
      </c>
    </row>
    <row r="1037" spans="1:7" hidden="1" x14ac:dyDescent="0.25">
      <c r="A1037" t="s">
        <v>2311</v>
      </c>
      <c r="B1037" s="8">
        <v>42121</v>
      </c>
      <c r="C1037">
        <v>202</v>
      </c>
      <c r="D1037">
        <v>38.1</v>
      </c>
      <c r="E1037">
        <v>47.353575090100001</v>
      </c>
      <c r="F1037">
        <v>-9.8919252689199997</v>
      </c>
      <c r="G1037">
        <v>14.1</v>
      </c>
    </row>
    <row r="1038" spans="1:7" hidden="1" x14ac:dyDescent="0.25">
      <c r="A1038" t="s">
        <v>2312</v>
      </c>
      <c r="B1038" s="8">
        <v>42121</v>
      </c>
      <c r="C1038">
        <v>112</v>
      </c>
      <c r="D1038">
        <v>17.25</v>
      </c>
      <c r="E1038">
        <v>42.921574539700003</v>
      </c>
      <c r="F1038">
        <v>-9.7447713903299995</v>
      </c>
      <c r="G1038">
        <v>8</v>
      </c>
    </row>
    <row r="1039" spans="1:7" hidden="1" x14ac:dyDescent="0.25">
      <c r="A1039" t="s">
        <v>2313</v>
      </c>
      <c r="B1039" s="8">
        <v>42120</v>
      </c>
      <c r="C1039">
        <v>266</v>
      </c>
      <c r="D1039">
        <v>22.5</v>
      </c>
      <c r="E1039">
        <v>69.528805676999994</v>
      </c>
      <c r="F1039">
        <v>-4.7970176849800001</v>
      </c>
      <c r="G1039">
        <v>1.5</v>
      </c>
    </row>
    <row r="1040" spans="1:7" hidden="1" x14ac:dyDescent="0.25">
      <c r="A1040" t="s">
        <v>2314</v>
      </c>
      <c r="B1040" s="8">
        <v>42120</v>
      </c>
      <c r="C1040">
        <v>96</v>
      </c>
      <c r="D1040">
        <v>27.85</v>
      </c>
      <c r="E1040">
        <v>40.212532138900002</v>
      </c>
      <c r="F1040">
        <v>-4.2739502353500001</v>
      </c>
      <c r="G1040">
        <v>17.100000000000001</v>
      </c>
    </row>
    <row r="1041" spans="1:7" hidden="1" x14ac:dyDescent="0.25">
      <c r="A1041" t="s">
        <v>2315</v>
      </c>
      <c r="B1041" s="8">
        <v>42119</v>
      </c>
      <c r="C1041">
        <v>147</v>
      </c>
      <c r="D1041">
        <v>31.25</v>
      </c>
      <c r="E1041">
        <v>47.874703661399998</v>
      </c>
      <c r="F1041">
        <v>-3.3302522348700001</v>
      </c>
      <c r="G1041">
        <v>8</v>
      </c>
    </row>
    <row r="1042" spans="1:7" hidden="1" x14ac:dyDescent="0.25">
      <c r="A1042" t="s">
        <v>2316</v>
      </c>
      <c r="B1042" s="8">
        <v>42119</v>
      </c>
      <c r="C1042">
        <v>76</v>
      </c>
      <c r="D1042">
        <v>45.75</v>
      </c>
      <c r="E1042">
        <v>38.815026966700003</v>
      </c>
      <c r="F1042">
        <v>-1.9875204955900001</v>
      </c>
      <c r="G1042">
        <v>8</v>
      </c>
    </row>
    <row r="1043" spans="1:7" hidden="1" x14ac:dyDescent="0.25">
      <c r="A1043" t="s">
        <v>2317</v>
      </c>
      <c r="B1043" s="8">
        <v>42118</v>
      </c>
      <c r="C1043">
        <v>283</v>
      </c>
      <c r="D1043">
        <v>33.75</v>
      </c>
      <c r="E1043">
        <v>55.829838353900001</v>
      </c>
      <c r="F1043">
        <v>-1.4935378699899999</v>
      </c>
      <c r="G1043">
        <v>3</v>
      </c>
    </row>
    <row r="1044" spans="1:7" hidden="1" x14ac:dyDescent="0.25">
      <c r="A1044" t="s">
        <v>2318</v>
      </c>
      <c r="B1044" s="8">
        <v>42118</v>
      </c>
      <c r="C1044">
        <v>94</v>
      </c>
      <c r="D1044">
        <v>29.5</v>
      </c>
      <c r="E1044">
        <v>39.0309658356</v>
      </c>
      <c r="F1044">
        <v>-9.57450009111</v>
      </c>
      <c r="G1044">
        <v>14</v>
      </c>
    </row>
    <row r="1045" spans="1:7" hidden="1" x14ac:dyDescent="0.25">
      <c r="A1045" t="s">
        <v>2319</v>
      </c>
      <c r="B1045" s="8">
        <v>42118</v>
      </c>
      <c r="C1045">
        <v>56</v>
      </c>
      <c r="D1045">
        <v>27.75</v>
      </c>
      <c r="E1045">
        <v>37.7458500786</v>
      </c>
      <c r="F1045">
        <v>-4.00432957662</v>
      </c>
      <c r="G1045">
        <v>9</v>
      </c>
    </row>
    <row r="1046" spans="1:7" hidden="1" x14ac:dyDescent="0.25">
      <c r="A1046" t="s">
        <v>2320</v>
      </c>
      <c r="B1046" s="8">
        <v>42117</v>
      </c>
      <c r="C1046">
        <v>53</v>
      </c>
      <c r="D1046">
        <v>21.5</v>
      </c>
      <c r="E1046">
        <v>36.911000285100002</v>
      </c>
      <c r="F1046">
        <v>-7.37619277716</v>
      </c>
      <c r="G1046">
        <v>-0.5</v>
      </c>
    </row>
    <row r="1047" spans="1:7" hidden="1" x14ac:dyDescent="0.25">
      <c r="A1047" t="s">
        <v>2321</v>
      </c>
      <c r="B1047" s="8">
        <v>42117</v>
      </c>
      <c r="C1047">
        <v>79</v>
      </c>
      <c r="D1047">
        <v>21.25</v>
      </c>
      <c r="E1047">
        <v>41.398305115900001</v>
      </c>
      <c r="F1047">
        <v>-6.7527367114799999</v>
      </c>
      <c r="G1047">
        <v>7</v>
      </c>
    </row>
    <row r="1048" spans="1:7" hidden="1" x14ac:dyDescent="0.25">
      <c r="A1048" t="s">
        <v>2322</v>
      </c>
      <c r="B1048" s="8">
        <v>42116</v>
      </c>
      <c r="C1048">
        <v>280</v>
      </c>
      <c r="D1048">
        <v>33.5</v>
      </c>
      <c r="E1048">
        <v>50.237683812599997</v>
      </c>
      <c r="F1048">
        <v>-0.58297143945300001</v>
      </c>
      <c r="G1048">
        <v>-0.5</v>
      </c>
    </row>
    <row r="1049" spans="1:7" hidden="1" x14ac:dyDescent="0.25">
      <c r="A1049" t="s">
        <v>2323</v>
      </c>
      <c r="B1049" s="8">
        <v>42116</v>
      </c>
      <c r="C1049">
        <v>260</v>
      </c>
      <c r="D1049">
        <v>30.5</v>
      </c>
      <c r="E1049">
        <v>49.971631256800002</v>
      </c>
      <c r="F1049">
        <v>-0.98374908266799999</v>
      </c>
      <c r="G1049">
        <v>-0.5</v>
      </c>
    </row>
    <row r="1050" spans="1:7" hidden="1" x14ac:dyDescent="0.25">
      <c r="A1050" t="s">
        <v>2324</v>
      </c>
      <c r="B1050" s="8">
        <v>42116</v>
      </c>
      <c r="C1050">
        <v>74</v>
      </c>
      <c r="D1050">
        <v>38.75</v>
      </c>
      <c r="E1050">
        <v>43.189658531200003</v>
      </c>
      <c r="F1050">
        <v>-2.7241741859899999</v>
      </c>
      <c r="G1050">
        <v>-0.5</v>
      </c>
    </row>
    <row r="1051" spans="1:7" hidden="1" x14ac:dyDescent="0.25">
      <c r="A1051" t="s">
        <v>2325</v>
      </c>
      <c r="B1051" s="8">
        <v>42116</v>
      </c>
      <c r="C1051">
        <v>55</v>
      </c>
      <c r="D1051">
        <v>40.75</v>
      </c>
      <c r="E1051">
        <v>43.288510108499999</v>
      </c>
      <c r="F1051">
        <v>-0.66565374464000004</v>
      </c>
      <c r="G1051">
        <v>19</v>
      </c>
    </row>
    <row r="1052" spans="1:7" hidden="1" x14ac:dyDescent="0.25">
      <c r="A1052" t="s">
        <v>2326</v>
      </c>
      <c r="B1052" s="8">
        <v>42115</v>
      </c>
      <c r="C1052">
        <v>278</v>
      </c>
      <c r="D1052">
        <v>30.75</v>
      </c>
      <c r="E1052">
        <v>49.535903661699997</v>
      </c>
      <c r="F1052">
        <v>-9.72273807951</v>
      </c>
      <c r="G1052">
        <v>11</v>
      </c>
    </row>
    <row r="1053" spans="1:7" hidden="1" x14ac:dyDescent="0.25">
      <c r="A1053" t="s">
        <v>2327</v>
      </c>
      <c r="B1053" s="8">
        <v>42115</v>
      </c>
      <c r="C1053">
        <v>74</v>
      </c>
      <c r="D1053">
        <v>37.25</v>
      </c>
      <c r="E1053">
        <v>38.383047040800001</v>
      </c>
      <c r="F1053">
        <v>-6.9659998666099998</v>
      </c>
      <c r="G1053">
        <v>1.75</v>
      </c>
    </row>
    <row r="1054" spans="1:7" hidden="1" x14ac:dyDescent="0.25">
      <c r="A1054" t="s">
        <v>2328</v>
      </c>
      <c r="B1054" s="8">
        <v>42114</v>
      </c>
      <c r="C1054">
        <v>152</v>
      </c>
      <c r="D1054">
        <v>22.95</v>
      </c>
      <c r="E1054">
        <v>53.403915506099999</v>
      </c>
      <c r="F1054">
        <v>-7.7991798863100001</v>
      </c>
      <c r="G1054">
        <v>13.2</v>
      </c>
    </row>
    <row r="1055" spans="1:7" hidden="1" x14ac:dyDescent="0.25">
      <c r="A1055" t="s">
        <v>2329</v>
      </c>
      <c r="B1055" s="8">
        <v>42114</v>
      </c>
      <c r="C1055">
        <v>57</v>
      </c>
      <c r="D1055">
        <v>24.45</v>
      </c>
      <c r="E1055">
        <v>47.893075470100001</v>
      </c>
      <c r="F1055">
        <v>-1.9060321280600001</v>
      </c>
      <c r="G1055">
        <v>13.2</v>
      </c>
    </row>
    <row r="1056" spans="1:7" hidden="1" x14ac:dyDescent="0.25">
      <c r="A1056" t="s">
        <v>2330</v>
      </c>
      <c r="B1056" s="8">
        <v>42113</v>
      </c>
      <c r="C1056">
        <v>284</v>
      </c>
      <c r="D1056">
        <v>23.75</v>
      </c>
      <c r="E1056">
        <v>49.880278342300002</v>
      </c>
      <c r="F1056">
        <v>-1.23134684997</v>
      </c>
      <c r="G1056">
        <v>13</v>
      </c>
    </row>
    <row r="1057" spans="1:7" hidden="1" x14ac:dyDescent="0.25">
      <c r="A1057" t="s">
        <v>2331</v>
      </c>
      <c r="B1057" s="8">
        <v>42113</v>
      </c>
      <c r="C1057">
        <v>211</v>
      </c>
      <c r="D1057">
        <v>21.5</v>
      </c>
      <c r="E1057">
        <v>49.431381029100002</v>
      </c>
      <c r="F1057">
        <v>0.34858889107300001</v>
      </c>
      <c r="G1057">
        <v>13</v>
      </c>
    </row>
    <row r="1058" spans="1:7" hidden="1" x14ac:dyDescent="0.25">
      <c r="A1058" t="s">
        <v>2332</v>
      </c>
      <c r="B1058" s="8">
        <v>42113</v>
      </c>
      <c r="C1058">
        <v>74</v>
      </c>
      <c r="D1058">
        <v>55.5</v>
      </c>
      <c r="E1058">
        <v>37.087047288699999</v>
      </c>
      <c r="F1058">
        <v>-2.58681712926</v>
      </c>
      <c r="G1058">
        <v>-0.25</v>
      </c>
    </row>
    <row r="1059" spans="1:7" hidden="1" x14ac:dyDescent="0.25">
      <c r="A1059" t="s">
        <v>2333</v>
      </c>
      <c r="B1059" s="8">
        <v>42112</v>
      </c>
      <c r="C1059">
        <v>150</v>
      </c>
      <c r="D1059">
        <v>35.75</v>
      </c>
      <c r="E1059">
        <v>39.976909667199998</v>
      </c>
      <c r="F1059">
        <v>-2.4534803941300001</v>
      </c>
      <c r="G1059">
        <v>22</v>
      </c>
    </row>
    <row r="1060" spans="1:7" hidden="1" x14ac:dyDescent="0.25">
      <c r="A1060" t="s">
        <v>2334</v>
      </c>
      <c r="B1060" s="8">
        <v>42111</v>
      </c>
      <c r="C1060">
        <v>244</v>
      </c>
      <c r="D1060">
        <v>35.75</v>
      </c>
      <c r="E1060">
        <v>65.766408718299999</v>
      </c>
      <c r="F1060">
        <v>-2.72071217385</v>
      </c>
      <c r="G1060">
        <v>14</v>
      </c>
    </row>
    <row r="1061" spans="1:7" hidden="1" x14ac:dyDescent="0.25">
      <c r="A1061" t="s">
        <v>2335</v>
      </c>
      <c r="B1061" s="8">
        <v>42111</v>
      </c>
      <c r="C1061">
        <v>55</v>
      </c>
      <c r="D1061">
        <v>37</v>
      </c>
      <c r="E1061">
        <v>37.174562553400001</v>
      </c>
      <c r="F1061">
        <v>-1.3735668375100001</v>
      </c>
      <c r="G1061">
        <v>1.75</v>
      </c>
    </row>
    <row r="1062" spans="1:7" hidden="1" x14ac:dyDescent="0.25">
      <c r="A1062" t="s">
        <v>2336</v>
      </c>
      <c r="B1062" s="8">
        <v>42111</v>
      </c>
      <c r="C1062">
        <v>78</v>
      </c>
      <c r="D1062">
        <v>37.75</v>
      </c>
      <c r="E1062">
        <v>45.648934304100003</v>
      </c>
      <c r="F1062">
        <v>-3.78448627138</v>
      </c>
      <c r="G1062">
        <v>14</v>
      </c>
    </row>
    <row r="1063" spans="1:7" hidden="1" x14ac:dyDescent="0.25"/>
    <row r="1064" spans="1:7" hidden="1" x14ac:dyDescent="0.25"/>
    <row r="1065" spans="1:7" hidden="1" x14ac:dyDescent="0.25"/>
    <row r="1066" spans="1:7" hidden="1" x14ac:dyDescent="0.25"/>
    <row r="1067" spans="1:7" hidden="1" x14ac:dyDescent="0.25"/>
    <row r="1068" spans="1:7" hidden="1" x14ac:dyDescent="0.25"/>
    <row r="1069" spans="1:7" hidden="1" x14ac:dyDescent="0.25"/>
    <row r="1070" spans="1:7" hidden="1" x14ac:dyDescent="0.25"/>
    <row r="1071" spans="1:7" hidden="1" x14ac:dyDescent="0.25"/>
    <row r="1072" spans="1:7" hidden="1" x14ac:dyDescent="0.25"/>
    <row r="1073" spans="1:12" hidden="1" x14ac:dyDescent="0.25"/>
    <row r="1074" spans="1:12" hidden="1" x14ac:dyDescent="0.25"/>
    <row r="1075" spans="1:12" hidden="1" x14ac:dyDescent="0.25"/>
    <row r="1076" spans="1:12" hidden="1" x14ac:dyDescent="0.25"/>
    <row r="1077" spans="1:12" hidden="1" x14ac:dyDescent="0.25"/>
    <row r="1078" spans="1:12" hidden="1" x14ac:dyDescent="0.25"/>
    <row r="1079" spans="1:12" hidden="1" x14ac:dyDescent="0.25"/>
    <row r="1080" spans="1:12" hidden="1" x14ac:dyDescent="0.25"/>
    <row r="1081" spans="1:12" hidden="1" x14ac:dyDescent="0.25"/>
    <row r="1082" spans="1:12" ht="15.75" hidden="1" thickBot="1" x14ac:dyDescent="0.3"/>
    <row r="1083" spans="1:12" ht="30" hidden="1" x14ac:dyDescent="0.25">
      <c r="A1083" s="37" t="s">
        <v>2431</v>
      </c>
      <c r="B1083" s="38" t="s">
        <v>311</v>
      </c>
      <c r="C1083" s="38" t="s">
        <v>1545</v>
      </c>
      <c r="D1083" s="38" t="s">
        <v>1527</v>
      </c>
      <c r="E1083" s="38" t="s">
        <v>1546</v>
      </c>
      <c r="F1083" s="38" t="s">
        <v>1547</v>
      </c>
      <c r="G1083" s="40" t="s">
        <v>1861</v>
      </c>
      <c r="H1083" s="38" t="s">
        <v>1862</v>
      </c>
      <c r="I1083" s="38"/>
      <c r="J1083" s="65" t="s">
        <v>1989</v>
      </c>
      <c r="K1083" s="66" t="s">
        <v>1990</v>
      </c>
      <c r="L1083" s="67" t="s">
        <v>1991</v>
      </c>
    </row>
    <row r="1084" spans="1:12" hidden="1" x14ac:dyDescent="0.25">
      <c r="A1084" s="30" t="s">
        <v>2337</v>
      </c>
      <c r="B1084" s="8">
        <v>42138</v>
      </c>
      <c r="C1084" s="30">
        <v>207</v>
      </c>
      <c r="D1084" s="30">
        <v>30.75</v>
      </c>
      <c r="E1084" s="30">
        <v>40.974494108400002</v>
      </c>
      <c r="F1084" s="30">
        <v>-8.3078038509199992</v>
      </c>
      <c r="G1084" s="30">
        <v>14</v>
      </c>
      <c r="H1084" s="30"/>
      <c r="I1084" s="30"/>
      <c r="J1084" s="68">
        <f>AVERAGE(D1084:D1157)</f>
        <v>30.879729729729728</v>
      </c>
      <c r="K1084" s="68">
        <f>_xlfn.STDEV.P(D1084:D1157)</f>
        <v>11.577342501041134</v>
      </c>
      <c r="L1084" s="68">
        <f>MEDIAN(D1084:D1157)</f>
        <v>29.425000000000001</v>
      </c>
    </row>
    <row r="1085" spans="1:12" hidden="1" x14ac:dyDescent="0.25">
      <c r="A1085" t="s">
        <v>2338</v>
      </c>
      <c r="B1085" s="8">
        <v>42138</v>
      </c>
      <c r="C1085">
        <v>94</v>
      </c>
      <c r="D1085">
        <v>36.5</v>
      </c>
      <c r="E1085">
        <v>33.524300525999998</v>
      </c>
      <c r="F1085">
        <v>-5.0729474223200004</v>
      </c>
      <c r="G1085">
        <v>18</v>
      </c>
    </row>
    <row r="1086" spans="1:12" hidden="1" x14ac:dyDescent="0.25">
      <c r="A1086" t="s">
        <v>2339</v>
      </c>
      <c r="B1086" s="8">
        <v>42138</v>
      </c>
      <c r="C1086">
        <v>113</v>
      </c>
      <c r="D1086">
        <v>40.5</v>
      </c>
      <c r="E1086">
        <v>38.659803191999998</v>
      </c>
      <c r="F1086">
        <v>-0.64118634324799995</v>
      </c>
      <c r="G1086">
        <v>14</v>
      </c>
    </row>
    <row r="1087" spans="1:12" hidden="1" x14ac:dyDescent="0.25">
      <c r="A1087" t="s">
        <v>2340</v>
      </c>
      <c r="B1087" s="8">
        <v>42138</v>
      </c>
      <c r="C1087">
        <v>37</v>
      </c>
      <c r="D1087">
        <v>17.350000000000001</v>
      </c>
      <c r="E1087">
        <v>31.076847744199998</v>
      </c>
      <c r="F1087">
        <v>-9.82620150278</v>
      </c>
      <c r="G1087">
        <v>-0.75</v>
      </c>
    </row>
    <row r="1088" spans="1:12" hidden="1" x14ac:dyDescent="0.25">
      <c r="A1088" t="s">
        <v>2341</v>
      </c>
      <c r="B1088" s="8">
        <v>42139</v>
      </c>
      <c r="C1088">
        <v>279</v>
      </c>
      <c r="D1088">
        <v>46.95</v>
      </c>
      <c r="E1088">
        <v>40.727583083900001</v>
      </c>
      <c r="F1088">
        <v>-3.0893889524000002</v>
      </c>
      <c r="G1088">
        <v>1.75</v>
      </c>
    </row>
    <row r="1089" spans="1:7" hidden="1" x14ac:dyDescent="0.25">
      <c r="A1089" t="s">
        <v>2342</v>
      </c>
      <c r="B1089" s="8">
        <v>42139</v>
      </c>
      <c r="C1089">
        <v>262</v>
      </c>
      <c r="D1089">
        <v>42.95</v>
      </c>
      <c r="E1089">
        <v>39.795880458200003</v>
      </c>
      <c r="F1089">
        <v>-2.6593094113100002</v>
      </c>
      <c r="G1089">
        <v>1.75</v>
      </c>
    </row>
    <row r="1090" spans="1:7" hidden="1" x14ac:dyDescent="0.25">
      <c r="A1090" t="s">
        <v>2343</v>
      </c>
      <c r="B1090" s="8">
        <v>42140</v>
      </c>
      <c r="C1090">
        <v>275</v>
      </c>
      <c r="D1090">
        <v>43.75</v>
      </c>
      <c r="E1090">
        <v>41.685714465399997</v>
      </c>
      <c r="F1090">
        <v>-4.8821930619099998</v>
      </c>
      <c r="G1090">
        <v>1</v>
      </c>
    </row>
    <row r="1091" spans="1:7" hidden="1" x14ac:dyDescent="0.25">
      <c r="A1091" t="s">
        <v>2344</v>
      </c>
      <c r="B1091" s="8">
        <v>42140</v>
      </c>
      <c r="C1091">
        <v>71</v>
      </c>
      <c r="D1091">
        <v>35</v>
      </c>
      <c r="E1091">
        <v>41.157611772499997</v>
      </c>
      <c r="F1091">
        <v>-5.4180179883799999</v>
      </c>
      <c r="G1091">
        <v>1</v>
      </c>
    </row>
    <row r="1092" spans="1:7" hidden="1" x14ac:dyDescent="0.25">
      <c r="A1092" t="s">
        <v>2345</v>
      </c>
      <c r="B1092" s="8">
        <v>42140</v>
      </c>
      <c r="C1092">
        <v>204</v>
      </c>
      <c r="D1092">
        <v>40.450000000000003</v>
      </c>
      <c r="E1092">
        <v>39.055793440400002</v>
      </c>
      <c r="F1092">
        <v>-4.7924018765799996</v>
      </c>
      <c r="G1092">
        <v>3.2</v>
      </c>
    </row>
    <row r="1093" spans="1:7" hidden="1" x14ac:dyDescent="0.25">
      <c r="A1093" t="s">
        <v>2346</v>
      </c>
      <c r="B1093" s="8">
        <v>42141</v>
      </c>
      <c r="C1093">
        <v>279</v>
      </c>
      <c r="D1093">
        <v>11.25</v>
      </c>
      <c r="E1093">
        <v>58.2807030345</v>
      </c>
      <c r="F1093">
        <v>-1.77331888068</v>
      </c>
      <c r="G1093">
        <v>-0.5</v>
      </c>
    </row>
    <row r="1094" spans="1:7" hidden="1" x14ac:dyDescent="0.25">
      <c r="A1094" t="s">
        <v>2347</v>
      </c>
      <c r="B1094" s="8">
        <v>42141</v>
      </c>
      <c r="C1094">
        <v>97</v>
      </c>
      <c r="D1094">
        <v>22.25</v>
      </c>
      <c r="E1094">
        <v>43.535033147299998</v>
      </c>
      <c r="F1094">
        <v>-3.0910930991200001</v>
      </c>
      <c r="G1094">
        <v>13</v>
      </c>
    </row>
    <row r="1095" spans="1:7" hidden="1" x14ac:dyDescent="0.25">
      <c r="A1095" t="s">
        <v>2348</v>
      </c>
      <c r="B1095" s="8">
        <v>42141</v>
      </c>
      <c r="C1095">
        <v>187</v>
      </c>
      <c r="D1095">
        <v>15.5</v>
      </c>
      <c r="E1095">
        <v>58.133176041500001</v>
      </c>
      <c r="F1095">
        <v>-1.1714986872299999</v>
      </c>
      <c r="G1095">
        <v>-0.5</v>
      </c>
    </row>
    <row r="1096" spans="1:7" hidden="1" x14ac:dyDescent="0.25">
      <c r="A1096" t="s">
        <v>2349</v>
      </c>
      <c r="B1096" s="8">
        <v>42141</v>
      </c>
      <c r="C1096">
        <v>92</v>
      </c>
      <c r="D1096">
        <v>33.35</v>
      </c>
      <c r="E1096">
        <v>36.144790946400001</v>
      </c>
      <c r="F1096">
        <v>-3.4646500639200002</v>
      </c>
      <c r="G1096">
        <v>1.75</v>
      </c>
    </row>
    <row r="1097" spans="1:7" hidden="1" x14ac:dyDescent="0.25">
      <c r="A1097" t="s">
        <v>2350</v>
      </c>
      <c r="B1097" s="8">
        <v>42142</v>
      </c>
      <c r="C1097">
        <v>130</v>
      </c>
      <c r="D1097">
        <v>26</v>
      </c>
      <c r="E1097">
        <v>38.037765948999997</v>
      </c>
      <c r="F1097">
        <v>-3.2414550478600002</v>
      </c>
      <c r="G1097">
        <v>14</v>
      </c>
    </row>
    <row r="1098" spans="1:7" hidden="1" x14ac:dyDescent="0.25">
      <c r="A1098" t="s">
        <v>2351</v>
      </c>
      <c r="B1098" s="8">
        <v>42142</v>
      </c>
      <c r="C1098">
        <v>110</v>
      </c>
      <c r="D1098">
        <v>21.75</v>
      </c>
      <c r="E1098">
        <v>37.936638712200001</v>
      </c>
      <c r="F1098">
        <v>-1.9521843049200001</v>
      </c>
      <c r="G1098">
        <v>14</v>
      </c>
    </row>
    <row r="1099" spans="1:7" hidden="1" x14ac:dyDescent="0.25">
      <c r="A1099" t="s">
        <v>2352</v>
      </c>
      <c r="B1099" s="8">
        <v>42137</v>
      </c>
      <c r="C1099">
        <v>39</v>
      </c>
      <c r="D1099">
        <v>27.25</v>
      </c>
      <c r="E1099">
        <v>33.507582788000001</v>
      </c>
      <c r="F1099">
        <v>-1.7296056396199999</v>
      </c>
      <c r="G1099">
        <v>18</v>
      </c>
    </row>
    <row r="1100" spans="1:7" hidden="1" x14ac:dyDescent="0.25">
      <c r="A1100" t="s">
        <v>2353</v>
      </c>
      <c r="B1100" s="8">
        <v>42136</v>
      </c>
      <c r="C1100">
        <v>278</v>
      </c>
      <c r="D1100">
        <v>63.5</v>
      </c>
      <c r="E1100">
        <v>56.143584384100002</v>
      </c>
      <c r="F1100">
        <v>-4.9290087587200002</v>
      </c>
      <c r="G1100">
        <v>22</v>
      </c>
    </row>
    <row r="1101" spans="1:7" hidden="1" x14ac:dyDescent="0.25">
      <c r="A1101" t="s">
        <v>2353</v>
      </c>
      <c r="B1101" s="8">
        <v>42136</v>
      </c>
      <c r="C1101">
        <v>258</v>
      </c>
      <c r="D1101">
        <v>63.5</v>
      </c>
      <c r="E1101">
        <v>56.143584384100002</v>
      </c>
      <c r="F1101">
        <v>-4.9290087587200002</v>
      </c>
      <c r="G1101">
        <v>22</v>
      </c>
    </row>
    <row r="1102" spans="1:7" hidden="1" x14ac:dyDescent="0.25">
      <c r="A1102" t="s">
        <v>2354</v>
      </c>
      <c r="B1102" s="8">
        <v>42136</v>
      </c>
      <c r="C1102">
        <v>113</v>
      </c>
      <c r="D1102">
        <v>36</v>
      </c>
      <c r="E1102">
        <v>39.456250690799997</v>
      </c>
      <c r="F1102">
        <v>-5.6413067300100002</v>
      </c>
      <c r="G1102">
        <v>19</v>
      </c>
    </row>
    <row r="1103" spans="1:7" hidden="1" x14ac:dyDescent="0.25">
      <c r="A1103" t="s">
        <v>2355</v>
      </c>
      <c r="B1103" s="8">
        <v>42136</v>
      </c>
      <c r="C1103">
        <v>92</v>
      </c>
      <c r="D1103">
        <v>41.6</v>
      </c>
      <c r="E1103">
        <v>35.062098456900003</v>
      </c>
      <c r="F1103">
        <v>-6.1772221385400004</v>
      </c>
      <c r="G1103">
        <v>-0.9</v>
      </c>
    </row>
    <row r="1104" spans="1:7" hidden="1" x14ac:dyDescent="0.25">
      <c r="A1104" t="s">
        <v>2356</v>
      </c>
      <c r="B1104" s="8">
        <v>42136</v>
      </c>
      <c r="C1104">
        <v>73</v>
      </c>
      <c r="D1104">
        <v>53</v>
      </c>
      <c r="E1104">
        <v>52.21079357</v>
      </c>
      <c r="F1104">
        <v>-0.95511157571600003</v>
      </c>
      <c r="G1104">
        <v>22</v>
      </c>
    </row>
    <row r="1105" spans="1:7" hidden="1" x14ac:dyDescent="0.25">
      <c r="A1105" t="s">
        <v>2357</v>
      </c>
      <c r="B1105" s="8">
        <v>42135</v>
      </c>
      <c r="C1105">
        <v>184</v>
      </c>
      <c r="D1105">
        <v>22.25</v>
      </c>
      <c r="E1105">
        <v>40.4348500802</v>
      </c>
      <c r="F1105">
        <v>-3.5204538416100002</v>
      </c>
      <c r="G1105">
        <v>7</v>
      </c>
    </row>
    <row r="1106" spans="1:7" hidden="1" x14ac:dyDescent="0.25">
      <c r="A1106" t="s">
        <v>2358</v>
      </c>
      <c r="B1106" s="8">
        <v>42135</v>
      </c>
      <c r="C1106">
        <v>55</v>
      </c>
      <c r="D1106">
        <v>18</v>
      </c>
      <c r="E1106">
        <v>35.037520481800001</v>
      </c>
      <c r="F1106">
        <v>-5.8511451811499997</v>
      </c>
      <c r="G1106">
        <v>11</v>
      </c>
    </row>
    <row r="1107" spans="1:7" hidden="1" x14ac:dyDescent="0.25">
      <c r="A1107" t="s">
        <v>2359</v>
      </c>
      <c r="B1107" s="8">
        <v>42135</v>
      </c>
      <c r="C1107">
        <v>37</v>
      </c>
      <c r="D1107">
        <v>38</v>
      </c>
      <c r="E1107">
        <v>33.508773384800001</v>
      </c>
      <c r="F1107">
        <v>-2.22465245754</v>
      </c>
      <c r="G1107">
        <v>13</v>
      </c>
    </row>
    <row r="1108" spans="1:7" hidden="1" x14ac:dyDescent="0.25">
      <c r="A1108" t="s">
        <v>2360</v>
      </c>
      <c r="B1108" s="8">
        <v>42134</v>
      </c>
      <c r="C1108">
        <v>280</v>
      </c>
      <c r="D1108">
        <v>28.7</v>
      </c>
      <c r="E1108">
        <v>48.671163816899998</v>
      </c>
      <c r="F1108">
        <v>-9.9434742674599992</v>
      </c>
      <c r="G1108">
        <v>-0.75</v>
      </c>
    </row>
    <row r="1109" spans="1:7" hidden="1" x14ac:dyDescent="0.25">
      <c r="A1109" t="s">
        <v>2361</v>
      </c>
      <c r="B1109" s="8">
        <v>42134</v>
      </c>
      <c r="C1109">
        <v>169</v>
      </c>
      <c r="D1109">
        <v>40.75</v>
      </c>
      <c r="E1109">
        <v>43.843553655800001</v>
      </c>
      <c r="F1109">
        <v>-8.7103038590700006</v>
      </c>
      <c r="G1109">
        <v>26</v>
      </c>
    </row>
    <row r="1110" spans="1:7" hidden="1" x14ac:dyDescent="0.25">
      <c r="A1110" t="s">
        <v>2362</v>
      </c>
      <c r="B1110" s="8">
        <v>42134</v>
      </c>
      <c r="C1110">
        <v>91</v>
      </c>
      <c r="D1110">
        <v>21.95</v>
      </c>
      <c r="E1110">
        <v>43.121528829100001</v>
      </c>
      <c r="F1110">
        <v>-9.9646302598799998</v>
      </c>
      <c r="G1110">
        <v>-0.75</v>
      </c>
    </row>
    <row r="1111" spans="1:7" hidden="1" x14ac:dyDescent="0.25">
      <c r="A1111" t="s">
        <v>2363</v>
      </c>
      <c r="B1111" s="8">
        <v>42133</v>
      </c>
      <c r="C1111">
        <v>158</v>
      </c>
      <c r="D1111">
        <v>36.1</v>
      </c>
      <c r="E1111">
        <v>41.664843667500001</v>
      </c>
      <c r="F1111">
        <v>-3.39914823225</v>
      </c>
      <c r="G1111">
        <v>15.1</v>
      </c>
    </row>
    <row r="1112" spans="1:7" hidden="1" x14ac:dyDescent="0.25">
      <c r="A1112" t="s">
        <v>2364</v>
      </c>
      <c r="B1112" s="8">
        <v>42133</v>
      </c>
      <c r="C1112">
        <v>57</v>
      </c>
      <c r="D1112">
        <v>20.95</v>
      </c>
      <c r="E1112">
        <v>37.295054003899999</v>
      </c>
      <c r="F1112">
        <v>-0.50451397392200004</v>
      </c>
      <c r="G1112">
        <v>6.2</v>
      </c>
    </row>
    <row r="1113" spans="1:7" hidden="1" x14ac:dyDescent="0.25">
      <c r="A1113" t="s">
        <v>2365</v>
      </c>
      <c r="B1113" s="8">
        <v>42132</v>
      </c>
      <c r="C1113">
        <v>262</v>
      </c>
      <c r="D1113">
        <v>22.85</v>
      </c>
      <c r="E1113">
        <v>40.483597419100001</v>
      </c>
      <c r="F1113">
        <v>-1.8568824963399999</v>
      </c>
      <c r="G1113">
        <v>3.1</v>
      </c>
    </row>
    <row r="1114" spans="1:7" hidden="1" x14ac:dyDescent="0.25">
      <c r="A1114" t="s">
        <v>2366</v>
      </c>
      <c r="B1114" s="8">
        <v>42131</v>
      </c>
      <c r="C1114">
        <v>112</v>
      </c>
      <c r="D1114">
        <v>39.85</v>
      </c>
      <c r="E1114">
        <v>38.5775185249</v>
      </c>
      <c r="F1114">
        <v>-1.7041215511500001</v>
      </c>
      <c r="G1114">
        <v>12.1</v>
      </c>
    </row>
    <row r="1115" spans="1:7" hidden="1" x14ac:dyDescent="0.25">
      <c r="A1115" t="s">
        <v>2367</v>
      </c>
      <c r="B1115" s="8">
        <v>42130</v>
      </c>
      <c r="C1115">
        <v>224</v>
      </c>
      <c r="D1115">
        <v>36.6</v>
      </c>
      <c r="E1115">
        <v>335.98636264499999</v>
      </c>
      <c r="F1115">
        <v>-3.2972385647500002</v>
      </c>
      <c r="G1115">
        <v>6.1</v>
      </c>
    </row>
    <row r="1116" spans="1:7" hidden="1" x14ac:dyDescent="0.25">
      <c r="A1116" t="s">
        <v>2368</v>
      </c>
      <c r="B1116" s="8">
        <v>42129</v>
      </c>
      <c r="C1116">
        <v>261</v>
      </c>
      <c r="D1116">
        <v>37.75</v>
      </c>
      <c r="E1116">
        <v>41.8085797042</v>
      </c>
      <c r="F1116">
        <v>-6.6921154919700001</v>
      </c>
      <c r="G1116">
        <v>8</v>
      </c>
    </row>
    <row r="1117" spans="1:7" hidden="1" x14ac:dyDescent="0.25">
      <c r="A1117" t="s">
        <v>2369</v>
      </c>
      <c r="B1117" s="8">
        <v>42128</v>
      </c>
      <c r="C1117">
        <v>188</v>
      </c>
      <c r="D1117">
        <v>26.35</v>
      </c>
      <c r="E1117">
        <v>49.415141355700001</v>
      </c>
      <c r="F1117">
        <v>-4.7500916951100001</v>
      </c>
      <c r="G1117">
        <v>-1</v>
      </c>
    </row>
    <row r="1118" spans="1:7" hidden="1" x14ac:dyDescent="0.25">
      <c r="A1118" t="s">
        <v>2370</v>
      </c>
      <c r="B1118" s="8">
        <v>42128</v>
      </c>
      <c r="C1118">
        <v>58</v>
      </c>
      <c r="D1118">
        <v>38.75</v>
      </c>
      <c r="E1118">
        <v>34.776281208</v>
      </c>
      <c r="F1118">
        <v>-4.0560364238400002</v>
      </c>
      <c r="G1118">
        <v>7</v>
      </c>
    </row>
    <row r="1119" spans="1:7" hidden="1" x14ac:dyDescent="0.25">
      <c r="A1119" t="s">
        <v>2371</v>
      </c>
      <c r="B1119" s="8">
        <v>42128</v>
      </c>
      <c r="C1119">
        <v>38</v>
      </c>
      <c r="D1119">
        <v>34.5</v>
      </c>
      <c r="E1119">
        <v>33.1335533958</v>
      </c>
      <c r="F1119">
        <v>-4.2788182092699998</v>
      </c>
      <c r="G1119">
        <v>18</v>
      </c>
    </row>
    <row r="1120" spans="1:7" hidden="1" x14ac:dyDescent="0.25">
      <c r="A1120" t="s">
        <v>2372</v>
      </c>
      <c r="B1120" s="8">
        <v>42127</v>
      </c>
      <c r="C1120">
        <v>73</v>
      </c>
      <c r="D1120">
        <v>27.7</v>
      </c>
      <c r="E1120">
        <v>32.781026461400003</v>
      </c>
      <c r="F1120">
        <v>-1.8026589400699999</v>
      </c>
      <c r="G1120">
        <v>2.2000000000000002</v>
      </c>
    </row>
    <row r="1121" spans="1:7" hidden="1" x14ac:dyDescent="0.25">
      <c r="A1121" t="s">
        <v>2373</v>
      </c>
      <c r="B1121" s="8">
        <v>42126</v>
      </c>
      <c r="C1121">
        <v>279</v>
      </c>
      <c r="D1121">
        <v>11.75</v>
      </c>
      <c r="E1121">
        <v>75.343471595799997</v>
      </c>
      <c r="F1121">
        <v>-6.2108370812900002</v>
      </c>
      <c r="G1121">
        <v>7</v>
      </c>
    </row>
    <row r="1122" spans="1:7" hidden="1" x14ac:dyDescent="0.25">
      <c r="A1122" t="s">
        <v>2374</v>
      </c>
      <c r="B1122" s="8">
        <v>42126</v>
      </c>
      <c r="C1122">
        <v>129</v>
      </c>
      <c r="D1122">
        <v>23.75</v>
      </c>
      <c r="E1122">
        <v>72.210664139900004</v>
      </c>
      <c r="F1122">
        <v>-6.59860071602</v>
      </c>
      <c r="G1122">
        <v>7</v>
      </c>
    </row>
    <row r="1123" spans="1:7" hidden="1" x14ac:dyDescent="0.25">
      <c r="A1123" t="s">
        <v>2375</v>
      </c>
      <c r="B1123" s="8">
        <v>42126</v>
      </c>
      <c r="C1123">
        <v>150</v>
      </c>
      <c r="D1123">
        <v>16.5</v>
      </c>
      <c r="E1123">
        <v>40.678506697000003</v>
      </c>
      <c r="F1123">
        <v>-0.943875086935</v>
      </c>
      <c r="G1123">
        <v>10</v>
      </c>
    </row>
    <row r="1124" spans="1:7" hidden="1" x14ac:dyDescent="0.25">
      <c r="A1124" t="s">
        <v>2376</v>
      </c>
      <c r="B1124" s="8">
        <v>42126</v>
      </c>
      <c r="C1124">
        <v>54</v>
      </c>
      <c r="D1124">
        <v>25.75</v>
      </c>
      <c r="E1124">
        <v>38.633276018899998</v>
      </c>
      <c r="F1124">
        <v>-2.29480927543</v>
      </c>
      <c r="G1124">
        <v>4</v>
      </c>
    </row>
    <row r="1125" spans="1:7" hidden="1" x14ac:dyDescent="0.25">
      <c r="A1125" t="s">
        <v>2377</v>
      </c>
      <c r="B1125" s="8">
        <v>42125</v>
      </c>
      <c r="C1125">
        <v>260</v>
      </c>
      <c r="D1125">
        <v>15.5</v>
      </c>
      <c r="E1125">
        <v>50.309064883799998</v>
      </c>
      <c r="F1125">
        <v>-9.3425724521899998</v>
      </c>
      <c r="G1125">
        <v>14</v>
      </c>
    </row>
    <row r="1126" spans="1:7" hidden="1" x14ac:dyDescent="0.25">
      <c r="A1126" t="s">
        <v>2378</v>
      </c>
      <c r="B1126" s="8">
        <v>42125</v>
      </c>
      <c r="C1126">
        <v>98</v>
      </c>
      <c r="D1126">
        <v>12.5</v>
      </c>
      <c r="E1126">
        <v>35.063364997400001</v>
      </c>
      <c r="F1126">
        <v>-0.53104175942800003</v>
      </c>
      <c r="G1126">
        <v>-0.5</v>
      </c>
    </row>
    <row r="1127" spans="1:7" hidden="1" x14ac:dyDescent="0.25">
      <c r="A1127" t="s">
        <v>2379</v>
      </c>
      <c r="B1127" s="8">
        <v>42123</v>
      </c>
      <c r="C1127">
        <v>146</v>
      </c>
      <c r="D1127">
        <v>33.200000000000003</v>
      </c>
      <c r="E1127">
        <v>37.801773891700002</v>
      </c>
      <c r="F1127">
        <v>-0.67438561309400002</v>
      </c>
      <c r="G1127">
        <v>12.2</v>
      </c>
    </row>
    <row r="1128" spans="1:7" hidden="1" x14ac:dyDescent="0.25">
      <c r="A1128" t="s">
        <v>2380</v>
      </c>
      <c r="B1128" s="8">
        <v>42123</v>
      </c>
      <c r="C1128">
        <v>58</v>
      </c>
      <c r="D1128">
        <v>1.85</v>
      </c>
      <c r="E1128">
        <v>36.506262584799998</v>
      </c>
      <c r="F1128">
        <v>-5.5798111609500003</v>
      </c>
      <c r="G1128">
        <v>1.1000000000000001</v>
      </c>
    </row>
    <row r="1129" spans="1:7" hidden="1" x14ac:dyDescent="0.25">
      <c r="A1129" t="s">
        <v>2381</v>
      </c>
      <c r="B1129" s="8">
        <v>42122</v>
      </c>
      <c r="C1129">
        <v>219</v>
      </c>
      <c r="D1129">
        <v>29.5</v>
      </c>
      <c r="E1129">
        <v>43.337762526799999</v>
      </c>
      <c r="F1129">
        <v>-4.1553591577100004</v>
      </c>
      <c r="G1129">
        <v>16</v>
      </c>
    </row>
    <row r="1130" spans="1:7" hidden="1" x14ac:dyDescent="0.25">
      <c r="A1130" t="s">
        <v>2382</v>
      </c>
      <c r="B1130" s="8">
        <v>42122</v>
      </c>
      <c r="C1130">
        <v>113</v>
      </c>
      <c r="D1130">
        <v>44.25</v>
      </c>
      <c r="E1130">
        <v>39.198702894699998</v>
      </c>
      <c r="F1130">
        <v>-3.3083606294800001</v>
      </c>
      <c r="G1130">
        <v>16</v>
      </c>
    </row>
    <row r="1131" spans="1:7" hidden="1" x14ac:dyDescent="0.25">
      <c r="A1131" t="s">
        <v>2383</v>
      </c>
      <c r="B1131" s="8">
        <v>42121</v>
      </c>
      <c r="C1131">
        <v>241</v>
      </c>
      <c r="D1131">
        <v>20</v>
      </c>
      <c r="E1131">
        <v>42.169874728499998</v>
      </c>
      <c r="F1131">
        <v>-6.3594732366900004</v>
      </c>
      <c r="G1131">
        <v>-0.5</v>
      </c>
    </row>
    <row r="1132" spans="1:7" hidden="1" x14ac:dyDescent="0.25">
      <c r="A1132" t="s">
        <v>2384</v>
      </c>
      <c r="B1132" s="8">
        <v>42121</v>
      </c>
      <c r="C1132">
        <v>202</v>
      </c>
      <c r="D1132">
        <v>17.5</v>
      </c>
      <c r="E1132">
        <v>39.935680320099998</v>
      </c>
      <c r="F1132">
        <v>-6.6749921325599999</v>
      </c>
      <c r="G1132">
        <v>-0.5</v>
      </c>
    </row>
    <row r="1133" spans="1:7" hidden="1" x14ac:dyDescent="0.25">
      <c r="A1133" t="s">
        <v>2385</v>
      </c>
      <c r="B1133" s="8">
        <v>42121</v>
      </c>
      <c r="C1133">
        <v>112</v>
      </c>
      <c r="D1133">
        <v>21.7</v>
      </c>
      <c r="E1133">
        <v>38.017267560900002</v>
      </c>
      <c r="F1133">
        <v>-4.9906432584199996</v>
      </c>
      <c r="G1133">
        <v>-0.75</v>
      </c>
    </row>
    <row r="1134" spans="1:7" hidden="1" x14ac:dyDescent="0.25">
      <c r="A1134" t="s">
        <v>2386</v>
      </c>
      <c r="B1134" s="8">
        <v>42120</v>
      </c>
      <c r="C1134">
        <v>266</v>
      </c>
      <c r="D1134">
        <v>25.75</v>
      </c>
      <c r="E1134">
        <v>49.823791919999998</v>
      </c>
      <c r="F1134">
        <v>-0.85643463874799997</v>
      </c>
      <c r="G1134">
        <v>14</v>
      </c>
    </row>
    <row r="1135" spans="1:7" hidden="1" x14ac:dyDescent="0.25">
      <c r="A1135" t="s">
        <v>2387</v>
      </c>
      <c r="B1135" s="8">
        <v>42120</v>
      </c>
      <c r="C1135">
        <v>96</v>
      </c>
      <c r="D1135">
        <v>29.35</v>
      </c>
      <c r="E1135">
        <v>35.387996880099998</v>
      </c>
      <c r="F1135">
        <v>-2.1846625696699999</v>
      </c>
      <c r="G1135">
        <v>17.100000000000001</v>
      </c>
    </row>
    <row r="1136" spans="1:7" hidden="1" x14ac:dyDescent="0.25">
      <c r="A1136" t="s">
        <v>2388</v>
      </c>
      <c r="B1136" s="8">
        <v>42119</v>
      </c>
      <c r="C1136">
        <v>147</v>
      </c>
      <c r="D1136">
        <v>21</v>
      </c>
      <c r="E1136">
        <v>40.424962707699997</v>
      </c>
      <c r="F1136">
        <v>-1.7837566675300001</v>
      </c>
      <c r="G1136">
        <v>8</v>
      </c>
    </row>
    <row r="1137" spans="1:7" hidden="1" x14ac:dyDescent="0.25">
      <c r="A1137" t="s">
        <v>2389</v>
      </c>
      <c r="B1137" s="8">
        <v>42119</v>
      </c>
      <c r="C1137">
        <v>76</v>
      </c>
      <c r="D1137">
        <v>28.5</v>
      </c>
      <c r="E1137">
        <v>34.295635737700003</v>
      </c>
      <c r="F1137">
        <v>-0.63183706233100001</v>
      </c>
      <c r="G1137">
        <v>8</v>
      </c>
    </row>
    <row r="1138" spans="1:7" hidden="1" x14ac:dyDescent="0.25">
      <c r="A1138" t="s">
        <v>2390</v>
      </c>
      <c r="B1138" s="8">
        <v>42118</v>
      </c>
      <c r="C1138">
        <v>283</v>
      </c>
      <c r="D1138">
        <v>43.75</v>
      </c>
      <c r="E1138">
        <v>48.501762886100003</v>
      </c>
      <c r="F1138">
        <v>-3.1922373765000001</v>
      </c>
      <c r="G1138">
        <v>9</v>
      </c>
    </row>
    <row r="1139" spans="1:7" hidden="1" x14ac:dyDescent="0.25">
      <c r="A1139" t="s">
        <v>2391</v>
      </c>
      <c r="B1139" s="8">
        <v>42118</v>
      </c>
      <c r="C1139">
        <v>94</v>
      </c>
      <c r="D1139">
        <v>27.7</v>
      </c>
      <c r="E1139">
        <v>35.273327845200001</v>
      </c>
      <c r="F1139">
        <v>-3.2478946184100002</v>
      </c>
      <c r="G1139">
        <v>1.5</v>
      </c>
    </row>
    <row r="1140" spans="1:7" hidden="1" x14ac:dyDescent="0.25">
      <c r="A1140" t="s">
        <v>2392</v>
      </c>
      <c r="B1140" s="8">
        <v>42118</v>
      </c>
      <c r="C1140">
        <v>56</v>
      </c>
      <c r="D1140">
        <v>27.5</v>
      </c>
      <c r="E1140">
        <v>39.101229163100001</v>
      </c>
      <c r="F1140">
        <v>-3.0745960887099999</v>
      </c>
      <c r="G1140">
        <v>9</v>
      </c>
    </row>
    <row r="1141" spans="1:7" hidden="1" x14ac:dyDescent="0.25">
      <c r="A1141" t="s">
        <v>2393</v>
      </c>
      <c r="B1141" s="8">
        <v>42117</v>
      </c>
      <c r="C1141">
        <v>53</v>
      </c>
      <c r="D1141">
        <v>26</v>
      </c>
      <c r="E1141">
        <v>31.588863204500001</v>
      </c>
      <c r="F1141">
        <v>-2.8026500783200001</v>
      </c>
      <c r="G1141">
        <v>-0.5</v>
      </c>
    </row>
    <row r="1142" spans="1:7" hidden="1" x14ac:dyDescent="0.25">
      <c r="A1142" t="s">
        <v>2394</v>
      </c>
      <c r="B1142" s="8">
        <v>42117</v>
      </c>
      <c r="C1142">
        <v>79</v>
      </c>
      <c r="D1142">
        <v>22.6</v>
      </c>
      <c r="E1142">
        <v>41.160116326299999</v>
      </c>
      <c r="F1142">
        <v>-3.79225965474</v>
      </c>
      <c r="G1142">
        <v>0.1</v>
      </c>
    </row>
    <row r="1143" spans="1:7" hidden="1" x14ac:dyDescent="0.25">
      <c r="A1143" t="s">
        <v>2395</v>
      </c>
      <c r="B1143" s="8">
        <v>42116</v>
      </c>
      <c r="C1143">
        <v>280</v>
      </c>
      <c r="D1143">
        <v>42.75</v>
      </c>
      <c r="E1143">
        <v>49.592132969600002</v>
      </c>
      <c r="F1143">
        <v>-2.0062656383199999</v>
      </c>
      <c r="G1143">
        <v>-0.5</v>
      </c>
    </row>
    <row r="1144" spans="1:7" hidden="1" x14ac:dyDescent="0.25">
      <c r="A1144" t="s">
        <v>2397</v>
      </c>
      <c r="B1144" s="8">
        <v>42116</v>
      </c>
      <c r="C1144">
        <v>260</v>
      </c>
      <c r="D1144">
        <v>51.75</v>
      </c>
      <c r="E1144">
        <v>49.339573185200003</v>
      </c>
      <c r="F1144">
        <v>-3.47746055507</v>
      </c>
      <c r="G1144">
        <v>-0.5</v>
      </c>
    </row>
    <row r="1145" spans="1:7" hidden="1" x14ac:dyDescent="0.25">
      <c r="A1145" t="s">
        <v>2399</v>
      </c>
      <c r="B1145" s="8">
        <v>42116</v>
      </c>
      <c r="C1145">
        <v>74</v>
      </c>
      <c r="D1145">
        <v>31.25</v>
      </c>
      <c r="E1145">
        <v>42.315833763299999</v>
      </c>
      <c r="F1145">
        <v>-2.4401701180300002</v>
      </c>
      <c r="G1145">
        <v>-0.5</v>
      </c>
    </row>
    <row r="1146" spans="1:7" hidden="1" x14ac:dyDescent="0.25">
      <c r="A1146" t="s">
        <v>2400</v>
      </c>
      <c r="B1146" s="8">
        <v>42116</v>
      </c>
      <c r="C1146">
        <v>55</v>
      </c>
      <c r="D1146">
        <v>31.25</v>
      </c>
      <c r="E1146">
        <v>42.342629813999999</v>
      </c>
      <c r="F1146">
        <v>-0.590609166869</v>
      </c>
      <c r="G1146">
        <v>19</v>
      </c>
    </row>
    <row r="1147" spans="1:7" hidden="1" x14ac:dyDescent="0.25">
      <c r="A1147" t="s">
        <v>2402</v>
      </c>
      <c r="B1147" s="8">
        <v>42115</v>
      </c>
      <c r="C1147">
        <v>278</v>
      </c>
      <c r="D1147">
        <v>30.85</v>
      </c>
      <c r="E1147">
        <v>102.847779725</v>
      </c>
      <c r="F1147">
        <v>-1.15427652502</v>
      </c>
      <c r="G1147">
        <v>12.1</v>
      </c>
    </row>
    <row r="1148" spans="1:7" hidden="1" x14ac:dyDescent="0.25">
      <c r="A1148" t="s">
        <v>2403</v>
      </c>
      <c r="B1148" s="8">
        <v>42115</v>
      </c>
      <c r="C1148">
        <v>74</v>
      </c>
      <c r="D1148">
        <v>38.5</v>
      </c>
      <c r="E1148">
        <v>38.182111858200003</v>
      </c>
      <c r="F1148">
        <v>-6.6671682719899996</v>
      </c>
      <c r="G1148">
        <v>1.75</v>
      </c>
    </row>
    <row r="1149" spans="1:7" hidden="1" x14ac:dyDescent="0.25">
      <c r="A1149" t="s">
        <v>2406</v>
      </c>
      <c r="B1149" s="8">
        <v>42114</v>
      </c>
      <c r="C1149">
        <v>152</v>
      </c>
      <c r="D1149">
        <v>33.950000000000003</v>
      </c>
      <c r="E1149">
        <v>48.121282403999999</v>
      </c>
      <c r="F1149">
        <v>-6.5694940815900003</v>
      </c>
      <c r="G1149">
        <v>13.2</v>
      </c>
    </row>
    <row r="1150" spans="1:7" hidden="1" x14ac:dyDescent="0.25">
      <c r="A1150" t="s">
        <v>2408</v>
      </c>
      <c r="B1150" s="8">
        <v>42114</v>
      </c>
      <c r="C1150">
        <v>57</v>
      </c>
      <c r="D1150">
        <v>32.450000000000003</v>
      </c>
      <c r="E1150">
        <v>44.596179739599997</v>
      </c>
      <c r="F1150">
        <v>-0.79530986139000004</v>
      </c>
      <c r="G1150">
        <v>13.2</v>
      </c>
    </row>
    <row r="1151" spans="1:7" hidden="1" x14ac:dyDescent="0.25">
      <c r="A1151" t="s">
        <v>2410</v>
      </c>
      <c r="B1151" s="8">
        <v>42113</v>
      </c>
      <c r="C1151">
        <v>284</v>
      </c>
      <c r="D1151">
        <v>23.25</v>
      </c>
      <c r="E1151">
        <v>46.411625952400001</v>
      </c>
      <c r="F1151">
        <v>-7.0893898365899997</v>
      </c>
      <c r="G1151">
        <v>6</v>
      </c>
    </row>
    <row r="1152" spans="1:7" hidden="1" x14ac:dyDescent="0.25">
      <c r="A1152" t="s">
        <v>2410</v>
      </c>
      <c r="B1152" s="8">
        <v>42113</v>
      </c>
      <c r="C1152">
        <v>211</v>
      </c>
      <c r="D1152">
        <v>23.25</v>
      </c>
      <c r="E1152">
        <v>46.411625952400001</v>
      </c>
      <c r="F1152">
        <v>-7.0893898365899997</v>
      </c>
      <c r="G1152">
        <v>6</v>
      </c>
    </row>
    <row r="1153" spans="1:7" hidden="1" x14ac:dyDescent="0.25">
      <c r="A1153" t="s">
        <v>2413</v>
      </c>
      <c r="B1153" s="8">
        <v>42113</v>
      </c>
      <c r="C1153">
        <v>74</v>
      </c>
      <c r="D1153">
        <v>34</v>
      </c>
      <c r="E1153">
        <v>35.835151856099998</v>
      </c>
      <c r="F1153">
        <v>-2.4083907287800002</v>
      </c>
      <c r="G1153">
        <v>-0.25</v>
      </c>
    </row>
    <row r="1154" spans="1:7" hidden="1" x14ac:dyDescent="0.25">
      <c r="A1154" t="s">
        <v>2417</v>
      </c>
      <c r="B1154" s="8">
        <v>42112</v>
      </c>
      <c r="C1154">
        <v>150</v>
      </c>
      <c r="D1154">
        <v>23.75</v>
      </c>
      <c r="E1154">
        <v>42.647712543600001</v>
      </c>
      <c r="F1154">
        <v>-1.5247959048799999</v>
      </c>
      <c r="G1154">
        <v>19</v>
      </c>
    </row>
    <row r="1155" spans="1:7" hidden="1" x14ac:dyDescent="0.25">
      <c r="A1155" t="s">
        <v>2418</v>
      </c>
      <c r="B1155" s="8">
        <v>42111</v>
      </c>
      <c r="C1155">
        <v>244</v>
      </c>
      <c r="D1155">
        <v>51</v>
      </c>
      <c r="E1155">
        <v>42.084043810300003</v>
      </c>
      <c r="F1155">
        <v>-2.4779042447699999</v>
      </c>
      <c r="G1155">
        <v>1.75</v>
      </c>
    </row>
    <row r="1156" spans="1:7" hidden="1" x14ac:dyDescent="0.25">
      <c r="A1156" t="s">
        <v>2420</v>
      </c>
      <c r="B1156" s="8">
        <v>42111</v>
      </c>
      <c r="C1156">
        <v>55</v>
      </c>
      <c r="D1156">
        <v>42.75</v>
      </c>
      <c r="E1156">
        <v>37.482185995899997</v>
      </c>
      <c r="F1156">
        <v>-1.98066867201</v>
      </c>
      <c r="G1156">
        <v>1.75</v>
      </c>
    </row>
    <row r="1157" spans="1:7" hidden="1" x14ac:dyDescent="0.25">
      <c r="A1157" t="s">
        <v>2421</v>
      </c>
      <c r="B1157" s="8">
        <v>42111</v>
      </c>
      <c r="C1157">
        <v>78</v>
      </c>
      <c r="D1157">
        <v>28.25</v>
      </c>
      <c r="E1157">
        <v>34.827478634199998</v>
      </c>
      <c r="F1157">
        <v>-2.3734507965399998</v>
      </c>
      <c r="G1157">
        <v>13</v>
      </c>
    </row>
    <row r="1158" spans="1:7" hidden="1" x14ac:dyDescent="0.25">
      <c r="A1158" t="s">
        <v>2396</v>
      </c>
      <c r="B1158" s="8">
        <v>42143</v>
      </c>
      <c r="C1158">
        <v>279</v>
      </c>
      <c r="D1158">
        <v>22.25</v>
      </c>
      <c r="E1158">
        <v>42.204897016899999</v>
      </c>
      <c r="F1158">
        <v>-4.3963797924100003</v>
      </c>
      <c r="G1158">
        <v>8</v>
      </c>
    </row>
    <row r="1159" spans="1:7" hidden="1" x14ac:dyDescent="0.25">
      <c r="A1159" t="s">
        <v>2398</v>
      </c>
      <c r="B1159" s="8">
        <v>42144</v>
      </c>
      <c r="C1159">
        <v>277</v>
      </c>
      <c r="D1159">
        <v>21.25</v>
      </c>
      <c r="E1159">
        <v>39.381095582100002</v>
      </c>
      <c r="F1159">
        <v>-5.2402880802799999E-2</v>
      </c>
      <c r="G1159">
        <v>2</v>
      </c>
    </row>
    <row r="1160" spans="1:7" hidden="1" x14ac:dyDescent="0.25">
      <c r="A1160" t="s">
        <v>2401</v>
      </c>
      <c r="B1160" s="8">
        <v>42144</v>
      </c>
      <c r="C1160">
        <v>257</v>
      </c>
      <c r="D1160">
        <v>24.75</v>
      </c>
      <c r="E1160">
        <v>39.350751204700003</v>
      </c>
      <c r="F1160">
        <v>-0.64473195964100005</v>
      </c>
      <c r="G1160">
        <v>2</v>
      </c>
    </row>
    <row r="1161" spans="1:7" hidden="1" x14ac:dyDescent="0.25">
      <c r="A1161" t="s">
        <v>2404</v>
      </c>
      <c r="B1161" s="8">
        <v>42145</v>
      </c>
      <c r="C1161">
        <v>223</v>
      </c>
      <c r="D1161">
        <v>27.1</v>
      </c>
      <c r="E1161">
        <v>42.257873115899997</v>
      </c>
      <c r="F1161">
        <v>-3.0208159800100001</v>
      </c>
      <c r="G1161">
        <v>-0.75</v>
      </c>
    </row>
    <row r="1162" spans="1:7" hidden="1" x14ac:dyDescent="0.25">
      <c r="A1162" t="s">
        <v>2405</v>
      </c>
      <c r="B1162" s="8">
        <v>42145</v>
      </c>
      <c r="C1162">
        <v>109</v>
      </c>
      <c r="D1162">
        <v>33.35</v>
      </c>
      <c r="E1162">
        <v>39.564427436700001</v>
      </c>
      <c r="F1162">
        <v>-2.08365073512</v>
      </c>
      <c r="G1162">
        <v>-0.75</v>
      </c>
    </row>
    <row r="1163" spans="1:7" hidden="1" x14ac:dyDescent="0.25">
      <c r="A1163" t="s">
        <v>2407</v>
      </c>
      <c r="B1163" s="8">
        <v>42145</v>
      </c>
      <c r="C1163">
        <v>34</v>
      </c>
      <c r="D1163">
        <v>21.1</v>
      </c>
      <c r="E1163">
        <v>34.942410443999997</v>
      </c>
      <c r="F1163">
        <v>-7.2569548668600001</v>
      </c>
      <c r="G1163">
        <v>-0.75</v>
      </c>
    </row>
    <row r="1164" spans="1:7" hidden="1" x14ac:dyDescent="0.25">
      <c r="A1164" t="s">
        <v>2409</v>
      </c>
      <c r="B1164" s="8">
        <v>42145</v>
      </c>
      <c r="C1164">
        <v>114</v>
      </c>
      <c r="D1164">
        <v>31.5</v>
      </c>
      <c r="E1164">
        <v>35.875166714400002</v>
      </c>
      <c r="F1164">
        <v>-2.9718953645399999</v>
      </c>
      <c r="G1164">
        <v>18</v>
      </c>
    </row>
    <row r="1165" spans="1:7" hidden="1" x14ac:dyDescent="0.25">
      <c r="A1165" t="s">
        <v>2411</v>
      </c>
      <c r="B1165" s="8">
        <v>42146</v>
      </c>
      <c r="C1165">
        <v>278</v>
      </c>
      <c r="D1165">
        <v>29.75</v>
      </c>
      <c r="E1165">
        <v>48.25846215</v>
      </c>
      <c r="F1165">
        <v>-3.0858480243900002</v>
      </c>
      <c r="G1165">
        <v>6</v>
      </c>
    </row>
    <row r="1166" spans="1:7" hidden="1" x14ac:dyDescent="0.25">
      <c r="A1166" t="s">
        <v>2412</v>
      </c>
      <c r="B1166" s="8">
        <v>42146</v>
      </c>
      <c r="C1166">
        <v>58</v>
      </c>
      <c r="D1166">
        <v>16.75</v>
      </c>
      <c r="E1166">
        <v>32.871203237400003</v>
      </c>
      <c r="F1166">
        <v>-5.4971104636200003</v>
      </c>
      <c r="G1166">
        <v>5</v>
      </c>
    </row>
    <row r="1167" spans="1:7" hidden="1" x14ac:dyDescent="0.25">
      <c r="A1167" t="s">
        <v>2414</v>
      </c>
      <c r="B1167" s="8">
        <v>42147</v>
      </c>
      <c r="C1167">
        <v>118</v>
      </c>
      <c r="D1167">
        <v>33.5</v>
      </c>
      <c r="E1167">
        <v>36.354086415300003</v>
      </c>
      <c r="F1167">
        <v>-0.85824854330699996</v>
      </c>
      <c r="G1167">
        <v>10</v>
      </c>
    </row>
    <row r="1168" spans="1:7" hidden="1" x14ac:dyDescent="0.25">
      <c r="A1168" t="s">
        <v>2415</v>
      </c>
      <c r="B1168" s="8">
        <v>42147</v>
      </c>
      <c r="C1168">
        <v>61</v>
      </c>
      <c r="D1168">
        <v>32</v>
      </c>
      <c r="E1168">
        <v>35.270927747099996</v>
      </c>
      <c r="F1168">
        <v>-0.73010291526799997</v>
      </c>
      <c r="G1168">
        <v>10</v>
      </c>
    </row>
    <row r="1169" spans="1:7" hidden="1" x14ac:dyDescent="0.25">
      <c r="A1169" t="s">
        <v>2416</v>
      </c>
      <c r="B1169" s="8">
        <v>42147</v>
      </c>
      <c r="C1169">
        <v>34</v>
      </c>
      <c r="D1169">
        <v>30.5</v>
      </c>
      <c r="E1169">
        <v>35.175303877799998</v>
      </c>
      <c r="F1169">
        <v>-0.67198077639999998</v>
      </c>
      <c r="G1169">
        <v>10</v>
      </c>
    </row>
    <row r="1170" spans="1:7" hidden="1" x14ac:dyDescent="0.25">
      <c r="A1170" t="s">
        <v>2419</v>
      </c>
      <c r="B1170" s="8">
        <v>42148</v>
      </c>
      <c r="C1170">
        <v>281</v>
      </c>
      <c r="D1170">
        <v>14.75</v>
      </c>
      <c r="E1170">
        <v>38.292458025400002</v>
      </c>
      <c r="F1170">
        <v>-7.7984341356</v>
      </c>
      <c r="G1170">
        <v>13</v>
      </c>
    </row>
    <row r="1171" spans="1:7" hidden="1" x14ac:dyDescent="0.25">
      <c r="A1171" t="s">
        <v>2422</v>
      </c>
      <c r="B1171" s="8">
        <v>42148</v>
      </c>
      <c r="C1171">
        <v>209</v>
      </c>
      <c r="D1171">
        <v>22.5</v>
      </c>
      <c r="E1171">
        <v>37.6782982426</v>
      </c>
      <c r="F1171">
        <v>-6.8884419462500004</v>
      </c>
      <c r="G1171">
        <v>13</v>
      </c>
    </row>
    <row r="1172" spans="1:7" hidden="1" x14ac:dyDescent="0.25">
      <c r="A1172" t="s">
        <v>2423</v>
      </c>
      <c r="B1172" s="8">
        <v>42148</v>
      </c>
      <c r="C1172">
        <v>72</v>
      </c>
      <c r="D1172">
        <v>25</v>
      </c>
      <c r="E1172">
        <v>33.389117385399999</v>
      </c>
      <c r="F1172">
        <v>-2.7612627162300001</v>
      </c>
      <c r="G1172">
        <v>15</v>
      </c>
    </row>
    <row r="1173" spans="1:7" hidden="1" x14ac:dyDescent="0.25">
      <c r="A1173" t="s">
        <v>2424</v>
      </c>
      <c r="B1173" s="8">
        <v>42149</v>
      </c>
      <c r="C1173">
        <v>280</v>
      </c>
      <c r="D1173">
        <v>31.25</v>
      </c>
      <c r="E1173">
        <v>37.779418245899997</v>
      </c>
      <c r="F1173">
        <v>-3.8765721791800001</v>
      </c>
      <c r="G1173">
        <v>8</v>
      </c>
    </row>
    <row r="1174" spans="1:7" hidden="1" x14ac:dyDescent="0.25">
      <c r="A1174" t="s">
        <v>2425</v>
      </c>
      <c r="B1174" s="8">
        <v>42149</v>
      </c>
      <c r="C1174">
        <v>96</v>
      </c>
      <c r="D1174">
        <v>28.25</v>
      </c>
      <c r="E1174">
        <v>35.251681444600003</v>
      </c>
      <c r="F1174">
        <v>-1.9018788882</v>
      </c>
      <c r="G1174">
        <v>11</v>
      </c>
    </row>
    <row r="1175" spans="1:7" hidden="1" x14ac:dyDescent="0.25">
      <c r="A1175" t="s">
        <v>2426</v>
      </c>
      <c r="B1175" s="8">
        <v>42149</v>
      </c>
      <c r="C1175">
        <v>184</v>
      </c>
      <c r="D1175">
        <v>28.5</v>
      </c>
      <c r="E1175">
        <v>37.362175515200001</v>
      </c>
      <c r="F1175">
        <v>-1.8313565673900001</v>
      </c>
      <c r="G1175">
        <v>8</v>
      </c>
    </row>
    <row r="1176" spans="1:7" hidden="1" x14ac:dyDescent="0.25">
      <c r="A1176" t="s">
        <v>2427</v>
      </c>
      <c r="B1176" s="8">
        <v>42150</v>
      </c>
      <c r="C1176">
        <v>279</v>
      </c>
      <c r="D1176">
        <v>47.75</v>
      </c>
      <c r="E1176">
        <v>40.664496825699999</v>
      </c>
      <c r="F1176">
        <v>-2.0113362697600001</v>
      </c>
      <c r="G1176">
        <v>1.5</v>
      </c>
    </row>
    <row r="1177" spans="1:7" hidden="1" x14ac:dyDescent="0.25">
      <c r="A1177" t="s">
        <v>2428</v>
      </c>
      <c r="B1177" s="8">
        <v>42151</v>
      </c>
      <c r="C1177">
        <v>279</v>
      </c>
      <c r="D1177">
        <v>42.5</v>
      </c>
      <c r="E1177">
        <v>39.176616693299998</v>
      </c>
      <c r="F1177">
        <v>-0.75035528912399996</v>
      </c>
      <c r="G1177">
        <v>21</v>
      </c>
    </row>
    <row r="1178" spans="1:7" hidden="1" x14ac:dyDescent="0.25">
      <c r="A1178" t="s">
        <v>2428</v>
      </c>
      <c r="B1178" s="8">
        <v>42151</v>
      </c>
      <c r="C1178">
        <v>166</v>
      </c>
      <c r="D1178">
        <v>42.5</v>
      </c>
      <c r="E1178">
        <v>39.176616693299998</v>
      </c>
      <c r="F1178">
        <v>-0.75035528912399996</v>
      </c>
      <c r="G1178">
        <v>21</v>
      </c>
    </row>
    <row r="1179" spans="1:7" hidden="1" x14ac:dyDescent="0.25">
      <c r="A1179" t="s">
        <v>2429</v>
      </c>
      <c r="B1179" s="8">
        <v>42151</v>
      </c>
      <c r="C1179">
        <v>73</v>
      </c>
      <c r="D1179">
        <v>23.75</v>
      </c>
      <c r="E1179">
        <v>33.784544120900001</v>
      </c>
      <c r="F1179">
        <v>-1.0616327697600001</v>
      </c>
      <c r="G1179">
        <v>16</v>
      </c>
    </row>
    <row r="1180" spans="1:7" hidden="1" x14ac:dyDescent="0.25">
      <c r="A1180" t="s">
        <v>2430</v>
      </c>
      <c r="B1180" s="8">
        <v>42151</v>
      </c>
      <c r="C1180">
        <v>93</v>
      </c>
      <c r="D1180">
        <v>29</v>
      </c>
      <c r="E1180">
        <v>37.876360425400001</v>
      </c>
      <c r="F1180">
        <v>-0.735851217497</v>
      </c>
      <c r="G1180">
        <v>21</v>
      </c>
    </row>
    <row r="1181" spans="1:7" hidden="1" x14ac:dyDescent="0.25">
      <c r="A1181" t="s">
        <v>2432</v>
      </c>
      <c r="B1181" s="8">
        <v>42152</v>
      </c>
      <c r="C1181">
        <v>140</v>
      </c>
      <c r="D1181">
        <v>33.25</v>
      </c>
      <c r="E1181">
        <v>39.671392302400001</v>
      </c>
      <c r="F1181">
        <v>-5.2822715215200002</v>
      </c>
      <c r="G1181">
        <v>21</v>
      </c>
    </row>
    <row r="1182" spans="1:7" hidden="1" x14ac:dyDescent="0.25">
      <c r="A1182" t="s">
        <v>2433</v>
      </c>
      <c r="B1182" s="8">
        <v>42152</v>
      </c>
      <c r="C1182">
        <v>140</v>
      </c>
      <c r="D1182">
        <v>33.25</v>
      </c>
      <c r="E1182">
        <v>39.671392302400001</v>
      </c>
      <c r="F1182">
        <v>-5.2822715215200002</v>
      </c>
      <c r="G1182">
        <v>21</v>
      </c>
    </row>
    <row r="1183" spans="1:7" hidden="1" x14ac:dyDescent="0.25">
      <c r="A1183" t="s">
        <v>2434</v>
      </c>
      <c r="B1183" s="8">
        <v>42152</v>
      </c>
      <c r="C1183">
        <v>93</v>
      </c>
      <c r="D1183">
        <v>37.5</v>
      </c>
      <c r="E1183">
        <v>38.987057717600003</v>
      </c>
      <c r="F1183">
        <v>-5.2888209536600002</v>
      </c>
      <c r="G1183">
        <v>21</v>
      </c>
    </row>
    <row r="1184" spans="1:7" hidden="1" x14ac:dyDescent="0.25">
      <c r="A1184" t="s">
        <v>2435</v>
      </c>
      <c r="B1184" s="8">
        <v>42152</v>
      </c>
      <c r="C1184">
        <v>113</v>
      </c>
      <c r="D1184">
        <v>38.25</v>
      </c>
      <c r="E1184">
        <v>39.237481994600003</v>
      </c>
      <c r="F1184">
        <v>-4.9234335273000003</v>
      </c>
      <c r="G1184">
        <v>21</v>
      </c>
    </row>
    <row r="1185" spans="1:7" hidden="1" x14ac:dyDescent="0.25">
      <c r="A1185" t="s">
        <v>2436</v>
      </c>
      <c r="B1185" s="8">
        <v>42153</v>
      </c>
      <c r="C1185">
        <v>280</v>
      </c>
      <c r="D1185">
        <v>42.25</v>
      </c>
      <c r="E1185">
        <v>43.804534669900001</v>
      </c>
      <c r="F1185">
        <v>-3.2869474027000001</v>
      </c>
      <c r="G1185">
        <v>-0.5</v>
      </c>
    </row>
    <row r="1186" spans="1:7" hidden="1" x14ac:dyDescent="0.25">
      <c r="A1186" t="s">
        <v>2437</v>
      </c>
      <c r="B1186" s="8">
        <v>42153</v>
      </c>
      <c r="C1186">
        <v>262</v>
      </c>
      <c r="D1186">
        <v>44</v>
      </c>
      <c r="E1186">
        <v>43.279057588999997</v>
      </c>
      <c r="F1186">
        <v>-3.6107934209599999</v>
      </c>
      <c r="G1186">
        <v>-0.5</v>
      </c>
    </row>
    <row r="1187" spans="1:7" hidden="1" x14ac:dyDescent="0.25">
      <c r="A1187" t="s">
        <v>2438</v>
      </c>
      <c r="B1187" s="8">
        <v>42154</v>
      </c>
      <c r="C1187">
        <v>262</v>
      </c>
      <c r="D1187">
        <v>28.6</v>
      </c>
      <c r="E1187">
        <v>37.288431545800002</v>
      </c>
      <c r="F1187">
        <v>-6.4010211743800003</v>
      </c>
      <c r="G1187">
        <v>4.0999999999999996</v>
      </c>
    </row>
    <row r="1188" spans="1:7" hidden="1" x14ac:dyDescent="0.25">
      <c r="A1188" t="s">
        <v>2439</v>
      </c>
      <c r="B1188" s="8">
        <v>42154</v>
      </c>
      <c r="C1188">
        <v>130</v>
      </c>
      <c r="D1188">
        <v>20.100000000000001</v>
      </c>
      <c r="E1188">
        <v>35.122946627899999</v>
      </c>
      <c r="F1188">
        <v>-3.8084917602699999</v>
      </c>
      <c r="G1188">
        <v>4.0999999999999996</v>
      </c>
    </row>
    <row r="1189" spans="1:7" hidden="1" x14ac:dyDescent="0.25">
      <c r="A1189" t="s">
        <v>2440</v>
      </c>
      <c r="B1189" s="8">
        <v>42154</v>
      </c>
      <c r="C1189">
        <v>132</v>
      </c>
      <c r="D1189">
        <v>32.25</v>
      </c>
      <c r="E1189">
        <v>36.098095669599999</v>
      </c>
      <c r="F1189">
        <v>-3.3319178226299999</v>
      </c>
      <c r="G1189">
        <v>8</v>
      </c>
    </row>
    <row r="1190" spans="1:7" hidden="1" x14ac:dyDescent="0.25">
      <c r="A1190" t="s">
        <v>2441</v>
      </c>
      <c r="B1190" s="8">
        <v>42154</v>
      </c>
      <c r="C1190">
        <v>130</v>
      </c>
      <c r="D1190">
        <v>30.25</v>
      </c>
      <c r="E1190">
        <v>35.036448104599998</v>
      </c>
      <c r="F1190">
        <v>-3.2711209547800002</v>
      </c>
      <c r="G1190">
        <v>8</v>
      </c>
    </row>
    <row r="1191" spans="1:7" hidden="1" x14ac:dyDescent="0.25">
      <c r="A1191" t="s">
        <v>2442</v>
      </c>
      <c r="B1191" s="8">
        <v>42155</v>
      </c>
      <c r="C1191">
        <v>280</v>
      </c>
      <c r="D1191">
        <v>18.2</v>
      </c>
      <c r="E1191">
        <v>37.924553351100002</v>
      </c>
      <c r="F1191">
        <v>-2.9577256536099998</v>
      </c>
      <c r="G1191">
        <v>9.1999999999999993</v>
      </c>
    </row>
    <row r="1192" spans="1:7" hidden="1" x14ac:dyDescent="0.25">
      <c r="A1192" t="s">
        <v>2443</v>
      </c>
      <c r="B1192" s="8">
        <v>42155</v>
      </c>
      <c r="C1192">
        <v>94</v>
      </c>
      <c r="D1192">
        <v>18.7</v>
      </c>
      <c r="E1192">
        <v>35.988803527400002</v>
      </c>
      <c r="F1192">
        <v>-1.3661741459900001</v>
      </c>
      <c r="G1192">
        <v>9.1999999999999993</v>
      </c>
    </row>
    <row r="1193" spans="1:7" hidden="1" x14ac:dyDescent="0.25">
      <c r="A1193" t="s">
        <v>2444</v>
      </c>
      <c r="B1193" s="8">
        <v>42155</v>
      </c>
      <c r="C1193">
        <v>186</v>
      </c>
      <c r="D1193">
        <v>15.75</v>
      </c>
      <c r="E1193">
        <v>36.6782771779</v>
      </c>
      <c r="F1193">
        <v>-6.2176364658000001</v>
      </c>
      <c r="G1193">
        <v>12</v>
      </c>
    </row>
    <row r="1194" spans="1:7" hidden="1" x14ac:dyDescent="0.25">
      <c r="A1194" t="s">
        <v>2445</v>
      </c>
      <c r="B1194" s="8">
        <v>42155</v>
      </c>
      <c r="C1194">
        <v>112</v>
      </c>
      <c r="D1194">
        <v>30.75</v>
      </c>
      <c r="E1194">
        <v>33.900394134400003</v>
      </c>
      <c r="F1194">
        <v>-2.87339999825</v>
      </c>
      <c r="G1194">
        <v>0.75</v>
      </c>
    </row>
    <row r="1195" spans="1:7" hidden="1" x14ac:dyDescent="0.25">
      <c r="A1195" t="s">
        <v>2446</v>
      </c>
      <c r="B1195" s="8">
        <v>42156</v>
      </c>
      <c r="C1195">
        <v>163</v>
      </c>
      <c r="D1195">
        <v>32.25</v>
      </c>
      <c r="E1195">
        <v>39.601844487800001</v>
      </c>
      <c r="F1195">
        <v>-8.9428553793500001</v>
      </c>
      <c r="G1195">
        <v>17</v>
      </c>
    </row>
    <row r="1196" spans="1:7" hidden="1" x14ac:dyDescent="0.25">
      <c r="A1196" t="s">
        <v>2447</v>
      </c>
      <c r="B1196" s="8">
        <v>42157</v>
      </c>
      <c r="C1196">
        <v>293</v>
      </c>
      <c r="D1196">
        <v>32.450000000000003</v>
      </c>
      <c r="E1196">
        <v>44.915432733300001</v>
      </c>
      <c r="F1196">
        <v>-7.1705842687299999</v>
      </c>
      <c r="G1196">
        <v>-0.25</v>
      </c>
    </row>
    <row r="1197" spans="1:7" hidden="1" x14ac:dyDescent="0.25">
      <c r="A1197" t="s">
        <v>2447</v>
      </c>
      <c r="B1197" s="8">
        <v>42157</v>
      </c>
      <c r="C1197">
        <v>293</v>
      </c>
      <c r="D1197">
        <v>32.450000000000003</v>
      </c>
      <c r="E1197">
        <v>44.915432733300001</v>
      </c>
      <c r="F1197">
        <v>-7.1705842687299999</v>
      </c>
      <c r="G1197">
        <v>-0.25</v>
      </c>
    </row>
    <row r="1198" spans="1:7" hidden="1" x14ac:dyDescent="0.25">
      <c r="A1198" t="s">
        <v>2448</v>
      </c>
      <c r="B1198" s="8">
        <v>42157</v>
      </c>
      <c r="C1198">
        <v>99</v>
      </c>
      <c r="D1198">
        <v>31.5</v>
      </c>
      <c r="E1198">
        <v>34.271375387600003</v>
      </c>
      <c r="F1198">
        <v>-1.7032981055400001</v>
      </c>
      <c r="G1198">
        <v>13</v>
      </c>
    </row>
    <row r="1199" spans="1:7" hidden="1" x14ac:dyDescent="0.25">
      <c r="A1199" t="s">
        <v>2449</v>
      </c>
      <c r="B1199" s="8">
        <v>42158</v>
      </c>
      <c r="C1199">
        <v>286</v>
      </c>
      <c r="D1199">
        <v>48.75</v>
      </c>
      <c r="E1199">
        <v>42.340880170200002</v>
      </c>
      <c r="F1199">
        <v>-6.7170671955000003</v>
      </c>
      <c r="G1199">
        <v>24</v>
      </c>
    </row>
    <row r="1200" spans="1:7" hidden="1" x14ac:dyDescent="0.25">
      <c r="A1200" t="s">
        <v>2450</v>
      </c>
      <c r="B1200" s="8">
        <v>42158</v>
      </c>
      <c r="C1200">
        <v>98</v>
      </c>
      <c r="D1200">
        <v>41</v>
      </c>
      <c r="E1200">
        <v>36.7978447084</v>
      </c>
      <c r="F1200">
        <v>-6.5815039521300003</v>
      </c>
      <c r="G1200">
        <v>19</v>
      </c>
    </row>
    <row r="1201" spans="1:7" hidden="1" x14ac:dyDescent="0.25">
      <c r="A1201" t="s">
        <v>2451</v>
      </c>
      <c r="B1201" s="8">
        <v>42158</v>
      </c>
      <c r="C1201">
        <v>55</v>
      </c>
      <c r="D1201">
        <v>48.25</v>
      </c>
      <c r="E1201">
        <v>36.0475464612</v>
      </c>
      <c r="F1201">
        <v>-7.7383650684700003</v>
      </c>
      <c r="G1201">
        <v>19</v>
      </c>
    </row>
    <row r="1202" spans="1:7" hidden="1" x14ac:dyDescent="0.25">
      <c r="A1202" t="s">
        <v>2452</v>
      </c>
      <c r="B1202" s="8">
        <v>42158</v>
      </c>
      <c r="C1202">
        <v>214</v>
      </c>
      <c r="D1202">
        <v>47.25</v>
      </c>
      <c r="E1202">
        <v>39.767337871199999</v>
      </c>
      <c r="F1202">
        <v>-8.0545072525099997</v>
      </c>
      <c r="G1202">
        <v>24</v>
      </c>
    </row>
    <row r="1203" spans="1:7" hidden="1" x14ac:dyDescent="0.25">
      <c r="A1203" t="s">
        <v>2453</v>
      </c>
      <c r="B1203" s="8">
        <v>42159</v>
      </c>
      <c r="C1203">
        <v>190</v>
      </c>
      <c r="D1203">
        <v>27.75</v>
      </c>
      <c r="E1203">
        <v>37.7271571657</v>
      </c>
      <c r="F1203">
        <v>-2.4547341062500001</v>
      </c>
      <c r="G1203">
        <v>17</v>
      </c>
    </row>
    <row r="1204" spans="1:7" hidden="1" x14ac:dyDescent="0.25">
      <c r="A1204" t="s">
        <v>2454</v>
      </c>
      <c r="B1204" s="8">
        <v>42159</v>
      </c>
      <c r="C1204">
        <v>130</v>
      </c>
      <c r="D1204">
        <v>27.5</v>
      </c>
      <c r="E1204">
        <v>36.820525084499998</v>
      </c>
      <c r="F1204">
        <v>-2.42487075861</v>
      </c>
      <c r="G1204">
        <v>17</v>
      </c>
    </row>
    <row r="1205" spans="1:7" hidden="1" x14ac:dyDescent="0.25">
      <c r="A1205" t="s">
        <v>2455</v>
      </c>
      <c r="B1205" s="8">
        <v>42159</v>
      </c>
      <c r="C1205">
        <v>60</v>
      </c>
      <c r="D1205">
        <v>26.6</v>
      </c>
      <c r="E1205">
        <v>32.002651325999999</v>
      </c>
      <c r="F1205">
        <v>-0.60507416889499999</v>
      </c>
      <c r="G1205">
        <v>13.1</v>
      </c>
    </row>
    <row r="1206" spans="1:7" hidden="1" x14ac:dyDescent="0.25">
      <c r="A1206" t="s">
        <v>2456</v>
      </c>
      <c r="B1206" s="8">
        <v>42160</v>
      </c>
      <c r="C1206">
        <v>280</v>
      </c>
      <c r="D1206">
        <v>33.25</v>
      </c>
      <c r="E1206">
        <v>36.209500519800002</v>
      </c>
      <c r="F1206">
        <v>-4.3962775510799998</v>
      </c>
      <c r="G1206">
        <v>14</v>
      </c>
    </row>
    <row r="1207" spans="1:7" hidden="1" x14ac:dyDescent="0.25">
      <c r="A1207" t="s">
        <v>2457</v>
      </c>
      <c r="B1207" s="8">
        <v>42160</v>
      </c>
      <c r="C1207">
        <v>54</v>
      </c>
      <c r="D1207">
        <v>22.6</v>
      </c>
      <c r="E1207">
        <v>32.847345279499997</v>
      </c>
      <c r="F1207">
        <v>-1.0813444673199999</v>
      </c>
      <c r="G1207">
        <v>8.1</v>
      </c>
    </row>
    <row r="1208" spans="1:7" hidden="1" x14ac:dyDescent="0.25">
      <c r="A1208" t="s">
        <v>2458</v>
      </c>
      <c r="B1208" s="8">
        <v>42160</v>
      </c>
      <c r="C1208">
        <v>77</v>
      </c>
      <c r="D1208">
        <v>33.5</v>
      </c>
      <c r="E1208">
        <v>32.186134435100001</v>
      </c>
      <c r="F1208">
        <v>-4.1663222338199999</v>
      </c>
      <c r="G1208">
        <v>8</v>
      </c>
    </row>
    <row r="1209" spans="1:7" hidden="1" x14ac:dyDescent="0.25">
      <c r="A1209" t="s">
        <v>2459</v>
      </c>
      <c r="B1209" s="8">
        <v>42161</v>
      </c>
      <c r="C1209">
        <v>134</v>
      </c>
      <c r="D1209">
        <v>48.25</v>
      </c>
      <c r="E1209">
        <v>35.517168851100003</v>
      </c>
      <c r="F1209">
        <v>-9.4846976769199998</v>
      </c>
      <c r="G1209">
        <v>23</v>
      </c>
    </row>
    <row r="1210" spans="1:7" hidden="1" x14ac:dyDescent="0.25">
      <c r="A1210" t="s">
        <v>2460</v>
      </c>
      <c r="B1210" s="8">
        <v>42161</v>
      </c>
      <c r="C1210">
        <v>110</v>
      </c>
      <c r="D1210">
        <v>33.25</v>
      </c>
      <c r="E1210">
        <v>40.384367710900001</v>
      </c>
      <c r="F1210">
        <v>-9.5422794816199996</v>
      </c>
      <c r="G1210">
        <v>-0.5</v>
      </c>
    </row>
    <row r="1211" spans="1:7" hidden="1" x14ac:dyDescent="0.25">
      <c r="A1211" t="s">
        <v>2461</v>
      </c>
      <c r="B1211" s="8">
        <v>42161</v>
      </c>
      <c r="C1211">
        <v>153</v>
      </c>
      <c r="D1211">
        <v>30.5</v>
      </c>
      <c r="E1211">
        <v>36.063231969900002</v>
      </c>
      <c r="F1211">
        <v>-8.3649589095200003</v>
      </c>
      <c r="G1211">
        <v>2.5</v>
      </c>
    </row>
    <row r="1212" spans="1:7" hidden="1" x14ac:dyDescent="0.25">
      <c r="A1212" t="s">
        <v>2462</v>
      </c>
      <c r="B1212" s="8">
        <v>42162</v>
      </c>
      <c r="C1212">
        <v>90</v>
      </c>
      <c r="D1212">
        <v>26.5</v>
      </c>
      <c r="E1212">
        <v>41.839739481400002</v>
      </c>
      <c r="F1212">
        <v>-3.50718887844</v>
      </c>
      <c r="G1212">
        <v>19</v>
      </c>
    </row>
    <row r="1213" spans="1:7" hidden="1" x14ac:dyDescent="0.25">
      <c r="A1213" t="s">
        <v>2463</v>
      </c>
      <c r="B1213" s="8">
        <v>42163</v>
      </c>
      <c r="C1213">
        <v>146</v>
      </c>
      <c r="D1213">
        <v>40.75</v>
      </c>
      <c r="E1213">
        <v>36.955342584199997</v>
      </c>
      <c r="F1213">
        <v>-4.2986641451300001</v>
      </c>
      <c r="G1213">
        <v>8</v>
      </c>
    </row>
    <row r="1214" spans="1:7" hidden="1" x14ac:dyDescent="0.25">
      <c r="A1214" t="s">
        <v>2464</v>
      </c>
      <c r="B1214" s="8">
        <v>42164</v>
      </c>
      <c r="C1214">
        <v>280</v>
      </c>
      <c r="D1214">
        <v>22.25</v>
      </c>
      <c r="E1214">
        <v>41.623692177300001</v>
      </c>
      <c r="F1214">
        <v>-4.6794663123199998</v>
      </c>
      <c r="G1214">
        <v>9</v>
      </c>
    </row>
    <row r="1215" spans="1:7" hidden="1" x14ac:dyDescent="0.25">
      <c r="A1215" t="s">
        <v>2465</v>
      </c>
      <c r="B1215" s="8">
        <v>42165</v>
      </c>
      <c r="C1215">
        <v>280</v>
      </c>
      <c r="D1215">
        <v>31.5</v>
      </c>
      <c r="E1215">
        <v>38.2303326579</v>
      </c>
      <c r="F1215">
        <v>-0.69780508123200002</v>
      </c>
      <c r="G1215">
        <v>15</v>
      </c>
    </row>
    <row r="1216" spans="1:7" hidden="1" x14ac:dyDescent="0.25">
      <c r="A1216" t="s">
        <v>2466</v>
      </c>
      <c r="B1216" s="8">
        <v>42165</v>
      </c>
      <c r="C1216">
        <v>205</v>
      </c>
      <c r="D1216">
        <v>29.75</v>
      </c>
      <c r="E1216">
        <v>38.013395078899997</v>
      </c>
      <c r="F1216">
        <v>-1.0625591453900001</v>
      </c>
      <c r="G1216">
        <v>15</v>
      </c>
    </row>
    <row r="1217" spans="1:12" hidden="1" x14ac:dyDescent="0.25">
      <c r="A1217" t="s">
        <v>2467</v>
      </c>
      <c r="B1217" s="8">
        <v>42165</v>
      </c>
      <c r="C1217">
        <v>57</v>
      </c>
      <c r="D1217">
        <v>20.45</v>
      </c>
      <c r="E1217">
        <v>30.345976665799999</v>
      </c>
      <c r="F1217">
        <v>-0.62140249754499999</v>
      </c>
      <c r="G1217">
        <v>7.2</v>
      </c>
    </row>
    <row r="1218" spans="1:12" hidden="1" x14ac:dyDescent="0.25">
      <c r="A1218" t="s">
        <v>2468</v>
      </c>
      <c r="B1218" s="8">
        <v>42166</v>
      </c>
      <c r="C1218">
        <v>106</v>
      </c>
      <c r="D1218">
        <v>39</v>
      </c>
      <c r="E1218">
        <v>38.972626002799998</v>
      </c>
      <c r="F1218">
        <v>-1.97292108932</v>
      </c>
      <c r="G1218">
        <v>16</v>
      </c>
    </row>
    <row r="1219" spans="1:12" hidden="1" x14ac:dyDescent="0.25">
      <c r="A1219" t="s">
        <v>2469</v>
      </c>
      <c r="B1219" s="8">
        <v>42166</v>
      </c>
      <c r="C1219">
        <v>33</v>
      </c>
      <c r="D1219">
        <v>41.75</v>
      </c>
      <c r="E1219">
        <v>31.596788931599999</v>
      </c>
      <c r="F1219">
        <v>-4.0866841372799998</v>
      </c>
      <c r="G1219">
        <v>11</v>
      </c>
    </row>
    <row r="1220" spans="1:12" hidden="1" x14ac:dyDescent="0.25">
      <c r="A1220" t="s">
        <v>2470</v>
      </c>
      <c r="B1220" s="8">
        <v>42167</v>
      </c>
      <c r="C1220">
        <v>277</v>
      </c>
      <c r="D1220">
        <v>24.75</v>
      </c>
      <c r="E1220">
        <v>43.4366749056</v>
      </c>
      <c r="F1220">
        <v>-8.4797961158399993</v>
      </c>
      <c r="G1220">
        <v>12</v>
      </c>
    </row>
    <row r="1221" spans="1:12" hidden="1" x14ac:dyDescent="0.25">
      <c r="A1221" t="s">
        <v>2471</v>
      </c>
      <c r="B1221" s="8">
        <v>42167</v>
      </c>
      <c r="C1221">
        <v>261</v>
      </c>
      <c r="D1221">
        <v>29.7</v>
      </c>
      <c r="E1221">
        <v>42.528433241400002</v>
      </c>
      <c r="F1221">
        <v>-8.4022570246000008</v>
      </c>
      <c r="G1221">
        <v>-0.5</v>
      </c>
    </row>
    <row r="1222" spans="1:12" hidden="1" x14ac:dyDescent="0.25"/>
    <row r="1223" spans="1:12" hidden="1" x14ac:dyDescent="0.25"/>
    <row r="1224" spans="1:12" ht="15.75" hidden="1" thickBot="1" x14ac:dyDescent="0.3"/>
    <row r="1225" spans="1:12" hidden="1" x14ac:dyDescent="0.25">
      <c r="A1225" s="37" t="s">
        <v>2590</v>
      </c>
      <c r="B1225" s="38" t="s">
        <v>311</v>
      </c>
      <c r="C1225" s="38" t="s">
        <v>1545</v>
      </c>
      <c r="D1225" s="38" t="s">
        <v>1527</v>
      </c>
      <c r="E1225" s="38" t="s">
        <v>1546</v>
      </c>
      <c r="F1225" s="38" t="s">
        <v>1547</v>
      </c>
      <c r="G1225" s="40" t="s">
        <v>1861</v>
      </c>
      <c r="H1225" s="38" t="s">
        <v>1862</v>
      </c>
      <c r="I1225" s="38"/>
      <c r="J1225" s="65" t="s">
        <v>1989</v>
      </c>
      <c r="K1225" s="66" t="s">
        <v>1990</v>
      </c>
      <c r="L1225" s="67" t="s">
        <v>1991</v>
      </c>
    </row>
    <row r="1226" spans="1:12" hidden="1" x14ac:dyDescent="0.25">
      <c r="A1226" s="30" t="s">
        <v>2591</v>
      </c>
      <c r="B1226" s="8">
        <v>42138</v>
      </c>
      <c r="C1226" s="30">
        <v>207</v>
      </c>
      <c r="D1226" s="30">
        <v>39.75</v>
      </c>
      <c r="E1226" s="30">
        <v>40.662251550999997</v>
      </c>
      <c r="F1226" s="30">
        <v>-1.26674712849</v>
      </c>
      <c r="G1226" s="30">
        <v>14</v>
      </c>
      <c r="H1226" s="30"/>
      <c r="I1226" s="30"/>
      <c r="J1226" s="68">
        <f>AVERAGE(D1226:D1363)</f>
        <v>31.134782608695623</v>
      </c>
      <c r="K1226" s="68">
        <f>_xlfn.STDEV.P(D1226:D1363)</f>
        <v>11.69209848494822</v>
      </c>
      <c r="L1226" s="68">
        <f>MEDIAN(D1226:D1363)</f>
        <v>29.5</v>
      </c>
    </row>
    <row r="1227" spans="1:12" hidden="1" x14ac:dyDescent="0.25">
      <c r="A1227" t="s">
        <v>2592</v>
      </c>
      <c r="B1227" s="8">
        <v>42138</v>
      </c>
      <c r="C1227">
        <v>94</v>
      </c>
      <c r="D1227">
        <v>25.5</v>
      </c>
      <c r="E1227">
        <v>35.302252793500003</v>
      </c>
      <c r="F1227">
        <v>-8.6323500839499996</v>
      </c>
      <c r="G1227">
        <v>-0.25</v>
      </c>
    </row>
    <row r="1228" spans="1:12" hidden="1" x14ac:dyDescent="0.25">
      <c r="A1228" t="s">
        <v>2593</v>
      </c>
      <c r="B1228" s="8">
        <v>42138</v>
      </c>
      <c r="C1228">
        <v>113</v>
      </c>
      <c r="D1228">
        <v>34.5</v>
      </c>
      <c r="E1228">
        <v>38.654998624000001</v>
      </c>
      <c r="F1228">
        <v>-1.7690261785400001</v>
      </c>
      <c r="G1228">
        <v>14</v>
      </c>
    </row>
    <row r="1229" spans="1:12" hidden="1" x14ac:dyDescent="0.25">
      <c r="A1229" t="s">
        <v>2594</v>
      </c>
      <c r="B1229" s="8">
        <v>42138</v>
      </c>
      <c r="C1229">
        <v>37</v>
      </c>
      <c r="D1229">
        <v>24.35</v>
      </c>
      <c r="E1229">
        <v>30.8386376996</v>
      </c>
      <c r="F1229">
        <v>-8.1918083663000001</v>
      </c>
      <c r="G1229">
        <v>4.0999999999999996</v>
      </c>
    </row>
    <row r="1230" spans="1:12" hidden="1" x14ac:dyDescent="0.25">
      <c r="A1230" t="s">
        <v>2595</v>
      </c>
      <c r="B1230" s="8">
        <v>42139</v>
      </c>
      <c r="C1230">
        <v>279</v>
      </c>
      <c r="D1230">
        <v>42.7</v>
      </c>
      <c r="E1230">
        <v>45.542030387099999</v>
      </c>
      <c r="F1230">
        <v>-2.6715091361500001</v>
      </c>
      <c r="G1230">
        <v>1.75</v>
      </c>
    </row>
    <row r="1231" spans="1:12" hidden="1" x14ac:dyDescent="0.25">
      <c r="A1231" t="s">
        <v>2596</v>
      </c>
      <c r="B1231" s="8">
        <v>42139</v>
      </c>
      <c r="C1231">
        <v>262</v>
      </c>
      <c r="D1231">
        <v>40.200000000000003</v>
      </c>
      <c r="E1231">
        <v>44.395172809800002</v>
      </c>
      <c r="F1231">
        <v>-3.1694657205199999</v>
      </c>
      <c r="G1231">
        <v>1.75</v>
      </c>
    </row>
    <row r="1232" spans="1:12" hidden="1" x14ac:dyDescent="0.25">
      <c r="A1232" t="s">
        <v>2597</v>
      </c>
      <c r="B1232" s="8">
        <v>42140</v>
      </c>
      <c r="C1232">
        <v>275</v>
      </c>
      <c r="D1232">
        <v>49.25</v>
      </c>
      <c r="E1232">
        <v>47.925743826000001</v>
      </c>
      <c r="F1232">
        <v>-1.44598019799</v>
      </c>
      <c r="G1232">
        <v>15</v>
      </c>
    </row>
    <row r="1233" spans="1:7" hidden="1" x14ac:dyDescent="0.25">
      <c r="A1233" t="s">
        <v>2598</v>
      </c>
      <c r="B1233" s="8">
        <v>42140</v>
      </c>
      <c r="C1233">
        <v>71</v>
      </c>
      <c r="D1233">
        <v>35.25</v>
      </c>
      <c r="E1233">
        <v>39.397492827199997</v>
      </c>
      <c r="F1233">
        <v>-3.57725990986</v>
      </c>
      <c r="G1233">
        <v>1</v>
      </c>
    </row>
    <row r="1234" spans="1:7" hidden="1" x14ac:dyDescent="0.25">
      <c r="A1234" t="s">
        <v>2599</v>
      </c>
      <c r="B1234" s="8">
        <v>42140</v>
      </c>
      <c r="C1234">
        <v>204</v>
      </c>
      <c r="D1234">
        <v>40.5</v>
      </c>
      <c r="E1234">
        <v>45.461525725100003</v>
      </c>
      <c r="F1234">
        <v>-5.08402601398</v>
      </c>
      <c r="G1234">
        <v>15</v>
      </c>
    </row>
    <row r="1235" spans="1:7" hidden="1" x14ac:dyDescent="0.25">
      <c r="A1235" t="s">
        <v>2600</v>
      </c>
      <c r="B1235" s="8">
        <v>42141</v>
      </c>
      <c r="C1235">
        <v>279</v>
      </c>
      <c r="D1235">
        <v>36.75</v>
      </c>
      <c r="E1235">
        <v>43.578168124599998</v>
      </c>
      <c r="F1235">
        <v>-1.64256591937</v>
      </c>
      <c r="G1235">
        <v>13</v>
      </c>
    </row>
    <row r="1236" spans="1:7" hidden="1" x14ac:dyDescent="0.25">
      <c r="A1236" t="s">
        <v>2601</v>
      </c>
      <c r="B1236" s="8">
        <v>42141</v>
      </c>
      <c r="C1236">
        <v>97</v>
      </c>
      <c r="D1236">
        <v>22.25</v>
      </c>
      <c r="E1236">
        <v>38.999834019799998</v>
      </c>
      <c r="F1236">
        <v>-2.5925664233300001</v>
      </c>
      <c r="G1236">
        <v>13</v>
      </c>
    </row>
    <row r="1237" spans="1:7" hidden="1" x14ac:dyDescent="0.25">
      <c r="A1237" t="s">
        <v>2602</v>
      </c>
      <c r="B1237" s="8">
        <v>42141</v>
      </c>
      <c r="C1237">
        <v>187</v>
      </c>
      <c r="D1237">
        <v>23.5</v>
      </c>
      <c r="E1237">
        <v>41.831747736600001</v>
      </c>
      <c r="F1237">
        <v>-1.1751554181799999</v>
      </c>
      <c r="G1237">
        <v>13</v>
      </c>
    </row>
    <row r="1238" spans="1:7" hidden="1" x14ac:dyDescent="0.25">
      <c r="A1238" t="s">
        <v>2603</v>
      </c>
      <c r="B1238" s="8">
        <v>42141</v>
      </c>
      <c r="C1238">
        <v>92</v>
      </c>
      <c r="D1238">
        <v>49.85</v>
      </c>
      <c r="E1238">
        <v>37.004144896699998</v>
      </c>
      <c r="F1238">
        <v>-2.5211226663400002</v>
      </c>
      <c r="G1238">
        <v>1.75</v>
      </c>
    </row>
    <row r="1239" spans="1:7" hidden="1" x14ac:dyDescent="0.25">
      <c r="A1239" t="s">
        <v>2604</v>
      </c>
      <c r="B1239" s="8">
        <v>42142</v>
      </c>
      <c r="C1239">
        <v>130</v>
      </c>
      <c r="D1239">
        <v>26</v>
      </c>
      <c r="E1239">
        <v>42.255679075899998</v>
      </c>
      <c r="F1239">
        <v>-4.9083706075900002</v>
      </c>
      <c r="G1239">
        <v>14</v>
      </c>
    </row>
    <row r="1240" spans="1:7" hidden="1" x14ac:dyDescent="0.25">
      <c r="A1240" t="s">
        <v>2605</v>
      </c>
      <c r="B1240" s="8">
        <v>42142</v>
      </c>
      <c r="C1240">
        <v>110</v>
      </c>
      <c r="D1240">
        <v>18.25</v>
      </c>
      <c r="E1240">
        <v>41.868484818200002</v>
      </c>
      <c r="F1240">
        <v>-2.8497085575000001</v>
      </c>
      <c r="G1240">
        <v>14</v>
      </c>
    </row>
    <row r="1241" spans="1:7" hidden="1" x14ac:dyDescent="0.25">
      <c r="A1241" t="s">
        <v>2606</v>
      </c>
      <c r="B1241" s="8">
        <v>42137</v>
      </c>
      <c r="C1241">
        <v>39</v>
      </c>
      <c r="D1241">
        <v>28.25</v>
      </c>
      <c r="E1241">
        <v>31.3295690343</v>
      </c>
      <c r="F1241">
        <v>-3.55792762966</v>
      </c>
      <c r="G1241">
        <v>18</v>
      </c>
    </row>
    <row r="1242" spans="1:7" hidden="1" x14ac:dyDescent="0.25">
      <c r="A1242" t="s">
        <v>2607</v>
      </c>
      <c r="B1242" s="8">
        <v>42136</v>
      </c>
      <c r="C1242">
        <v>278</v>
      </c>
      <c r="D1242">
        <v>25.7</v>
      </c>
      <c r="E1242">
        <v>38.275540476400003</v>
      </c>
      <c r="F1242">
        <v>-3.6375964594400001</v>
      </c>
      <c r="G1242">
        <v>4.2</v>
      </c>
    </row>
    <row r="1243" spans="1:7" hidden="1" x14ac:dyDescent="0.25">
      <c r="A1243" t="s">
        <v>2607</v>
      </c>
      <c r="B1243" s="8">
        <v>42136</v>
      </c>
      <c r="C1243">
        <v>258</v>
      </c>
      <c r="D1243">
        <v>25.7</v>
      </c>
      <c r="E1243">
        <v>38.275540476400003</v>
      </c>
      <c r="F1243">
        <v>-3.6375964594400001</v>
      </c>
      <c r="G1243">
        <v>4.2</v>
      </c>
    </row>
    <row r="1244" spans="1:7" hidden="1" x14ac:dyDescent="0.25">
      <c r="A1244" t="s">
        <v>2608</v>
      </c>
      <c r="B1244" s="8">
        <v>42136</v>
      </c>
      <c r="C1244">
        <v>113</v>
      </c>
      <c r="D1244">
        <v>36.5</v>
      </c>
      <c r="E1244">
        <v>36.312781165499999</v>
      </c>
      <c r="F1244">
        <v>-1.37694271461</v>
      </c>
      <c r="G1244">
        <v>19</v>
      </c>
    </row>
    <row r="1245" spans="1:7" hidden="1" x14ac:dyDescent="0.25">
      <c r="A1245" t="s">
        <v>2609</v>
      </c>
      <c r="B1245" s="8">
        <v>42136</v>
      </c>
      <c r="C1245">
        <v>92</v>
      </c>
      <c r="D1245">
        <v>26.7</v>
      </c>
      <c r="E1245">
        <v>35.5222100238</v>
      </c>
      <c r="F1245">
        <v>-7.8465050602300002</v>
      </c>
      <c r="G1245">
        <v>4.2</v>
      </c>
    </row>
    <row r="1246" spans="1:7" hidden="1" x14ac:dyDescent="0.25">
      <c r="A1246" t="s">
        <v>2610</v>
      </c>
      <c r="B1246" s="8">
        <v>42136</v>
      </c>
      <c r="C1246">
        <v>73</v>
      </c>
      <c r="D1246">
        <v>42</v>
      </c>
      <c r="E1246">
        <v>35.858800685699997</v>
      </c>
      <c r="F1246">
        <v>-1.4816420217699999</v>
      </c>
      <c r="G1246">
        <v>21</v>
      </c>
    </row>
    <row r="1247" spans="1:7" hidden="1" x14ac:dyDescent="0.25">
      <c r="A1247" t="s">
        <v>2611</v>
      </c>
      <c r="B1247" s="8">
        <v>42135</v>
      </c>
      <c r="C1247">
        <v>184</v>
      </c>
      <c r="D1247">
        <v>28.5</v>
      </c>
      <c r="E1247">
        <v>42.462711473299997</v>
      </c>
      <c r="F1247">
        <v>-4.0637420725900002</v>
      </c>
      <c r="G1247">
        <v>13</v>
      </c>
    </row>
    <row r="1248" spans="1:7" hidden="1" x14ac:dyDescent="0.25">
      <c r="A1248" t="s">
        <v>2612</v>
      </c>
      <c r="B1248" s="8">
        <v>42135</v>
      </c>
      <c r="C1248">
        <v>55</v>
      </c>
      <c r="D1248">
        <v>35.5</v>
      </c>
      <c r="E1248">
        <v>35.784494955</v>
      </c>
      <c r="F1248">
        <v>-5.7870913137000004</v>
      </c>
      <c r="G1248">
        <v>11</v>
      </c>
    </row>
    <row r="1249" spans="1:7" hidden="1" x14ac:dyDescent="0.25">
      <c r="A1249" t="s">
        <v>2613</v>
      </c>
      <c r="B1249" s="8">
        <v>42135</v>
      </c>
      <c r="C1249">
        <v>37</v>
      </c>
      <c r="D1249">
        <v>38.75</v>
      </c>
      <c r="E1249">
        <v>35.274438518099998</v>
      </c>
      <c r="F1249">
        <v>-1.6790201893200001</v>
      </c>
      <c r="G1249">
        <v>13</v>
      </c>
    </row>
    <row r="1250" spans="1:7" hidden="1" x14ac:dyDescent="0.25">
      <c r="A1250" t="s">
        <v>2614</v>
      </c>
      <c r="B1250" s="8">
        <v>42134</v>
      </c>
      <c r="C1250">
        <v>280</v>
      </c>
      <c r="D1250">
        <v>44.25</v>
      </c>
      <c r="E1250">
        <v>44.5564126871</v>
      </c>
      <c r="F1250">
        <v>-7.4781967579400002</v>
      </c>
      <c r="G1250">
        <v>15</v>
      </c>
    </row>
    <row r="1251" spans="1:7" hidden="1" x14ac:dyDescent="0.25">
      <c r="A1251" t="s">
        <v>2615</v>
      </c>
      <c r="B1251" s="8">
        <v>42134</v>
      </c>
      <c r="C1251">
        <v>169</v>
      </c>
      <c r="D1251">
        <v>45.25</v>
      </c>
      <c r="E1251">
        <v>43.361662742299998</v>
      </c>
      <c r="F1251">
        <v>-7.6114064275900004</v>
      </c>
      <c r="G1251">
        <v>26</v>
      </c>
    </row>
    <row r="1252" spans="1:7" hidden="1" x14ac:dyDescent="0.25">
      <c r="A1252" t="s">
        <v>2616</v>
      </c>
      <c r="B1252" s="8">
        <v>42134</v>
      </c>
      <c r="C1252">
        <v>91</v>
      </c>
      <c r="D1252">
        <v>49.5</v>
      </c>
      <c r="E1252">
        <v>37.3599188783</v>
      </c>
      <c r="F1252">
        <v>-5.9043720617700002</v>
      </c>
      <c r="G1252">
        <v>15</v>
      </c>
    </row>
    <row r="1253" spans="1:7" hidden="1" x14ac:dyDescent="0.25">
      <c r="A1253" t="s">
        <v>2617</v>
      </c>
      <c r="B1253" s="8">
        <v>42133</v>
      </c>
      <c r="C1253">
        <v>158</v>
      </c>
      <c r="D1253">
        <v>27.75</v>
      </c>
      <c r="E1253">
        <v>37.621306488899997</v>
      </c>
      <c r="F1253">
        <v>-2.7765211506399998</v>
      </c>
      <c r="G1253">
        <v>1</v>
      </c>
    </row>
    <row r="1254" spans="1:7" hidden="1" x14ac:dyDescent="0.25">
      <c r="A1254" t="s">
        <v>2618</v>
      </c>
      <c r="B1254" s="8">
        <v>42133</v>
      </c>
      <c r="C1254">
        <v>57</v>
      </c>
      <c r="D1254">
        <v>36.950000000000003</v>
      </c>
      <c r="E1254">
        <v>34.023947000100002</v>
      </c>
      <c r="F1254">
        <v>-0.60453971841200005</v>
      </c>
      <c r="G1254">
        <v>6.2</v>
      </c>
    </row>
    <row r="1255" spans="1:7" hidden="1" x14ac:dyDescent="0.25">
      <c r="A1255" t="s">
        <v>2619</v>
      </c>
      <c r="B1255" s="8">
        <v>42132</v>
      </c>
      <c r="C1255">
        <v>263</v>
      </c>
      <c r="D1255">
        <v>17.850000000000001</v>
      </c>
      <c r="E1255">
        <v>43.518935055500002</v>
      </c>
      <c r="F1255">
        <v>-2.0670811492399999</v>
      </c>
      <c r="G1255">
        <v>3.1</v>
      </c>
    </row>
    <row r="1256" spans="1:7" hidden="1" x14ac:dyDescent="0.25">
      <c r="A1256" t="s">
        <v>2620</v>
      </c>
      <c r="B1256" s="8">
        <v>42131</v>
      </c>
      <c r="C1256">
        <v>112</v>
      </c>
      <c r="D1256">
        <v>48.1</v>
      </c>
      <c r="E1256">
        <v>41.2584404507</v>
      </c>
      <c r="F1256">
        <v>9.5457434974399999E-2</v>
      </c>
      <c r="G1256">
        <v>12.1</v>
      </c>
    </row>
    <row r="1257" spans="1:7" hidden="1" x14ac:dyDescent="0.25">
      <c r="A1257" t="s">
        <v>2621</v>
      </c>
      <c r="B1257" s="8">
        <v>42130</v>
      </c>
      <c r="C1257">
        <v>224</v>
      </c>
      <c r="D1257">
        <v>43</v>
      </c>
      <c r="E1257">
        <v>42.8712731707</v>
      </c>
      <c r="F1257">
        <v>-8.6698923192600006</v>
      </c>
      <c r="G1257">
        <v>19</v>
      </c>
    </row>
    <row r="1258" spans="1:7" hidden="1" x14ac:dyDescent="0.25">
      <c r="A1258" t="s">
        <v>2622</v>
      </c>
      <c r="B1258" s="8">
        <v>42129</v>
      </c>
      <c r="C1258">
        <v>261</v>
      </c>
      <c r="D1258">
        <v>19.75</v>
      </c>
      <c r="E1258">
        <v>44.5855146878</v>
      </c>
      <c r="F1258">
        <v>-0.29033442958400002</v>
      </c>
      <c r="G1258">
        <v>12</v>
      </c>
    </row>
    <row r="1259" spans="1:7" hidden="1" x14ac:dyDescent="0.25">
      <c r="A1259" t="s">
        <v>2623</v>
      </c>
      <c r="B1259" s="8">
        <v>42128</v>
      </c>
      <c r="C1259">
        <v>188</v>
      </c>
      <c r="D1259">
        <v>38.1</v>
      </c>
      <c r="E1259">
        <v>50.048081160300001</v>
      </c>
      <c r="F1259">
        <v>-6.5073649923900003</v>
      </c>
      <c r="G1259">
        <v>-1</v>
      </c>
    </row>
    <row r="1260" spans="1:7" hidden="1" x14ac:dyDescent="0.25">
      <c r="A1260" t="s">
        <v>2624</v>
      </c>
      <c r="B1260" s="8">
        <v>42128</v>
      </c>
      <c r="C1260">
        <v>58</v>
      </c>
      <c r="D1260">
        <v>35.5</v>
      </c>
      <c r="E1260">
        <v>45.676740709599997</v>
      </c>
      <c r="F1260">
        <v>-6.0141059212199997</v>
      </c>
      <c r="G1260">
        <v>7</v>
      </c>
    </row>
    <row r="1261" spans="1:7" hidden="1" x14ac:dyDescent="0.25">
      <c r="A1261" t="s">
        <v>2625</v>
      </c>
      <c r="B1261" s="8">
        <v>42128</v>
      </c>
      <c r="C1261">
        <v>38</v>
      </c>
      <c r="D1261">
        <v>30.75</v>
      </c>
      <c r="E1261">
        <v>35.778196766699999</v>
      </c>
      <c r="F1261">
        <v>-0.31970057658099998</v>
      </c>
      <c r="G1261">
        <v>18</v>
      </c>
    </row>
    <row r="1262" spans="1:7" hidden="1" x14ac:dyDescent="0.25">
      <c r="A1262" t="s">
        <v>2626</v>
      </c>
      <c r="B1262" s="8">
        <v>42127</v>
      </c>
      <c r="C1262">
        <v>73</v>
      </c>
      <c r="D1262">
        <v>36.1</v>
      </c>
      <c r="E1262">
        <v>32.206471041199997</v>
      </c>
      <c r="F1262">
        <v>-1.3803973711299999</v>
      </c>
      <c r="G1262">
        <v>11.1</v>
      </c>
    </row>
    <row r="1263" spans="1:7" hidden="1" x14ac:dyDescent="0.25">
      <c r="A1263" t="s">
        <v>2627</v>
      </c>
      <c r="B1263" s="8">
        <v>42126</v>
      </c>
      <c r="C1263">
        <v>279</v>
      </c>
      <c r="D1263">
        <v>37.5</v>
      </c>
      <c r="E1263">
        <v>49.314437605499997</v>
      </c>
      <c r="F1263">
        <v>-6.4121421198400004</v>
      </c>
      <c r="G1263">
        <v>15</v>
      </c>
    </row>
    <row r="1264" spans="1:7" hidden="1" x14ac:dyDescent="0.25">
      <c r="A1264" t="s">
        <v>2628</v>
      </c>
      <c r="B1264" s="8">
        <v>42126</v>
      </c>
      <c r="C1264">
        <v>129</v>
      </c>
      <c r="D1264">
        <v>36.25</v>
      </c>
      <c r="E1264">
        <v>47.662523034099998</v>
      </c>
      <c r="F1264">
        <v>-1.8748875810700001</v>
      </c>
      <c r="G1264">
        <v>4</v>
      </c>
    </row>
    <row r="1265" spans="1:7" hidden="1" x14ac:dyDescent="0.25">
      <c r="A1265" t="s">
        <v>2629</v>
      </c>
      <c r="B1265" s="8">
        <v>42126</v>
      </c>
      <c r="C1265">
        <v>150</v>
      </c>
      <c r="D1265">
        <v>33.75</v>
      </c>
      <c r="E1265">
        <v>39.593611464699997</v>
      </c>
      <c r="F1265">
        <v>-3.4705615398199998</v>
      </c>
      <c r="G1265">
        <v>15</v>
      </c>
    </row>
    <row r="1266" spans="1:7" hidden="1" x14ac:dyDescent="0.25">
      <c r="A1266" t="s">
        <v>2630</v>
      </c>
      <c r="B1266" s="8">
        <v>42126</v>
      </c>
      <c r="C1266">
        <v>54</v>
      </c>
      <c r="D1266">
        <v>34.25</v>
      </c>
      <c r="E1266">
        <v>44.234614952699999</v>
      </c>
      <c r="F1266">
        <v>-1.6854080999100001</v>
      </c>
      <c r="G1266">
        <v>4</v>
      </c>
    </row>
    <row r="1267" spans="1:7" hidden="1" x14ac:dyDescent="0.25">
      <c r="A1267" t="s">
        <v>2631</v>
      </c>
      <c r="B1267" s="8">
        <v>42125</v>
      </c>
      <c r="C1267">
        <v>260</v>
      </c>
      <c r="D1267">
        <v>22.25</v>
      </c>
      <c r="E1267">
        <v>45.845050573400002</v>
      </c>
      <c r="F1267">
        <v>-4.8448334702900002</v>
      </c>
      <c r="G1267">
        <v>14</v>
      </c>
    </row>
    <row r="1268" spans="1:7" hidden="1" x14ac:dyDescent="0.25">
      <c r="A1268" t="s">
        <v>2632</v>
      </c>
      <c r="B1268" s="8">
        <v>42125</v>
      </c>
      <c r="C1268">
        <v>98</v>
      </c>
      <c r="D1268">
        <v>29.25</v>
      </c>
      <c r="E1268">
        <v>37.728585961100002</v>
      </c>
      <c r="F1268">
        <v>-1.24301437488</v>
      </c>
      <c r="G1268">
        <v>16</v>
      </c>
    </row>
    <row r="1269" spans="1:7" hidden="1" x14ac:dyDescent="0.25">
      <c r="A1269" t="s">
        <v>2633</v>
      </c>
      <c r="B1269" s="8">
        <v>42123</v>
      </c>
      <c r="C1269">
        <v>146</v>
      </c>
      <c r="D1269">
        <v>27.2</v>
      </c>
      <c r="E1269">
        <v>39.385451808900001</v>
      </c>
      <c r="F1269">
        <v>0.38520919283999999</v>
      </c>
      <c r="G1269">
        <v>12.2</v>
      </c>
    </row>
    <row r="1270" spans="1:7" hidden="1" x14ac:dyDescent="0.25">
      <c r="A1270" t="s">
        <v>2634</v>
      </c>
      <c r="B1270" s="8">
        <v>42123</v>
      </c>
      <c r="C1270">
        <v>58</v>
      </c>
      <c r="D1270">
        <v>18.75</v>
      </c>
      <c r="E1270">
        <v>37.0424137539</v>
      </c>
      <c r="F1270">
        <v>-1.4143976441899999</v>
      </c>
      <c r="G1270">
        <v>15</v>
      </c>
    </row>
    <row r="1271" spans="1:7" hidden="1" x14ac:dyDescent="0.25">
      <c r="A1271" t="s">
        <v>2635</v>
      </c>
      <c r="B1271" s="8">
        <v>42122</v>
      </c>
      <c r="C1271">
        <v>219</v>
      </c>
      <c r="D1271">
        <v>37</v>
      </c>
      <c r="E1271">
        <v>42.891301315699998</v>
      </c>
      <c r="F1271">
        <v>-2.0470772214299999</v>
      </c>
      <c r="G1271">
        <v>16</v>
      </c>
    </row>
    <row r="1272" spans="1:7" hidden="1" x14ac:dyDescent="0.25">
      <c r="A1272" t="s">
        <v>2636</v>
      </c>
      <c r="B1272" s="8">
        <v>42122</v>
      </c>
      <c r="C1272">
        <v>113</v>
      </c>
      <c r="D1272">
        <v>41</v>
      </c>
      <c r="E1272">
        <v>39.535012686100004</v>
      </c>
      <c r="F1272">
        <v>-1.17397163976</v>
      </c>
      <c r="G1272">
        <v>16</v>
      </c>
    </row>
    <row r="1273" spans="1:7" hidden="1" x14ac:dyDescent="0.25">
      <c r="A1273" t="s">
        <v>2637</v>
      </c>
      <c r="B1273" s="8">
        <v>42121</v>
      </c>
      <c r="C1273">
        <v>242</v>
      </c>
      <c r="D1273">
        <v>31.1</v>
      </c>
      <c r="E1273">
        <v>45.940755179600004</v>
      </c>
      <c r="F1273">
        <v>-6.8503549726899999</v>
      </c>
      <c r="G1273">
        <v>7.1</v>
      </c>
    </row>
    <row r="1274" spans="1:7" hidden="1" x14ac:dyDescent="0.25">
      <c r="A1274" t="s">
        <v>2638</v>
      </c>
      <c r="B1274" s="8">
        <v>42121</v>
      </c>
      <c r="C1274">
        <v>203</v>
      </c>
      <c r="D1274">
        <v>19.100000000000001</v>
      </c>
      <c r="E1274">
        <v>39.315817817199999</v>
      </c>
      <c r="F1274">
        <v>-8.0643771699899993</v>
      </c>
      <c r="G1274">
        <v>4.0999999999999996</v>
      </c>
    </row>
    <row r="1275" spans="1:7" hidden="1" x14ac:dyDescent="0.25">
      <c r="A1275" t="s">
        <v>2639</v>
      </c>
      <c r="B1275" s="8">
        <v>42121</v>
      </c>
      <c r="C1275">
        <v>113</v>
      </c>
      <c r="D1275">
        <v>15.6</v>
      </c>
      <c r="E1275">
        <v>44.044425694300003</v>
      </c>
      <c r="F1275">
        <v>-6.5278616444099997</v>
      </c>
      <c r="G1275">
        <v>7.1</v>
      </c>
    </row>
    <row r="1276" spans="1:7" hidden="1" x14ac:dyDescent="0.25">
      <c r="A1276" t="s">
        <v>2640</v>
      </c>
      <c r="B1276" s="8">
        <v>42120</v>
      </c>
      <c r="C1276">
        <v>266</v>
      </c>
      <c r="D1276">
        <v>19</v>
      </c>
      <c r="E1276">
        <v>56.050190838399999</v>
      </c>
      <c r="F1276">
        <v>-4.0612835367500004</v>
      </c>
      <c r="G1276">
        <v>14</v>
      </c>
    </row>
    <row r="1277" spans="1:7" hidden="1" x14ac:dyDescent="0.25">
      <c r="A1277" t="s">
        <v>2641</v>
      </c>
      <c r="B1277" s="8">
        <v>42120</v>
      </c>
      <c r="C1277">
        <v>96</v>
      </c>
      <c r="D1277">
        <v>42.35</v>
      </c>
      <c r="E1277">
        <v>34.005964473399999</v>
      </c>
      <c r="F1277">
        <v>-1.6654912844500001</v>
      </c>
      <c r="G1277">
        <v>17.100000000000001</v>
      </c>
    </row>
    <row r="1278" spans="1:7" hidden="1" x14ac:dyDescent="0.25">
      <c r="A1278" t="s">
        <v>2642</v>
      </c>
      <c r="B1278" s="8">
        <v>42119</v>
      </c>
      <c r="C1278">
        <v>147</v>
      </c>
      <c r="D1278">
        <v>30.25</v>
      </c>
      <c r="E1278">
        <v>37.411295059300002</v>
      </c>
      <c r="F1278">
        <v>-2.3691418009</v>
      </c>
      <c r="G1278">
        <v>-0.5</v>
      </c>
    </row>
    <row r="1279" spans="1:7" hidden="1" x14ac:dyDescent="0.25">
      <c r="A1279" t="s">
        <v>2643</v>
      </c>
      <c r="B1279" s="8">
        <v>42119</v>
      </c>
      <c r="C1279">
        <v>76</v>
      </c>
      <c r="D1279">
        <v>26.25</v>
      </c>
      <c r="E1279">
        <v>32.335604519699999</v>
      </c>
      <c r="F1279">
        <v>-0.72871375009100003</v>
      </c>
      <c r="G1279">
        <v>0</v>
      </c>
    </row>
    <row r="1280" spans="1:7" hidden="1" x14ac:dyDescent="0.25">
      <c r="A1280" t="s">
        <v>2644</v>
      </c>
      <c r="B1280" s="8">
        <v>42118</v>
      </c>
      <c r="C1280">
        <v>283</v>
      </c>
      <c r="D1280">
        <v>48.7</v>
      </c>
      <c r="E1280">
        <v>49.127635120199997</v>
      </c>
      <c r="F1280">
        <v>-7.6290990674300003</v>
      </c>
      <c r="G1280">
        <v>17.2</v>
      </c>
    </row>
    <row r="1281" spans="1:7" hidden="1" x14ac:dyDescent="0.25">
      <c r="A1281" t="s">
        <v>2645</v>
      </c>
      <c r="B1281" s="8">
        <v>42118</v>
      </c>
      <c r="C1281">
        <v>94</v>
      </c>
      <c r="D1281">
        <v>38.75</v>
      </c>
      <c r="E1281">
        <v>38.864981488399998</v>
      </c>
      <c r="F1281">
        <v>-2.4545940052000002</v>
      </c>
      <c r="G1281">
        <v>22</v>
      </c>
    </row>
    <row r="1282" spans="1:7" hidden="1" x14ac:dyDescent="0.25">
      <c r="A1282" t="s">
        <v>2646</v>
      </c>
      <c r="B1282" s="8">
        <v>42118</v>
      </c>
      <c r="C1282">
        <v>56</v>
      </c>
      <c r="D1282">
        <v>32.25</v>
      </c>
      <c r="E1282">
        <v>32.442632878799998</v>
      </c>
      <c r="F1282">
        <v>-0.75969738830199995</v>
      </c>
      <c r="G1282">
        <v>10</v>
      </c>
    </row>
    <row r="1283" spans="1:7" hidden="1" x14ac:dyDescent="0.25">
      <c r="A1283" t="s">
        <v>2647</v>
      </c>
      <c r="B1283" s="8">
        <v>42117</v>
      </c>
      <c r="C1283">
        <v>53</v>
      </c>
      <c r="D1283">
        <v>26.5</v>
      </c>
      <c r="E1283">
        <v>34.3601090047</v>
      </c>
      <c r="F1283">
        <v>-7.1964769825700001</v>
      </c>
      <c r="G1283">
        <v>10</v>
      </c>
    </row>
    <row r="1284" spans="1:7" hidden="1" x14ac:dyDescent="0.25">
      <c r="A1284" t="s">
        <v>2648</v>
      </c>
      <c r="B1284" s="8">
        <v>42117</v>
      </c>
      <c r="C1284">
        <v>79</v>
      </c>
      <c r="D1284">
        <v>14.75</v>
      </c>
      <c r="E1284">
        <v>36.255345154899999</v>
      </c>
      <c r="F1284">
        <v>-1.9584544055199999</v>
      </c>
      <c r="G1284">
        <v>7</v>
      </c>
    </row>
    <row r="1285" spans="1:7" hidden="1" x14ac:dyDescent="0.25">
      <c r="A1285" t="s">
        <v>2649</v>
      </c>
      <c r="B1285" s="8">
        <v>42116</v>
      </c>
      <c r="C1285">
        <v>281</v>
      </c>
      <c r="D1285">
        <v>25.25</v>
      </c>
      <c r="E1285">
        <v>41.313175822600002</v>
      </c>
      <c r="F1285">
        <v>-0.927956797748</v>
      </c>
      <c r="G1285">
        <v>19</v>
      </c>
    </row>
    <row r="1286" spans="1:7" hidden="1" x14ac:dyDescent="0.25">
      <c r="A1286" t="s">
        <v>2649</v>
      </c>
      <c r="B1286" s="8">
        <v>42116</v>
      </c>
      <c r="C1286">
        <v>261</v>
      </c>
      <c r="D1286">
        <v>25.25</v>
      </c>
      <c r="E1286">
        <v>41.313175822600002</v>
      </c>
      <c r="F1286">
        <v>-0.927956797748</v>
      </c>
      <c r="G1286">
        <v>19</v>
      </c>
    </row>
    <row r="1287" spans="1:7" hidden="1" x14ac:dyDescent="0.25">
      <c r="A1287" t="s">
        <v>2650</v>
      </c>
      <c r="B1287" s="8">
        <v>42116</v>
      </c>
      <c r="C1287">
        <v>74</v>
      </c>
      <c r="D1287">
        <v>41.35</v>
      </c>
      <c r="E1287">
        <v>35.117095925100003</v>
      </c>
      <c r="F1287">
        <v>-4.0831984629100004</v>
      </c>
      <c r="G1287">
        <v>-0.25</v>
      </c>
    </row>
    <row r="1288" spans="1:7" hidden="1" x14ac:dyDescent="0.25">
      <c r="A1288" t="s">
        <v>2651</v>
      </c>
      <c r="B1288" s="8">
        <v>42116</v>
      </c>
      <c r="C1288">
        <v>55</v>
      </c>
      <c r="D1288">
        <v>31</v>
      </c>
      <c r="E1288">
        <v>37.386483494300002</v>
      </c>
      <c r="F1288">
        <v>-0.65803306199400002</v>
      </c>
      <c r="G1288">
        <v>19</v>
      </c>
    </row>
    <row r="1289" spans="1:7" hidden="1" x14ac:dyDescent="0.25">
      <c r="A1289" t="s">
        <v>2652</v>
      </c>
      <c r="B1289" s="8">
        <v>42115</v>
      </c>
      <c r="C1289">
        <v>278</v>
      </c>
      <c r="D1289">
        <v>22.75</v>
      </c>
      <c r="E1289">
        <v>44.292969824799997</v>
      </c>
      <c r="F1289">
        <v>-7.8702097282999999</v>
      </c>
      <c r="G1289">
        <v>11</v>
      </c>
    </row>
    <row r="1290" spans="1:7" hidden="1" x14ac:dyDescent="0.25">
      <c r="A1290" t="s">
        <v>2653</v>
      </c>
      <c r="B1290" s="8">
        <v>42115</v>
      </c>
      <c r="C1290">
        <v>74</v>
      </c>
      <c r="D1290">
        <v>48</v>
      </c>
      <c r="E1290">
        <v>35.6552469433</v>
      </c>
      <c r="F1290">
        <v>-9.8267285536000006</v>
      </c>
      <c r="G1290">
        <v>1.75</v>
      </c>
    </row>
    <row r="1291" spans="1:7" hidden="1" x14ac:dyDescent="0.25">
      <c r="A1291" t="s">
        <v>2654</v>
      </c>
      <c r="B1291" s="8">
        <v>42114</v>
      </c>
      <c r="C1291">
        <v>152</v>
      </c>
      <c r="D1291">
        <v>5.75</v>
      </c>
      <c r="E1291">
        <v>41.494028785300003</v>
      </c>
      <c r="F1291">
        <v>-4.45998646429</v>
      </c>
      <c r="G1291">
        <v>0</v>
      </c>
    </row>
    <row r="1292" spans="1:7" hidden="1" x14ac:dyDescent="0.25">
      <c r="A1292" t="s">
        <v>2655</v>
      </c>
      <c r="B1292" s="8">
        <v>42114</v>
      </c>
      <c r="C1292">
        <v>57</v>
      </c>
      <c r="D1292">
        <v>26.5</v>
      </c>
      <c r="E1292">
        <v>35.395607577299998</v>
      </c>
      <c r="F1292">
        <v>-3.2081455463299999</v>
      </c>
      <c r="G1292">
        <v>15</v>
      </c>
    </row>
    <row r="1293" spans="1:7" hidden="1" x14ac:dyDescent="0.25">
      <c r="A1293" t="s">
        <v>2656</v>
      </c>
      <c r="B1293" s="8">
        <v>42113</v>
      </c>
      <c r="C1293">
        <v>284</v>
      </c>
      <c r="D1293">
        <v>32.5</v>
      </c>
      <c r="E1293">
        <v>47.522223259800001</v>
      </c>
      <c r="F1293">
        <v>-0.70017708685699998</v>
      </c>
      <c r="G1293">
        <v>13</v>
      </c>
    </row>
    <row r="1294" spans="1:7" hidden="1" x14ac:dyDescent="0.25">
      <c r="A1294" t="s">
        <v>2656</v>
      </c>
      <c r="B1294" s="8">
        <v>42113</v>
      </c>
      <c r="C1294">
        <v>211</v>
      </c>
      <c r="D1294">
        <v>32.5</v>
      </c>
      <c r="E1294">
        <v>47.522223259800001</v>
      </c>
      <c r="F1294">
        <v>-0.70017708685699998</v>
      </c>
      <c r="G1294">
        <v>13</v>
      </c>
    </row>
    <row r="1295" spans="1:7" hidden="1" x14ac:dyDescent="0.25">
      <c r="A1295" t="s">
        <v>2657</v>
      </c>
      <c r="B1295" s="8">
        <v>42113</v>
      </c>
      <c r="C1295">
        <v>74</v>
      </c>
      <c r="D1295">
        <v>45.75</v>
      </c>
      <c r="E1295">
        <v>36.363221776700001</v>
      </c>
      <c r="F1295">
        <v>-3.2350534790599998</v>
      </c>
      <c r="G1295">
        <v>-0.25</v>
      </c>
    </row>
    <row r="1296" spans="1:7" hidden="1" x14ac:dyDescent="0.25">
      <c r="A1296" t="s">
        <v>2658</v>
      </c>
      <c r="B1296" s="8">
        <v>42112</v>
      </c>
      <c r="C1296">
        <v>150</v>
      </c>
      <c r="D1296">
        <v>41.5</v>
      </c>
      <c r="E1296">
        <v>40.837754563099999</v>
      </c>
      <c r="F1296">
        <v>-3.7192153542400002</v>
      </c>
      <c r="G1296">
        <v>22</v>
      </c>
    </row>
    <row r="1297" spans="1:7" hidden="1" x14ac:dyDescent="0.25">
      <c r="A1297" t="s">
        <v>2659</v>
      </c>
      <c r="B1297" s="8">
        <v>42111</v>
      </c>
      <c r="C1297">
        <v>245</v>
      </c>
      <c r="D1297">
        <v>75.5</v>
      </c>
      <c r="E1297">
        <v>47.973834756499997</v>
      </c>
      <c r="F1297">
        <v>-0.90909786361699996</v>
      </c>
      <c r="G1297">
        <v>1.75</v>
      </c>
    </row>
    <row r="1298" spans="1:7" hidden="1" x14ac:dyDescent="0.25">
      <c r="A1298" t="s">
        <v>2660</v>
      </c>
      <c r="B1298" s="8">
        <v>42111</v>
      </c>
      <c r="C1298">
        <v>55</v>
      </c>
      <c r="D1298">
        <v>52.25</v>
      </c>
      <c r="E1298">
        <v>36.648828168500003</v>
      </c>
      <c r="F1298">
        <v>-1.8451134282199999</v>
      </c>
      <c r="G1298">
        <v>1.75</v>
      </c>
    </row>
    <row r="1299" spans="1:7" hidden="1" x14ac:dyDescent="0.25">
      <c r="A1299" t="s">
        <v>2661</v>
      </c>
      <c r="B1299" s="8">
        <v>42111</v>
      </c>
      <c r="C1299">
        <v>78</v>
      </c>
      <c r="D1299">
        <v>30</v>
      </c>
      <c r="E1299">
        <v>35.046742276499998</v>
      </c>
      <c r="F1299">
        <v>-4.0912507974399999</v>
      </c>
      <c r="G1299">
        <v>14</v>
      </c>
    </row>
    <row r="1300" spans="1:7" hidden="1" x14ac:dyDescent="0.25">
      <c r="A1300" t="s">
        <v>2662</v>
      </c>
      <c r="B1300" s="8">
        <v>42143</v>
      </c>
      <c r="C1300">
        <v>279</v>
      </c>
      <c r="D1300">
        <v>25.75</v>
      </c>
      <c r="E1300">
        <v>39.507647836799997</v>
      </c>
      <c r="F1300">
        <v>-3.32302738388</v>
      </c>
      <c r="G1300">
        <v>8</v>
      </c>
    </row>
    <row r="1301" spans="1:7" hidden="1" x14ac:dyDescent="0.25">
      <c r="A1301" t="s">
        <v>2663</v>
      </c>
      <c r="B1301" s="8">
        <v>42144</v>
      </c>
      <c r="C1301">
        <v>277</v>
      </c>
      <c r="D1301">
        <v>9.75</v>
      </c>
      <c r="E1301">
        <v>40.355075343400003</v>
      </c>
      <c r="F1301">
        <v>-0.46091825910000001</v>
      </c>
      <c r="G1301">
        <v>0</v>
      </c>
    </row>
    <row r="1302" spans="1:7" hidden="1" x14ac:dyDescent="0.25">
      <c r="A1302" t="s">
        <v>2664</v>
      </c>
      <c r="B1302" s="8">
        <v>42144</v>
      </c>
      <c r="C1302">
        <v>257</v>
      </c>
      <c r="D1302">
        <v>10</v>
      </c>
      <c r="E1302">
        <v>39.719068045699998</v>
      </c>
      <c r="F1302">
        <v>-0.58670114852499999</v>
      </c>
      <c r="G1302">
        <v>0</v>
      </c>
    </row>
    <row r="1303" spans="1:7" hidden="1" x14ac:dyDescent="0.25">
      <c r="A1303" t="s">
        <v>2665</v>
      </c>
      <c r="B1303" s="8">
        <v>42145</v>
      </c>
      <c r="C1303">
        <v>223</v>
      </c>
      <c r="D1303">
        <v>47.45</v>
      </c>
      <c r="E1303">
        <v>42.173020024300001</v>
      </c>
      <c r="F1303">
        <v>-0.95535851418600004</v>
      </c>
      <c r="G1303">
        <v>14.2</v>
      </c>
    </row>
    <row r="1304" spans="1:7" hidden="1" x14ac:dyDescent="0.25">
      <c r="A1304" t="s">
        <v>2666</v>
      </c>
      <c r="B1304" s="8">
        <v>42145</v>
      </c>
      <c r="C1304">
        <v>109</v>
      </c>
      <c r="D1304">
        <v>75.75</v>
      </c>
      <c r="E1304">
        <v>40.939235162300001</v>
      </c>
      <c r="F1304">
        <v>-8.9331822660100002</v>
      </c>
      <c r="G1304">
        <v>23</v>
      </c>
    </row>
    <row r="1305" spans="1:7" hidden="1" x14ac:dyDescent="0.25">
      <c r="A1305" t="s">
        <v>2667</v>
      </c>
      <c r="B1305" s="8">
        <v>42145</v>
      </c>
      <c r="C1305">
        <v>34</v>
      </c>
      <c r="D1305">
        <v>49.1</v>
      </c>
      <c r="E1305">
        <v>34.112448131199997</v>
      </c>
      <c r="F1305">
        <v>-9.3736723581299994</v>
      </c>
      <c r="G1305">
        <v>5.75</v>
      </c>
    </row>
    <row r="1306" spans="1:7" hidden="1" x14ac:dyDescent="0.25">
      <c r="A1306" t="s">
        <v>2668</v>
      </c>
      <c r="B1306" s="8">
        <v>42145</v>
      </c>
      <c r="C1306">
        <v>114</v>
      </c>
      <c r="D1306">
        <v>26.95</v>
      </c>
      <c r="E1306">
        <v>38.153145366300002</v>
      </c>
      <c r="F1306">
        <v>-0.51644706276700003</v>
      </c>
      <c r="G1306">
        <v>14.2</v>
      </c>
    </row>
    <row r="1307" spans="1:7" hidden="1" x14ac:dyDescent="0.25">
      <c r="A1307" t="s">
        <v>2669</v>
      </c>
      <c r="B1307" s="8">
        <v>42146</v>
      </c>
      <c r="C1307">
        <v>278</v>
      </c>
      <c r="D1307">
        <v>30.5</v>
      </c>
      <c r="E1307">
        <v>43.3522621551</v>
      </c>
      <c r="F1307">
        <v>-8.4619811541899992</v>
      </c>
      <c r="G1307">
        <v>6</v>
      </c>
    </row>
    <row r="1308" spans="1:7" hidden="1" x14ac:dyDescent="0.25">
      <c r="A1308" t="s">
        <v>2670</v>
      </c>
      <c r="B1308" s="8">
        <v>42146</v>
      </c>
      <c r="C1308">
        <v>58</v>
      </c>
      <c r="D1308">
        <v>20.5</v>
      </c>
      <c r="E1308">
        <v>32.691189507799997</v>
      </c>
      <c r="F1308">
        <v>-0.106419682046</v>
      </c>
      <c r="G1308">
        <v>5</v>
      </c>
    </row>
    <row r="1309" spans="1:7" hidden="1" x14ac:dyDescent="0.25">
      <c r="A1309" t="s">
        <v>2671</v>
      </c>
      <c r="B1309" s="8">
        <v>42147</v>
      </c>
      <c r="C1309">
        <v>118</v>
      </c>
      <c r="D1309">
        <v>19.5</v>
      </c>
      <c r="E1309">
        <v>38.0711216025</v>
      </c>
      <c r="F1309">
        <v>-1.34231374544</v>
      </c>
      <c r="G1309">
        <v>10</v>
      </c>
    </row>
    <row r="1310" spans="1:7" hidden="1" x14ac:dyDescent="0.25">
      <c r="A1310" t="s">
        <v>2672</v>
      </c>
      <c r="B1310" s="8">
        <v>42147</v>
      </c>
      <c r="C1310">
        <v>61</v>
      </c>
      <c r="D1310">
        <v>33.25</v>
      </c>
      <c r="E1310">
        <v>35.026686986199998</v>
      </c>
      <c r="F1310">
        <v>-1.29410240985</v>
      </c>
      <c r="G1310">
        <v>10</v>
      </c>
    </row>
    <row r="1311" spans="1:7" hidden="1" x14ac:dyDescent="0.25">
      <c r="A1311" t="s">
        <v>2673</v>
      </c>
      <c r="B1311" s="8">
        <v>42147</v>
      </c>
      <c r="C1311">
        <v>34</v>
      </c>
      <c r="D1311">
        <v>31.75</v>
      </c>
      <c r="E1311">
        <v>34.493319732000003</v>
      </c>
      <c r="F1311">
        <v>-0.85811281911600001</v>
      </c>
      <c r="G1311">
        <v>10</v>
      </c>
    </row>
    <row r="1312" spans="1:7" hidden="1" x14ac:dyDescent="0.25">
      <c r="A1312" t="s">
        <v>2674</v>
      </c>
      <c r="B1312" s="8">
        <v>42148</v>
      </c>
      <c r="C1312">
        <v>281</v>
      </c>
      <c r="D1312">
        <v>19.5</v>
      </c>
      <c r="E1312">
        <v>40.7351449915</v>
      </c>
      <c r="F1312">
        <v>-8.8262859657400003</v>
      </c>
      <c r="G1312">
        <v>13</v>
      </c>
    </row>
    <row r="1313" spans="1:7" hidden="1" x14ac:dyDescent="0.25">
      <c r="A1313" t="s">
        <v>2675</v>
      </c>
      <c r="B1313" s="8">
        <v>42148</v>
      </c>
      <c r="C1313">
        <v>209</v>
      </c>
      <c r="D1313">
        <v>12.25</v>
      </c>
      <c r="E1313">
        <v>40.222494924599999</v>
      </c>
      <c r="F1313">
        <v>-9.6899694009600008</v>
      </c>
      <c r="G1313">
        <v>13</v>
      </c>
    </row>
    <row r="1314" spans="1:7" hidden="1" x14ac:dyDescent="0.25">
      <c r="A1314" t="s">
        <v>2676</v>
      </c>
      <c r="B1314" s="8">
        <v>42148</v>
      </c>
      <c r="C1314">
        <v>72</v>
      </c>
      <c r="D1314">
        <v>18.75</v>
      </c>
      <c r="E1314">
        <v>31.714972428999999</v>
      </c>
      <c r="F1314">
        <v>-4.2435701267799999</v>
      </c>
      <c r="G1314">
        <v>14</v>
      </c>
    </row>
    <row r="1315" spans="1:7" hidden="1" x14ac:dyDescent="0.25">
      <c r="A1315" t="s">
        <v>2677</v>
      </c>
      <c r="B1315" s="8">
        <v>42149</v>
      </c>
      <c r="C1315">
        <v>280</v>
      </c>
      <c r="D1315">
        <v>45</v>
      </c>
      <c r="E1315">
        <v>40.496888421400001</v>
      </c>
      <c r="F1315">
        <v>-5.4947928471700003</v>
      </c>
      <c r="G1315">
        <v>13</v>
      </c>
    </row>
    <row r="1316" spans="1:7" hidden="1" x14ac:dyDescent="0.25">
      <c r="A1316" t="s">
        <v>2678</v>
      </c>
      <c r="B1316" s="8">
        <v>42149</v>
      </c>
      <c r="C1316">
        <v>96</v>
      </c>
      <c r="D1316">
        <v>37.25</v>
      </c>
      <c r="E1316">
        <v>37.350750849599997</v>
      </c>
      <c r="F1316">
        <v>-1.20414334612</v>
      </c>
      <c r="G1316">
        <v>15</v>
      </c>
    </row>
    <row r="1317" spans="1:7" hidden="1" x14ac:dyDescent="0.25">
      <c r="A1317" t="s">
        <v>2679</v>
      </c>
      <c r="B1317" s="8">
        <v>42149</v>
      </c>
      <c r="C1317">
        <v>184</v>
      </c>
      <c r="D1317">
        <v>27.7</v>
      </c>
      <c r="E1317">
        <v>37.828657354500002</v>
      </c>
      <c r="F1317">
        <v>-7.4936219177399996</v>
      </c>
      <c r="G1317">
        <v>5.2</v>
      </c>
    </row>
    <row r="1318" spans="1:7" hidden="1" x14ac:dyDescent="0.25">
      <c r="A1318" t="s">
        <v>2680</v>
      </c>
      <c r="B1318" s="8">
        <v>42150</v>
      </c>
      <c r="C1318">
        <v>279</v>
      </c>
      <c r="D1318">
        <v>50.1</v>
      </c>
      <c r="E1318">
        <v>47.667209367600002</v>
      </c>
      <c r="F1318">
        <v>-2.1706676473900002</v>
      </c>
      <c r="G1318">
        <v>14.1</v>
      </c>
    </row>
    <row r="1319" spans="1:7" hidden="1" x14ac:dyDescent="0.25">
      <c r="A1319" t="s">
        <v>2681</v>
      </c>
      <c r="B1319" s="8">
        <v>42151</v>
      </c>
      <c r="C1319">
        <v>279</v>
      </c>
      <c r="D1319">
        <v>41</v>
      </c>
      <c r="E1319">
        <v>42.731577692400002</v>
      </c>
      <c r="F1319">
        <v>-4.5586499360100001</v>
      </c>
      <c r="G1319">
        <v>21</v>
      </c>
    </row>
    <row r="1320" spans="1:7" hidden="1" x14ac:dyDescent="0.25">
      <c r="A1320" t="s">
        <v>2682</v>
      </c>
      <c r="B1320" s="8">
        <v>42151</v>
      </c>
      <c r="C1320">
        <v>166</v>
      </c>
      <c r="D1320">
        <v>49.75</v>
      </c>
      <c r="E1320">
        <v>41.5901351061</v>
      </c>
      <c r="F1320">
        <v>-3.7832401767800001</v>
      </c>
      <c r="G1320">
        <v>21</v>
      </c>
    </row>
    <row r="1321" spans="1:7" hidden="1" x14ac:dyDescent="0.25">
      <c r="A1321" t="s">
        <v>2683</v>
      </c>
      <c r="B1321" s="8">
        <v>42151</v>
      </c>
      <c r="C1321">
        <v>73</v>
      </c>
      <c r="D1321">
        <v>13.2</v>
      </c>
      <c r="E1321">
        <v>35.657248295499997</v>
      </c>
      <c r="F1321">
        <v>-1.11548593062</v>
      </c>
      <c r="G1321">
        <v>9.1999999999999993</v>
      </c>
    </row>
    <row r="1322" spans="1:7" hidden="1" x14ac:dyDescent="0.25">
      <c r="A1322" t="s">
        <v>2684</v>
      </c>
      <c r="B1322" s="8">
        <v>42151</v>
      </c>
      <c r="C1322">
        <v>93</v>
      </c>
      <c r="D1322">
        <v>51</v>
      </c>
      <c r="E1322">
        <v>41.075584275300002</v>
      </c>
      <c r="F1322">
        <v>-4.4826764724499997</v>
      </c>
      <c r="G1322">
        <v>21</v>
      </c>
    </row>
    <row r="1323" spans="1:7" hidden="1" x14ac:dyDescent="0.25">
      <c r="A1323" t="s">
        <v>2685</v>
      </c>
      <c r="B1323" s="8">
        <v>42152</v>
      </c>
      <c r="C1323">
        <v>140</v>
      </c>
      <c r="D1323">
        <v>24.7</v>
      </c>
      <c r="E1323">
        <v>170.25625807700001</v>
      </c>
      <c r="F1323">
        <v>-3.6522492445400001</v>
      </c>
      <c r="G1323">
        <v>6.2</v>
      </c>
    </row>
    <row r="1324" spans="1:7" hidden="1" x14ac:dyDescent="0.25">
      <c r="A1324" t="s">
        <v>2685</v>
      </c>
      <c r="B1324" s="8">
        <v>42152</v>
      </c>
      <c r="C1324">
        <v>140</v>
      </c>
      <c r="D1324">
        <v>24.7</v>
      </c>
      <c r="E1324">
        <v>170.25625807700001</v>
      </c>
      <c r="F1324">
        <v>-3.6522492445400001</v>
      </c>
      <c r="G1324">
        <v>6.2</v>
      </c>
    </row>
    <row r="1325" spans="1:7" hidden="1" x14ac:dyDescent="0.25">
      <c r="A1325" t="s">
        <v>2686</v>
      </c>
      <c r="B1325" s="8">
        <v>42152</v>
      </c>
      <c r="C1325">
        <v>93</v>
      </c>
      <c r="D1325">
        <v>27.45</v>
      </c>
      <c r="E1325">
        <v>168.906365373</v>
      </c>
      <c r="F1325">
        <v>-4.9132805393899996</v>
      </c>
      <c r="G1325">
        <v>6.2</v>
      </c>
    </row>
    <row r="1326" spans="1:7" hidden="1" x14ac:dyDescent="0.25">
      <c r="A1326" t="s">
        <v>2686</v>
      </c>
      <c r="B1326" s="8">
        <v>42152</v>
      </c>
      <c r="C1326">
        <v>113</v>
      </c>
      <c r="D1326">
        <v>27.45</v>
      </c>
      <c r="E1326">
        <v>168.906365373</v>
      </c>
      <c r="F1326">
        <v>-4.9132805393899996</v>
      </c>
      <c r="G1326">
        <v>6.2</v>
      </c>
    </row>
    <row r="1327" spans="1:7" hidden="1" x14ac:dyDescent="0.25">
      <c r="A1327" t="s">
        <v>2687</v>
      </c>
      <c r="B1327" s="8">
        <v>42153</v>
      </c>
      <c r="C1327">
        <v>281</v>
      </c>
      <c r="D1327">
        <v>21</v>
      </c>
      <c r="E1327">
        <v>46.948754335399997</v>
      </c>
      <c r="F1327">
        <v>-4.1805816079999998</v>
      </c>
      <c r="G1327">
        <v>-0.5</v>
      </c>
    </row>
    <row r="1328" spans="1:7" hidden="1" x14ac:dyDescent="0.25">
      <c r="A1328" t="s">
        <v>2688</v>
      </c>
      <c r="B1328" s="8">
        <v>42153</v>
      </c>
      <c r="C1328">
        <v>263</v>
      </c>
      <c r="D1328">
        <v>24.5</v>
      </c>
      <c r="E1328">
        <v>46.354607645800002</v>
      </c>
      <c r="F1328">
        <v>-4.2182366684300003</v>
      </c>
      <c r="G1328">
        <v>-0.5</v>
      </c>
    </row>
    <row r="1329" spans="1:7" hidden="1" x14ac:dyDescent="0.25">
      <c r="A1329" t="s">
        <v>2689</v>
      </c>
      <c r="B1329" s="8">
        <v>42154</v>
      </c>
      <c r="C1329">
        <v>262</v>
      </c>
      <c r="D1329">
        <v>24.7</v>
      </c>
      <c r="E1329">
        <v>42.432593316499997</v>
      </c>
      <c r="F1329">
        <v>-8.6610549790700002</v>
      </c>
      <c r="G1329">
        <v>7.2</v>
      </c>
    </row>
    <row r="1330" spans="1:7" hidden="1" x14ac:dyDescent="0.25">
      <c r="A1330" t="s">
        <v>2690</v>
      </c>
      <c r="B1330" s="8">
        <v>42154</v>
      </c>
      <c r="C1330">
        <v>130</v>
      </c>
      <c r="D1330">
        <v>12.7</v>
      </c>
      <c r="E1330">
        <v>36.878134666800001</v>
      </c>
      <c r="F1330">
        <v>-2.0330179127300001</v>
      </c>
      <c r="G1330">
        <v>-4.8</v>
      </c>
    </row>
    <row r="1331" spans="1:7" hidden="1" x14ac:dyDescent="0.25">
      <c r="A1331" t="s">
        <v>2691</v>
      </c>
      <c r="B1331" s="8">
        <v>42154</v>
      </c>
      <c r="C1331">
        <v>132</v>
      </c>
      <c r="D1331">
        <v>33.200000000000003</v>
      </c>
      <c r="E1331">
        <v>41.446424445399998</v>
      </c>
      <c r="F1331">
        <v>-9.1931766901900005</v>
      </c>
      <c r="G1331">
        <v>7.2</v>
      </c>
    </row>
    <row r="1332" spans="1:7" hidden="1" x14ac:dyDescent="0.25">
      <c r="A1332" t="s">
        <v>2692</v>
      </c>
      <c r="B1332" s="8">
        <v>42154</v>
      </c>
      <c r="C1332">
        <v>130</v>
      </c>
      <c r="D1332">
        <v>8.5</v>
      </c>
      <c r="E1332">
        <v>35.840931200699998</v>
      </c>
      <c r="F1332">
        <v>-1.7969955582399999</v>
      </c>
      <c r="G1332">
        <v>8</v>
      </c>
    </row>
    <row r="1333" spans="1:7" hidden="1" x14ac:dyDescent="0.25">
      <c r="A1333" t="s">
        <v>2693</v>
      </c>
      <c r="B1333" s="8">
        <v>42155</v>
      </c>
      <c r="C1333">
        <v>280</v>
      </c>
      <c r="D1333">
        <v>18.45</v>
      </c>
      <c r="E1333">
        <v>39.770278903200001</v>
      </c>
      <c r="F1333">
        <v>-6.5360883630300002</v>
      </c>
      <c r="G1333">
        <v>9.1999999999999993</v>
      </c>
    </row>
    <row r="1334" spans="1:7" hidden="1" x14ac:dyDescent="0.25">
      <c r="A1334" t="s">
        <v>2694</v>
      </c>
      <c r="B1334" s="8">
        <v>42155</v>
      </c>
      <c r="C1334">
        <v>94</v>
      </c>
      <c r="D1334">
        <v>15.2</v>
      </c>
      <c r="E1334">
        <v>38.048378185099999</v>
      </c>
      <c r="F1334">
        <v>-1.5992617764399999</v>
      </c>
      <c r="G1334">
        <v>9.1999999999999993</v>
      </c>
    </row>
    <row r="1335" spans="1:7" hidden="1" x14ac:dyDescent="0.25">
      <c r="A1335" t="s">
        <v>2695</v>
      </c>
      <c r="B1335" s="8">
        <v>42155</v>
      </c>
      <c r="C1335">
        <v>186</v>
      </c>
      <c r="D1335">
        <v>15.95</v>
      </c>
      <c r="E1335">
        <v>36.654763967299999</v>
      </c>
      <c r="F1335">
        <v>-2.99477645714</v>
      </c>
      <c r="G1335">
        <v>8.1999999999999993</v>
      </c>
    </row>
    <row r="1336" spans="1:7" hidden="1" x14ac:dyDescent="0.25">
      <c r="A1336" t="s">
        <v>2696</v>
      </c>
      <c r="B1336" s="8">
        <v>42155</v>
      </c>
      <c r="C1336">
        <v>112</v>
      </c>
      <c r="D1336">
        <v>19.2</v>
      </c>
      <c r="E1336">
        <v>36.467178331</v>
      </c>
      <c r="F1336">
        <v>-2.9176500213700001</v>
      </c>
      <c r="G1336">
        <v>8.1999999999999993</v>
      </c>
    </row>
    <row r="1337" spans="1:7" hidden="1" x14ac:dyDescent="0.25">
      <c r="A1337" t="s">
        <v>2697</v>
      </c>
      <c r="B1337" s="8">
        <v>42156</v>
      </c>
      <c r="C1337">
        <v>163</v>
      </c>
      <c r="D1337">
        <v>10.199999999999999</v>
      </c>
      <c r="E1337">
        <v>39.003680646299998</v>
      </c>
      <c r="F1337">
        <v>-2.7299468662600002</v>
      </c>
      <c r="G1337">
        <v>1.2</v>
      </c>
    </row>
    <row r="1338" spans="1:7" hidden="1" x14ac:dyDescent="0.25">
      <c r="A1338" t="s">
        <v>2698</v>
      </c>
      <c r="B1338" s="8">
        <v>42157</v>
      </c>
      <c r="C1338">
        <v>293</v>
      </c>
      <c r="D1338">
        <v>29.75</v>
      </c>
      <c r="E1338">
        <v>42.483922798099996</v>
      </c>
      <c r="F1338">
        <v>-0.744419742961</v>
      </c>
      <c r="G1338">
        <v>8</v>
      </c>
    </row>
    <row r="1339" spans="1:7" hidden="1" x14ac:dyDescent="0.25">
      <c r="A1339" t="s">
        <v>2698</v>
      </c>
      <c r="B1339" s="8">
        <v>42157</v>
      </c>
      <c r="C1339">
        <v>293</v>
      </c>
      <c r="D1339">
        <v>29.75</v>
      </c>
      <c r="E1339">
        <v>42.483922798099996</v>
      </c>
      <c r="F1339">
        <v>-0.744419742961</v>
      </c>
      <c r="G1339">
        <v>8</v>
      </c>
    </row>
    <row r="1340" spans="1:7" hidden="1" x14ac:dyDescent="0.25">
      <c r="A1340" t="s">
        <v>2699</v>
      </c>
      <c r="B1340" s="8">
        <v>42157</v>
      </c>
      <c r="C1340">
        <v>99</v>
      </c>
      <c r="D1340">
        <v>24.45</v>
      </c>
      <c r="E1340">
        <v>34.526905138399997</v>
      </c>
      <c r="F1340">
        <v>-9.0092628415299991</v>
      </c>
      <c r="G1340">
        <v>0.75</v>
      </c>
    </row>
    <row r="1341" spans="1:7" hidden="1" x14ac:dyDescent="0.25">
      <c r="A1341" t="s">
        <v>2700</v>
      </c>
      <c r="B1341" s="8">
        <v>42158</v>
      </c>
      <c r="C1341">
        <v>287</v>
      </c>
      <c r="D1341">
        <v>31</v>
      </c>
      <c r="E1341">
        <v>41.9890733238</v>
      </c>
      <c r="F1341">
        <v>-8.6371705003500008</v>
      </c>
      <c r="G1341">
        <v>13</v>
      </c>
    </row>
    <row r="1342" spans="1:7" hidden="1" x14ac:dyDescent="0.25">
      <c r="A1342" t="s">
        <v>2701</v>
      </c>
      <c r="B1342" s="8">
        <v>42158</v>
      </c>
      <c r="C1342">
        <v>98</v>
      </c>
      <c r="D1342">
        <v>28.85</v>
      </c>
      <c r="E1342">
        <v>34.094624969999998</v>
      </c>
      <c r="F1342">
        <v>-3.3423337602099998</v>
      </c>
      <c r="G1342">
        <v>3.1</v>
      </c>
    </row>
    <row r="1343" spans="1:7" hidden="1" x14ac:dyDescent="0.25">
      <c r="A1343" t="s">
        <v>2702</v>
      </c>
      <c r="B1343" s="8">
        <v>42158</v>
      </c>
      <c r="C1343">
        <v>55</v>
      </c>
      <c r="D1343">
        <v>46.75</v>
      </c>
      <c r="E1343">
        <v>31.9038338151</v>
      </c>
      <c r="F1343">
        <v>-5.2392676144200001</v>
      </c>
      <c r="G1343">
        <v>16</v>
      </c>
    </row>
    <row r="1344" spans="1:7" hidden="1" x14ac:dyDescent="0.25">
      <c r="A1344" t="s">
        <v>2703</v>
      </c>
      <c r="B1344" s="8">
        <v>42158</v>
      </c>
      <c r="C1344">
        <v>215</v>
      </c>
      <c r="D1344">
        <v>28.75</v>
      </c>
      <c r="E1344">
        <v>41.8312051379</v>
      </c>
      <c r="F1344">
        <v>-8.5377247298699999</v>
      </c>
      <c r="G1344">
        <v>13</v>
      </c>
    </row>
    <row r="1345" spans="1:7" hidden="1" x14ac:dyDescent="0.25">
      <c r="A1345" t="s">
        <v>2704</v>
      </c>
      <c r="B1345" s="8">
        <v>42159</v>
      </c>
      <c r="C1345">
        <v>190</v>
      </c>
      <c r="D1345">
        <v>32.5</v>
      </c>
      <c r="E1345">
        <v>39.906746498700002</v>
      </c>
      <c r="F1345">
        <v>-6.99122732954</v>
      </c>
      <c r="G1345">
        <v>17</v>
      </c>
    </row>
    <row r="1346" spans="1:7" hidden="1" x14ac:dyDescent="0.25">
      <c r="A1346" t="s">
        <v>2705</v>
      </c>
      <c r="B1346" s="8">
        <v>42159</v>
      </c>
      <c r="C1346">
        <v>130</v>
      </c>
      <c r="D1346">
        <v>27.5</v>
      </c>
      <c r="E1346">
        <v>37.513554203600002</v>
      </c>
      <c r="F1346">
        <v>-0.82170585924899997</v>
      </c>
      <c r="G1346">
        <v>17</v>
      </c>
    </row>
    <row r="1347" spans="1:7" hidden="1" x14ac:dyDescent="0.25">
      <c r="A1347" t="s">
        <v>2706</v>
      </c>
      <c r="B1347" s="8">
        <v>42159</v>
      </c>
      <c r="C1347">
        <v>60</v>
      </c>
      <c r="D1347">
        <v>29.25</v>
      </c>
      <c r="E1347">
        <v>32.086535025300002</v>
      </c>
      <c r="F1347">
        <v>-8.0032489647999991</v>
      </c>
      <c r="G1347">
        <v>15</v>
      </c>
    </row>
    <row r="1348" spans="1:7" hidden="1" x14ac:dyDescent="0.25">
      <c r="A1348" t="s">
        <v>2707</v>
      </c>
      <c r="B1348" s="8">
        <v>42160</v>
      </c>
      <c r="C1348">
        <v>280</v>
      </c>
      <c r="D1348">
        <v>24.25</v>
      </c>
      <c r="E1348">
        <v>41.399153491100002</v>
      </c>
      <c r="F1348">
        <v>-6.1516928464799996</v>
      </c>
      <c r="G1348">
        <v>11</v>
      </c>
    </row>
    <row r="1349" spans="1:7" hidden="1" x14ac:dyDescent="0.25">
      <c r="A1349" t="s">
        <v>2708</v>
      </c>
      <c r="B1349" s="8">
        <v>42160</v>
      </c>
      <c r="C1349">
        <v>54</v>
      </c>
      <c r="D1349">
        <v>22.6</v>
      </c>
      <c r="E1349">
        <v>33.059957173100003</v>
      </c>
      <c r="F1349">
        <v>-2.46904442148</v>
      </c>
      <c r="G1349">
        <v>8.1</v>
      </c>
    </row>
    <row r="1350" spans="1:7" hidden="1" x14ac:dyDescent="0.25">
      <c r="A1350" t="s">
        <v>2709</v>
      </c>
      <c r="B1350" s="8">
        <v>42160</v>
      </c>
      <c r="C1350">
        <v>77</v>
      </c>
      <c r="D1350">
        <v>25.75</v>
      </c>
      <c r="E1350">
        <v>40.000469735999999</v>
      </c>
      <c r="F1350">
        <v>-1.0886653664699999</v>
      </c>
      <c r="G1350">
        <v>11</v>
      </c>
    </row>
    <row r="1351" spans="1:7" hidden="1" x14ac:dyDescent="0.25">
      <c r="A1351" t="s">
        <v>2710</v>
      </c>
      <c r="B1351" s="8">
        <v>42161</v>
      </c>
      <c r="C1351">
        <v>134</v>
      </c>
      <c r="D1351">
        <v>35.25</v>
      </c>
      <c r="E1351">
        <v>35.901266188199997</v>
      </c>
      <c r="F1351">
        <v>-7.6274031302900003</v>
      </c>
      <c r="G1351">
        <v>23</v>
      </c>
    </row>
    <row r="1352" spans="1:7" hidden="1" x14ac:dyDescent="0.25">
      <c r="A1352" t="s">
        <v>2711</v>
      </c>
      <c r="B1352" s="8">
        <v>42161</v>
      </c>
      <c r="C1352">
        <v>110</v>
      </c>
      <c r="D1352">
        <v>29</v>
      </c>
      <c r="E1352">
        <v>39.303597586499997</v>
      </c>
      <c r="F1352">
        <v>-6.7192473467299996</v>
      </c>
      <c r="G1352">
        <v>-0.5</v>
      </c>
    </row>
    <row r="1353" spans="1:7" hidden="1" x14ac:dyDescent="0.25">
      <c r="A1353" t="s">
        <v>2712</v>
      </c>
      <c r="B1353" s="8">
        <v>42161</v>
      </c>
      <c r="C1353">
        <v>153</v>
      </c>
      <c r="D1353">
        <v>40.75</v>
      </c>
      <c r="E1353">
        <v>36.402598389600001</v>
      </c>
      <c r="F1353">
        <v>-7.0144646293499999</v>
      </c>
      <c r="G1353">
        <v>20</v>
      </c>
    </row>
    <row r="1354" spans="1:7" hidden="1" x14ac:dyDescent="0.25">
      <c r="A1354" t="s">
        <v>2713</v>
      </c>
      <c r="B1354" s="8">
        <v>42162</v>
      </c>
      <c r="C1354">
        <v>90</v>
      </c>
      <c r="D1354">
        <v>23.25</v>
      </c>
      <c r="E1354">
        <v>40.452588257599999</v>
      </c>
      <c r="F1354">
        <v>-2.5326991568200001</v>
      </c>
      <c r="G1354">
        <v>19</v>
      </c>
    </row>
    <row r="1355" spans="1:7" hidden="1" x14ac:dyDescent="0.25">
      <c r="A1355" t="s">
        <v>2714</v>
      </c>
      <c r="B1355" s="8">
        <v>42163</v>
      </c>
      <c r="C1355">
        <v>146</v>
      </c>
      <c r="D1355">
        <v>43.5</v>
      </c>
      <c r="E1355">
        <v>40.061903608900003</v>
      </c>
      <c r="F1355">
        <v>-3.8860852332000002</v>
      </c>
      <c r="G1355">
        <v>25</v>
      </c>
    </row>
    <row r="1356" spans="1:7" hidden="1" x14ac:dyDescent="0.25">
      <c r="A1356" t="s">
        <v>2715</v>
      </c>
      <c r="B1356" s="8">
        <v>42164</v>
      </c>
      <c r="C1356">
        <v>281</v>
      </c>
      <c r="D1356">
        <v>31</v>
      </c>
      <c r="E1356">
        <v>46.065518264300003</v>
      </c>
      <c r="F1356">
        <v>-6.1391487325499998</v>
      </c>
      <c r="G1356">
        <v>9</v>
      </c>
    </row>
    <row r="1357" spans="1:7" hidden="1" x14ac:dyDescent="0.25">
      <c r="A1357" t="s">
        <v>2716</v>
      </c>
      <c r="B1357" s="8">
        <v>42165</v>
      </c>
      <c r="C1357">
        <v>280</v>
      </c>
      <c r="D1357">
        <v>25.75</v>
      </c>
      <c r="E1357">
        <v>44.5291383936</v>
      </c>
      <c r="F1357">
        <v>-0.99043015124300005</v>
      </c>
      <c r="G1357">
        <v>-0.5</v>
      </c>
    </row>
    <row r="1358" spans="1:7" hidden="1" x14ac:dyDescent="0.25">
      <c r="A1358" t="s">
        <v>2717</v>
      </c>
      <c r="B1358" s="8">
        <v>42165</v>
      </c>
      <c r="C1358">
        <v>205</v>
      </c>
      <c r="D1358">
        <v>21.75</v>
      </c>
      <c r="E1358">
        <v>44.424244029999997</v>
      </c>
      <c r="F1358">
        <v>-0.57330023153800003</v>
      </c>
      <c r="G1358">
        <v>-0.5</v>
      </c>
    </row>
    <row r="1359" spans="1:7" hidden="1" x14ac:dyDescent="0.25">
      <c r="A1359" t="s">
        <v>2718</v>
      </c>
      <c r="B1359" s="8">
        <v>42165</v>
      </c>
      <c r="C1359">
        <v>57</v>
      </c>
      <c r="D1359">
        <v>24.7</v>
      </c>
      <c r="E1359">
        <v>30.7633045191</v>
      </c>
      <c r="F1359">
        <v>-0.66912273179799997</v>
      </c>
      <c r="G1359">
        <v>7.2</v>
      </c>
    </row>
    <row r="1360" spans="1:7" hidden="1" x14ac:dyDescent="0.25">
      <c r="A1360" t="s">
        <v>2719</v>
      </c>
      <c r="B1360" s="8">
        <v>42166</v>
      </c>
      <c r="C1360">
        <v>106</v>
      </c>
      <c r="D1360">
        <v>25.75</v>
      </c>
      <c r="E1360">
        <v>37.198353462</v>
      </c>
      <c r="F1360">
        <v>-4.4984630212500001</v>
      </c>
      <c r="G1360">
        <v>4</v>
      </c>
    </row>
    <row r="1361" spans="1:12" hidden="1" x14ac:dyDescent="0.25">
      <c r="A1361" t="s">
        <v>2720</v>
      </c>
      <c r="B1361" s="8">
        <v>42166</v>
      </c>
      <c r="C1361">
        <v>33</v>
      </c>
      <c r="D1361">
        <v>23.75</v>
      </c>
      <c r="E1361">
        <v>33.563446361799997</v>
      </c>
      <c r="F1361">
        <v>-4.1656604042799996</v>
      </c>
      <c r="G1361">
        <v>4</v>
      </c>
    </row>
    <row r="1362" spans="1:12" hidden="1" x14ac:dyDescent="0.25">
      <c r="A1362" t="s">
        <v>2721</v>
      </c>
      <c r="B1362" s="8">
        <v>42167</v>
      </c>
      <c r="C1362">
        <v>277</v>
      </c>
      <c r="D1362">
        <v>30.2</v>
      </c>
      <c r="E1362">
        <v>43.192153615300001</v>
      </c>
      <c r="F1362">
        <v>-9.0412088382500002</v>
      </c>
      <c r="G1362">
        <v>-0.5</v>
      </c>
    </row>
    <row r="1363" spans="1:12" hidden="1" x14ac:dyDescent="0.25">
      <c r="A1363" t="s">
        <v>2722</v>
      </c>
      <c r="B1363" s="8">
        <v>42167</v>
      </c>
      <c r="C1363">
        <v>261</v>
      </c>
      <c r="D1363">
        <v>40.450000000000003</v>
      </c>
      <c r="E1363">
        <v>42.419899853099999</v>
      </c>
      <c r="F1363">
        <v>-9.1134873671300003</v>
      </c>
      <c r="G1363">
        <v>-0.5</v>
      </c>
    </row>
    <row r="1364" spans="1:12" hidden="1" x14ac:dyDescent="0.25"/>
    <row r="1365" spans="1:12" hidden="1" x14ac:dyDescent="0.25"/>
    <row r="1366" spans="1:12" ht="15.75" hidden="1" thickBot="1" x14ac:dyDescent="0.3"/>
    <row r="1367" spans="1:12" hidden="1" x14ac:dyDescent="0.25">
      <c r="A1367" s="37" t="s">
        <v>2723</v>
      </c>
      <c r="B1367" s="38" t="s">
        <v>311</v>
      </c>
      <c r="C1367" s="38" t="s">
        <v>1545</v>
      </c>
      <c r="D1367" s="38" t="s">
        <v>1527</v>
      </c>
      <c r="E1367" s="38" t="s">
        <v>1546</v>
      </c>
      <c r="F1367" s="38" t="s">
        <v>1547</v>
      </c>
      <c r="G1367" s="40" t="s">
        <v>1861</v>
      </c>
      <c r="H1367" s="38" t="s">
        <v>1862</v>
      </c>
      <c r="I1367" s="38"/>
      <c r="J1367" s="65" t="s">
        <v>1989</v>
      </c>
      <c r="K1367" s="66" t="s">
        <v>1990</v>
      </c>
      <c r="L1367" s="67" t="s">
        <v>1991</v>
      </c>
    </row>
    <row r="1368" spans="1:12" hidden="1" x14ac:dyDescent="0.25">
      <c r="A1368" s="30" t="s">
        <v>2724</v>
      </c>
      <c r="B1368" s="8">
        <v>42138</v>
      </c>
      <c r="C1368" s="30">
        <v>207</v>
      </c>
      <c r="D1368" s="30">
        <v>37.75</v>
      </c>
      <c r="E1368" s="30">
        <v>41.983244988400003</v>
      </c>
      <c r="F1368" s="30">
        <v>-6.7536431595000002</v>
      </c>
      <c r="G1368" s="30">
        <v>14</v>
      </c>
      <c r="H1368" s="30"/>
      <c r="I1368" s="30"/>
      <c r="J1368" s="68">
        <f>AVERAGE(D1368:D1505)</f>
        <v>31.066666666666638</v>
      </c>
      <c r="K1368" s="68">
        <f>_xlfn.STDEV.P(D1368:D1505)</f>
        <v>11.883419720400751</v>
      </c>
      <c r="L1368" s="68">
        <f>MEDIAN(D1368:D1505)</f>
        <v>31.5</v>
      </c>
    </row>
    <row r="1369" spans="1:12" hidden="1" x14ac:dyDescent="0.25">
      <c r="A1369" t="s">
        <v>2725</v>
      </c>
      <c r="B1369" s="8">
        <v>42138</v>
      </c>
      <c r="C1369">
        <v>94</v>
      </c>
      <c r="D1369">
        <v>24</v>
      </c>
      <c r="E1369">
        <v>34.982446940499997</v>
      </c>
      <c r="F1369">
        <v>-7.0402885324</v>
      </c>
      <c r="G1369">
        <v>-0.25</v>
      </c>
    </row>
    <row r="1370" spans="1:12" hidden="1" x14ac:dyDescent="0.25">
      <c r="A1370" t="s">
        <v>2726</v>
      </c>
      <c r="B1370" s="8">
        <v>42138</v>
      </c>
      <c r="C1370">
        <v>113</v>
      </c>
      <c r="D1370">
        <v>35</v>
      </c>
      <c r="E1370">
        <v>39.711066987099997</v>
      </c>
      <c r="F1370">
        <v>-0.58281652905699999</v>
      </c>
      <c r="G1370">
        <v>14</v>
      </c>
    </row>
    <row r="1371" spans="1:12" hidden="1" x14ac:dyDescent="0.25">
      <c r="A1371" t="s">
        <v>2727</v>
      </c>
      <c r="B1371" s="8">
        <v>42138</v>
      </c>
      <c r="C1371">
        <v>37</v>
      </c>
      <c r="D1371">
        <v>28.85</v>
      </c>
      <c r="E1371">
        <v>31.2051718833</v>
      </c>
      <c r="F1371">
        <v>-5.9418705704999999</v>
      </c>
      <c r="G1371">
        <v>4.0999999999999996</v>
      </c>
    </row>
    <row r="1372" spans="1:12" hidden="1" x14ac:dyDescent="0.25">
      <c r="A1372" t="s">
        <v>2728</v>
      </c>
      <c r="B1372" s="8">
        <v>42139</v>
      </c>
      <c r="C1372">
        <v>279</v>
      </c>
      <c r="D1372">
        <v>58.45</v>
      </c>
      <c r="E1372">
        <v>44.780454990800003</v>
      </c>
      <c r="F1372">
        <v>-5.2262596967999997</v>
      </c>
      <c r="G1372">
        <v>1.75</v>
      </c>
    </row>
    <row r="1373" spans="1:12" hidden="1" x14ac:dyDescent="0.25">
      <c r="A1373" t="s">
        <v>2729</v>
      </c>
      <c r="B1373" s="8">
        <v>42139</v>
      </c>
      <c r="C1373">
        <v>262</v>
      </c>
      <c r="D1373">
        <v>47.95</v>
      </c>
      <c r="E1373">
        <v>43.489761487599999</v>
      </c>
      <c r="F1373">
        <v>-5.8598985516299997</v>
      </c>
      <c r="G1373">
        <v>1.75</v>
      </c>
    </row>
    <row r="1374" spans="1:12" hidden="1" x14ac:dyDescent="0.25">
      <c r="A1374" t="s">
        <v>2730</v>
      </c>
      <c r="B1374" s="8">
        <v>42140</v>
      </c>
      <c r="C1374">
        <v>275</v>
      </c>
      <c r="D1374">
        <v>49.25</v>
      </c>
      <c r="E1374">
        <v>47.365733391200003</v>
      </c>
      <c r="F1374">
        <v>-1.5499033843400001</v>
      </c>
      <c r="G1374">
        <v>15</v>
      </c>
    </row>
    <row r="1375" spans="1:12" hidden="1" x14ac:dyDescent="0.25">
      <c r="A1375" t="s">
        <v>2731</v>
      </c>
      <c r="B1375" s="8">
        <v>42140</v>
      </c>
      <c r="C1375">
        <v>71</v>
      </c>
      <c r="D1375">
        <v>35.25</v>
      </c>
      <c r="E1375">
        <v>39.337497509199999</v>
      </c>
      <c r="F1375">
        <v>-3.55224532615</v>
      </c>
      <c r="G1375">
        <v>1</v>
      </c>
    </row>
    <row r="1376" spans="1:12" hidden="1" x14ac:dyDescent="0.25">
      <c r="A1376" t="s">
        <v>2732</v>
      </c>
      <c r="B1376" s="8">
        <v>42140</v>
      </c>
      <c r="C1376">
        <v>204</v>
      </c>
      <c r="D1376">
        <v>37.25</v>
      </c>
      <c r="E1376">
        <v>44.529494786000001</v>
      </c>
      <c r="F1376">
        <v>-1.7290248003199999</v>
      </c>
      <c r="G1376">
        <v>15</v>
      </c>
    </row>
    <row r="1377" spans="1:7" hidden="1" x14ac:dyDescent="0.25">
      <c r="A1377" t="s">
        <v>2733</v>
      </c>
      <c r="B1377" s="8">
        <v>42141</v>
      </c>
      <c r="C1377">
        <v>279</v>
      </c>
      <c r="D1377">
        <v>14.5</v>
      </c>
      <c r="E1377">
        <v>44.167087606800003</v>
      </c>
      <c r="F1377">
        <v>-1.5971925116800001</v>
      </c>
      <c r="G1377">
        <v>-0.5</v>
      </c>
    </row>
    <row r="1378" spans="1:7" hidden="1" x14ac:dyDescent="0.25">
      <c r="A1378" t="s">
        <v>2734</v>
      </c>
      <c r="B1378" s="8">
        <v>42141</v>
      </c>
      <c r="C1378">
        <v>97</v>
      </c>
      <c r="D1378">
        <v>25.75</v>
      </c>
      <c r="E1378">
        <v>39.008712735099998</v>
      </c>
      <c r="F1378">
        <v>-1.4124706573200001</v>
      </c>
      <c r="G1378">
        <v>-0.5</v>
      </c>
    </row>
    <row r="1379" spans="1:7" hidden="1" x14ac:dyDescent="0.25">
      <c r="A1379" t="s">
        <v>2735</v>
      </c>
      <c r="B1379" s="8">
        <v>42141</v>
      </c>
      <c r="C1379">
        <v>187</v>
      </c>
      <c r="D1379">
        <v>3</v>
      </c>
      <c r="E1379">
        <v>42.199464968000001</v>
      </c>
      <c r="F1379">
        <v>-0.97498298781199999</v>
      </c>
      <c r="G1379">
        <v>-0.5</v>
      </c>
    </row>
    <row r="1380" spans="1:7" hidden="1" x14ac:dyDescent="0.25">
      <c r="A1380" t="s">
        <v>2736</v>
      </c>
      <c r="B1380" s="8">
        <v>42141</v>
      </c>
      <c r="C1380">
        <v>92</v>
      </c>
      <c r="D1380">
        <v>49.1</v>
      </c>
      <c r="E1380">
        <v>37.574377560199999</v>
      </c>
      <c r="F1380">
        <v>-2.45432382667</v>
      </c>
      <c r="G1380">
        <v>1.75</v>
      </c>
    </row>
    <row r="1381" spans="1:7" hidden="1" x14ac:dyDescent="0.25">
      <c r="A1381" t="s">
        <v>2737</v>
      </c>
      <c r="B1381" s="8">
        <v>42142</v>
      </c>
      <c r="C1381">
        <v>130</v>
      </c>
      <c r="D1381">
        <v>32.75</v>
      </c>
      <c r="E1381">
        <v>41.943529868100001</v>
      </c>
      <c r="F1381">
        <v>-5.8870994237999996</v>
      </c>
      <c r="G1381">
        <v>14</v>
      </c>
    </row>
    <row r="1382" spans="1:7" hidden="1" x14ac:dyDescent="0.25">
      <c r="A1382" t="s">
        <v>2738</v>
      </c>
      <c r="B1382" s="8">
        <v>42142</v>
      </c>
      <c r="C1382">
        <v>110</v>
      </c>
      <c r="D1382">
        <v>20</v>
      </c>
      <c r="E1382">
        <v>41.781276103400003</v>
      </c>
      <c r="F1382">
        <v>-5.8039378344100001</v>
      </c>
      <c r="G1382">
        <v>14</v>
      </c>
    </row>
    <row r="1383" spans="1:7" hidden="1" x14ac:dyDescent="0.25">
      <c r="A1383" t="s">
        <v>2739</v>
      </c>
      <c r="B1383" s="8">
        <v>42137</v>
      </c>
      <c r="C1383">
        <v>39</v>
      </c>
      <c r="D1383">
        <v>28.75</v>
      </c>
      <c r="E1383">
        <v>31.162623561899998</v>
      </c>
      <c r="F1383">
        <v>-1.4741623666000001</v>
      </c>
      <c r="G1383">
        <v>18</v>
      </c>
    </row>
    <row r="1384" spans="1:7" hidden="1" x14ac:dyDescent="0.25">
      <c r="A1384" t="s">
        <v>2740</v>
      </c>
      <c r="B1384" s="8">
        <v>42136</v>
      </c>
      <c r="C1384">
        <v>278</v>
      </c>
      <c r="D1384">
        <v>32.950000000000003</v>
      </c>
      <c r="E1384">
        <v>39.3623062291</v>
      </c>
      <c r="F1384">
        <v>-8.9712677881099996</v>
      </c>
      <c r="G1384">
        <v>4.2</v>
      </c>
    </row>
    <row r="1385" spans="1:7" hidden="1" x14ac:dyDescent="0.25">
      <c r="A1385" t="s">
        <v>2740</v>
      </c>
      <c r="B1385" s="8">
        <v>42136</v>
      </c>
      <c r="C1385">
        <v>258</v>
      </c>
      <c r="D1385">
        <v>32.950000000000003</v>
      </c>
      <c r="E1385">
        <v>39.3623062291</v>
      </c>
      <c r="F1385">
        <v>-8.9712677881099996</v>
      </c>
      <c r="G1385">
        <v>4.2</v>
      </c>
    </row>
    <row r="1386" spans="1:7" hidden="1" x14ac:dyDescent="0.25">
      <c r="A1386" t="s">
        <v>2741</v>
      </c>
      <c r="B1386" s="8">
        <v>42136</v>
      </c>
      <c r="C1386">
        <v>113</v>
      </c>
      <c r="D1386">
        <v>41.5</v>
      </c>
      <c r="E1386">
        <v>37.638647799899999</v>
      </c>
      <c r="F1386">
        <v>-1.33673756503</v>
      </c>
      <c r="G1386">
        <v>-0.5</v>
      </c>
    </row>
    <row r="1387" spans="1:7" hidden="1" x14ac:dyDescent="0.25">
      <c r="A1387" t="s">
        <v>2742</v>
      </c>
      <c r="B1387" s="8">
        <v>42136</v>
      </c>
      <c r="C1387">
        <v>92</v>
      </c>
      <c r="D1387">
        <v>26.7</v>
      </c>
      <c r="E1387">
        <v>35.334841029099998</v>
      </c>
      <c r="F1387">
        <v>-8.6421204205700004</v>
      </c>
      <c r="G1387">
        <v>4.2</v>
      </c>
    </row>
    <row r="1388" spans="1:7" hidden="1" x14ac:dyDescent="0.25">
      <c r="A1388" t="s">
        <v>2743</v>
      </c>
      <c r="B1388" s="8">
        <v>42136</v>
      </c>
      <c r="C1388">
        <v>73</v>
      </c>
      <c r="D1388">
        <v>42</v>
      </c>
      <c r="E1388">
        <v>36.224463958100003</v>
      </c>
      <c r="F1388">
        <v>-1.3920714830000001</v>
      </c>
      <c r="G1388">
        <v>21</v>
      </c>
    </row>
    <row r="1389" spans="1:7" hidden="1" x14ac:dyDescent="0.25">
      <c r="A1389" t="s">
        <v>2744</v>
      </c>
      <c r="B1389" s="8">
        <v>42135</v>
      </c>
      <c r="C1389">
        <v>184</v>
      </c>
      <c r="D1389">
        <v>35.75</v>
      </c>
      <c r="E1389">
        <v>45.958343947099998</v>
      </c>
      <c r="F1389">
        <v>-3.8055285542899999</v>
      </c>
      <c r="G1389">
        <v>13</v>
      </c>
    </row>
    <row r="1390" spans="1:7" hidden="1" x14ac:dyDescent="0.25">
      <c r="A1390" t="s">
        <v>2745</v>
      </c>
      <c r="B1390" s="8">
        <v>42135</v>
      </c>
      <c r="C1390">
        <v>55</v>
      </c>
      <c r="D1390">
        <v>32.5</v>
      </c>
      <c r="E1390">
        <v>35.850508248300002</v>
      </c>
      <c r="F1390">
        <v>-6.1230226097499996</v>
      </c>
      <c r="G1390">
        <v>11</v>
      </c>
    </row>
    <row r="1391" spans="1:7" hidden="1" x14ac:dyDescent="0.25">
      <c r="A1391" t="s">
        <v>2746</v>
      </c>
      <c r="B1391" s="8">
        <v>42135</v>
      </c>
      <c r="C1391">
        <v>37</v>
      </c>
      <c r="D1391">
        <v>42.25</v>
      </c>
      <c r="E1391">
        <v>38.8202429225</v>
      </c>
      <c r="F1391">
        <v>-1.31977863492</v>
      </c>
      <c r="G1391">
        <v>13</v>
      </c>
    </row>
    <row r="1392" spans="1:7" hidden="1" x14ac:dyDescent="0.25">
      <c r="A1392" t="s">
        <v>2747</v>
      </c>
      <c r="B1392" s="8">
        <v>42134</v>
      </c>
      <c r="C1392">
        <v>280</v>
      </c>
      <c r="D1392">
        <v>39.25</v>
      </c>
      <c r="E1392">
        <v>45.615151990599998</v>
      </c>
      <c r="F1392">
        <v>-7.0512612941999997</v>
      </c>
      <c r="G1392">
        <v>15</v>
      </c>
    </row>
    <row r="1393" spans="1:7" hidden="1" x14ac:dyDescent="0.25">
      <c r="A1393" t="s">
        <v>2748</v>
      </c>
      <c r="B1393" s="8">
        <v>42134</v>
      </c>
      <c r="C1393">
        <v>169</v>
      </c>
      <c r="D1393">
        <v>35.25</v>
      </c>
      <c r="E1393">
        <v>44.351498732800003</v>
      </c>
      <c r="F1393">
        <v>-6.9875285087199996</v>
      </c>
      <c r="G1393">
        <v>21</v>
      </c>
    </row>
    <row r="1394" spans="1:7" hidden="1" x14ac:dyDescent="0.25">
      <c r="A1394" t="s">
        <v>2749</v>
      </c>
      <c r="B1394" s="8">
        <v>42134</v>
      </c>
      <c r="C1394">
        <v>91</v>
      </c>
      <c r="D1394">
        <v>46.5</v>
      </c>
      <c r="E1394">
        <v>38.029019281499998</v>
      </c>
      <c r="F1394">
        <v>-7.4135475076399997</v>
      </c>
      <c r="G1394">
        <v>15</v>
      </c>
    </row>
    <row r="1395" spans="1:7" hidden="1" x14ac:dyDescent="0.25">
      <c r="A1395" t="s">
        <v>2750</v>
      </c>
      <c r="B1395" s="8">
        <v>42133</v>
      </c>
      <c r="C1395">
        <v>158</v>
      </c>
      <c r="D1395">
        <v>44.85</v>
      </c>
      <c r="E1395">
        <v>40.520851542999999</v>
      </c>
      <c r="F1395">
        <v>-2.8013600516600001</v>
      </c>
      <c r="G1395">
        <v>15.1</v>
      </c>
    </row>
    <row r="1396" spans="1:7" hidden="1" x14ac:dyDescent="0.25">
      <c r="A1396" t="s">
        <v>2751</v>
      </c>
      <c r="B1396" s="8">
        <v>42133</v>
      </c>
      <c r="C1396">
        <v>57</v>
      </c>
      <c r="D1396">
        <v>32.950000000000003</v>
      </c>
      <c r="E1396">
        <v>34.085833220399998</v>
      </c>
      <c r="F1396">
        <v>-0.58011792096699999</v>
      </c>
      <c r="G1396">
        <v>6.2</v>
      </c>
    </row>
    <row r="1397" spans="1:7" hidden="1" x14ac:dyDescent="0.25">
      <c r="A1397" t="s">
        <v>2752</v>
      </c>
      <c r="B1397" s="8">
        <v>42132</v>
      </c>
      <c r="C1397">
        <v>263</v>
      </c>
      <c r="D1397">
        <v>31.25</v>
      </c>
      <c r="E1397">
        <v>108.20631047000001</v>
      </c>
      <c r="F1397">
        <v>-1.74111093435</v>
      </c>
      <c r="G1397">
        <v>9</v>
      </c>
    </row>
    <row r="1398" spans="1:7" hidden="1" x14ac:dyDescent="0.25">
      <c r="A1398" t="s">
        <v>2753</v>
      </c>
      <c r="B1398" s="8">
        <v>42131</v>
      </c>
      <c r="C1398">
        <v>112</v>
      </c>
      <c r="D1398">
        <v>42.85</v>
      </c>
      <c r="E1398">
        <v>41.334542859599999</v>
      </c>
      <c r="F1398">
        <v>-0.34378501542000001</v>
      </c>
      <c r="G1398">
        <v>12.1</v>
      </c>
    </row>
    <row r="1399" spans="1:7" hidden="1" x14ac:dyDescent="0.25">
      <c r="A1399" t="s">
        <v>2754</v>
      </c>
      <c r="B1399" s="8">
        <v>42130</v>
      </c>
      <c r="C1399">
        <v>224</v>
      </c>
      <c r="D1399">
        <v>33.5</v>
      </c>
      <c r="E1399">
        <v>43.588406127799999</v>
      </c>
      <c r="F1399">
        <v>-9.23972257446</v>
      </c>
      <c r="G1399">
        <v>19</v>
      </c>
    </row>
    <row r="1400" spans="1:7" hidden="1" x14ac:dyDescent="0.25">
      <c r="A1400" t="s">
        <v>2755</v>
      </c>
      <c r="B1400" s="8">
        <v>42129</v>
      </c>
      <c r="C1400">
        <v>261</v>
      </c>
      <c r="D1400">
        <v>28</v>
      </c>
      <c r="E1400">
        <v>46.028462970900001</v>
      </c>
      <c r="F1400">
        <v>-5.0302700167200003</v>
      </c>
      <c r="G1400">
        <v>12</v>
      </c>
    </row>
    <row r="1401" spans="1:7" hidden="1" x14ac:dyDescent="0.25">
      <c r="A1401" t="s">
        <v>2756</v>
      </c>
      <c r="B1401" s="8">
        <v>42128</v>
      </c>
      <c r="C1401">
        <v>188</v>
      </c>
      <c r="D1401">
        <v>45</v>
      </c>
      <c r="E1401">
        <v>49.384068702199997</v>
      </c>
      <c r="F1401">
        <v>-5.9041631143500002</v>
      </c>
      <c r="G1401">
        <v>18</v>
      </c>
    </row>
    <row r="1402" spans="1:7" hidden="1" x14ac:dyDescent="0.25">
      <c r="A1402" t="s">
        <v>2757</v>
      </c>
      <c r="B1402" s="8">
        <v>42128</v>
      </c>
      <c r="C1402">
        <v>58</v>
      </c>
      <c r="D1402">
        <v>33.5</v>
      </c>
      <c r="E1402">
        <v>45.1309091432</v>
      </c>
      <c r="F1402">
        <v>-5.8182383676000002</v>
      </c>
      <c r="G1402">
        <v>7</v>
      </c>
    </row>
    <row r="1403" spans="1:7" hidden="1" x14ac:dyDescent="0.25">
      <c r="A1403" t="s">
        <v>2758</v>
      </c>
      <c r="B1403" s="8">
        <v>42128</v>
      </c>
      <c r="C1403">
        <v>38</v>
      </c>
      <c r="D1403">
        <v>30.75</v>
      </c>
      <c r="E1403">
        <v>35.420352279799999</v>
      </c>
      <c r="F1403">
        <v>-0.321821827896</v>
      </c>
      <c r="G1403">
        <v>18</v>
      </c>
    </row>
    <row r="1404" spans="1:7" hidden="1" x14ac:dyDescent="0.25">
      <c r="A1404" t="s">
        <v>2759</v>
      </c>
      <c r="B1404" s="8">
        <v>42127</v>
      </c>
      <c r="C1404">
        <v>73</v>
      </c>
      <c r="D1404">
        <v>24.35</v>
      </c>
      <c r="E1404">
        <v>32.376641096299998</v>
      </c>
      <c r="F1404">
        <v>-1.98067282103</v>
      </c>
      <c r="G1404">
        <v>11.1</v>
      </c>
    </row>
    <row r="1405" spans="1:7" hidden="1" x14ac:dyDescent="0.25">
      <c r="A1405" t="s">
        <v>2760</v>
      </c>
      <c r="B1405" s="8">
        <v>42126</v>
      </c>
      <c r="C1405">
        <v>279</v>
      </c>
      <c r="D1405">
        <v>36.25</v>
      </c>
      <c r="E1405">
        <v>49.8983902003</v>
      </c>
      <c r="F1405">
        <v>-9.5246846422499996</v>
      </c>
      <c r="G1405">
        <v>7</v>
      </c>
    </row>
    <row r="1406" spans="1:7" hidden="1" x14ac:dyDescent="0.25">
      <c r="A1406" t="s">
        <v>2761</v>
      </c>
      <c r="B1406" s="8">
        <v>42126</v>
      </c>
      <c r="C1406">
        <v>129</v>
      </c>
      <c r="D1406">
        <v>44.5</v>
      </c>
      <c r="E1406">
        <v>48.640698937000003</v>
      </c>
      <c r="F1406">
        <v>-9.4894247780200001</v>
      </c>
      <c r="G1406">
        <v>7</v>
      </c>
    </row>
    <row r="1407" spans="1:7" hidden="1" x14ac:dyDescent="0.25">
      <c r="A1407" t="s">
        <v>2762</v>
      </c>
      <c r="B1407" s="8">
        <v>42126</v>
      </c>
      <c r="C1407">
        <v>150</v>
      </c>
      <c r="D1407">
        <v>36</v>
      </c>
      <c r="E1407">
        <v>38.159327724900002</v>
      </c>
      <c r="F1407">
        <v>-0.20769772637299999</v>
      </c>
      <c r="G1407">
        <v>15</v>
      </c>
    </row>
    <row r="1408" spans="1:7" hidden="1" x14ac:dyDescent="0.25">
      <c r="A1408" t="s">
        <v>2763</v>
      </c>
      <c r="B1408" s="8">
        <v>42126</v>
      </c>
      <c r="C1408">
        <v>54</v>
      </c>
      <c r="D1408">
        <v>34.25</v>
      </c>
      <c r="E1408">
        <v>42.799674669300003</v>
      </c>
      <c r="F1408">
        <v>-1.8288176011499999</v>
      </c>
      <c r="G1408">
        <v>4</v>
      </c>
    </row>
    <row r="1409" spans="1:7" hidden="1" x14ac:dyDescent="0.25">
      <c r="A1409" t="s">
        <v>2764</v>
      </c>
      <c r="B1409" s="8">
        <v>42125</v>
      </c>
      <c r="C1409">
        <v>260</v>
      </c>
      <c r="D1409">
        <v>33.25</v>
      </c>
      <c r="E1409">
        <v>45.004130959599998</v>
      </c>
      <c r="F1409">
        <v>-3.7532821523300002</v>
      </c>
      <c r="G1409">
        <v>-0.25</v>
      </c>
    </row>
    <row r="1410" spans="1:7" hidden="1" x14ac:dyDescent="0.25">
      <c r="A1410" t="s">
        <v>2765</v>
      </c>
      <c r="B1410" s="8">
        <v>42125</v>
      </c>
      <c r="C1410">
        <v>98</v>
      </c>
      <c r="D1410">
        <v>26.75</v>
      </c>
      <c r="E1410">
        <v>37.200296910799999</v>
      </c>
      <c r="F1410">
        <v>-1.2900232890100001</v>
      </c>
      <c r="G1410">
        <v>16</v>
      </c>
    </row>
    <row r="1411" spans="1:7" hidden="1" x14ac:dyDescent="0.25">
      <c r="A1411" t="s">
        <v>2766</v>
      </c>
      <c r="B1411" s="8">
        <v>42123</v>
      </c>
      <c r="C1411">
        <v>146</v>
      </c>
      <c r="D1411">
        <v>27.2</v>
      </c>
      <c r="E1411">
        <v>39.484763598400001</v>
      </c>
      <c r="F1411">
        <v>0.51161082712899997</v>
      </c>
      <c r="G1411">
        <v>12.2</v>
      </c>
    </row>
    <row r="1412" spans="1:7" hidden="1" x14ac:dyDescent="0.25">
      <c r="A1412" t="s">
        <v>2767</v>
      </c>
      <c r="B1412" s="8">
        <v>42123</v>
      </c>
      <c r="C1412">
        <v>58</v>
      </c>
      <c r="D1412">
        <v>17.5</v>
      </c>
      <c r="E1412">
        <v>38.8228564283</v>
      </c>
      <c r="F1412">
        <v>-2.4047824424500002</v>
      </c>
      <c r="G1412">
        <v>0.5</v>
      </c>
    </row>
    <row r="1413" spans="1:7" hidden="1" x14ac:dyDescent="0.25">
      <c r="A1413" t="s">
        <v>2768</v>
      </c>
      <c r="B1413" s="8">
        <v>42122</v>
      </c>
      <c r="C1413">
        <v>219</v>
      </c>
      <c r="D1413">
        <v>37</v>
      </c>
      <c r="E1413">
        <v>42.731292228000001</v>
      </c>
      <c r="F1413">
        <v>-2.0047556122199999</v>
      </c>
      <c r="G1413">
        <v>16</v>
      </c>
    </row>
    <row r="1414" spans="1:7" hidden="1" x14ac:dyDescent="0.25">
      <c r="A1414" t="s">
        <v>2769</v>
      </c>
      <c r="B1414" s="8">
        <v>42122</v>
      </c>
      <c r="C1414">
        <v>113</v>
      </c>
      <c r="D1414">
        <v>41</v>
      </c>
      <c r="E1414">
        <v>39.082959221899998</v>
      </c>
      <c r="F1414">
        <v>-1.32223567893</v>
      </c>
      <c r="G1414">
        <v>16</v>
      </c>
    </row>
    <row r="1415" spans="1:7" hidden="1" x14ac:dyDescent="0.25">
      <c r="A1415" t="s">
        <v>2770</v>
      </c>
      <c r="B1415" s="8">
        <v>42121</v>
      </c>
      <c r="C1415">
        <v>242</v>
      </c>
      <c r="D1415">
        <v>37.5</v>
      </c>
      <c r="E1415">
        <v>44.5608429173</v>
      </c>
      <c r="F1415">
        <v>-8.4529801251399999</v>
      </c>
      <c r="G1415">
        <v>16</v>
      </c>
    </row>
    <row r="1416" spans="1:7" hidden="1" x14ac:dyDescent="0.25">
      <c r="A1416" t="s">
        <v>2771</v>
      </c>
      <c r="B1416" s="8">
        <v>42121</v>
      </c>
      <c r="C1416">
        <v>203</v>
      </c>
      <c r="D1416">
        <v>30</v>
      </c>
      <c r="E1416">
        <v>40.577414838800003</v>
      </c>
      <c r="F1416">
        <v>-9.0677193925899999</v>
      </c>
      <c r="G1416">
        <v>16</v>
      </c>
    </row>
    <row r="1417" spans="1:7" hidden="1" x14ac:dyDescent="0.25">
      <c r="A1417" t="s">
        <v>2772</v>
      </c>
      <c r="B1417" s="8">
        <v>42121</v>
      </c>
      <c r="C1417">
        <v>113</v>
      </c>
      <c r="D1417">
        <v>20.85</v>
      </c>
      <c r="E1417">
        <v>41.437554142899998</v>
      </c>
      <c r="F1417">
        <v>-6.2891599072700002</v>
      </c>
      <c r="G1417">
        <v>7.1</v>
      </c>
    </row>
    <row r="1418" spans="1:7" hidden="1" x14ac:dyDescent="0.25">
      <c r="A1418" t="s">
        <v>2773</v>
      </c>
      <c r="B1418" s="8">
        <v>42120</v>
      </c>
      <c r="C1418">
        <v>266</v>
      </c>
      <c r="D1418">
        <v>18.75</v>
      </c>
      <c r="E1418">
        <v>55.882008149199997</v>
      </c>
      <c r="F1418">
        <v>-6.0305797391000002</v>
      </c>
      <c r="G1418">
        <v>14</v>
      </c>
    </row>
    <row r="1419" spans="1:7" hidden="1" x14ac:dyDescent="0.25">
      <c r="A1419" t="s">
        <v>2774</v>
      </c>
      <c r="B1419" s="8">
        <v>42120</v>
      </c>
      <c r="C1419">
        <v>96</v>
      </c>
      <c r="D1419">
        <v>34.6</v>
      </c>
      <c r="E1419">
        <v>33.882499506400002</v>
      </c>
      <c r="F1419">
        <v>-1.73215533444</v>
      </c>
      <c r="G1419">
        <v>17.100000000000001</v>
      </c>
    </row>
    <row r="1420" spans="1:7" hidden="1" x14ac:dyDescent="0.25">
      <c r="A1420" t="s">
        <v>2775</v>
      </c>
      <c r="B1420" s="8">
        <v>42119</v>
      </c>
      <c r="C1420">
        <v>147</v>
      </c>
      <c r="D1420">
        <v>38.75</v>
      </c>
      <c r="E1420">
        <v>43.052124853800002</v>
      </c>
      <c r="F1420">
        <v>-3.8718810263600001</v>
      </c>
      <c r="G1420">
        <v>-0.5</v>
      </c>
    </row>
    <row r="1421" spans="1:7" hidden="1" x14ac:dyDescent="0.25">
      <c r="A1421" t="s">
        <v>2776</v>
      </c>
      <c r="B1421" s="8">
        <v>42119</v>
      </c>
      <c r="C1421">
        <v>76</v>
      </c>
      <c r="D1421">
        <v>34.5</v>
      </c>
      <c r="E1421">
        <v>32.740836396699997</v>
      </c>
      <c r="F1421">
        <v>-1.7920897247900001</v>
      </c>
      <c r="G1421">
        <v>0</v>
      </c>
    </row>
    <row r="1422" spans="1:7" hidden="1" x14ac:dyDescent="0.25">
      <c r="A1422" t="s">
        <v>2777</v>
      </c>
      <c r="B1422" s="8">
        <v>42118</v>
      </c>
      <c r="C1422">
        <v>283</v>
      </c>
      <c r="D1422">
        <v>48.7</v>
      </c>
      <c r="E1422">
        <v>53.522381273800001</v>
      </c>
      <c r="F1422">
        <v>-7.5691642971400004</v>
      </c>
      <c r="G1422">
        <v>17.2</v>
      </c>
    </row>
    <row r="1423" spans="1:7" hidden="1" x14ac:dyDescent="0.25">
      <c r="A1423" t="s">
        <v>2778</v>
      </c>
      <c r="B1423" s="8">
        <v>42118</v>
      </c>
      <c r="C1423">
        <v>94</v>
      </c>
      <c r="D1423">
        <v>39.25</v>
      </c>
      <c r="E1423">
        <v>38.530396882799998</v>
      </c>
      <c r="F1423">
        <v>-3.4937442387200002</v>
      </c>
      <c r="G1423">
        <v>22</v>
      </c>
    </row>
    <row r="1424" spans="1:7" hidden="1" x14ac:dyDescent="0.25">
      <c r="A1424" t="s">
        <v>2779</v>
      </c>
      <c r="B1424" s="8">
        <v>42118</v>
      </c>
      <c r="C1424">
        <v>56</v>
      </c>
      <c r="D1424">
        <v>32.25</v>
      </c>
      <c r="E1424">
        <v>35.0084241984</v>
      </c>
      <c r="F1424">
        <v>-9.6033016580500004</v>
      </c>
      <c r="G1424">
        <v>10</v>
      </c>
    </row>
    <row r="1425" spans="1:7" hidden="1" x14ac:dyDescent="0.25">
      <c r="A1425" t="s">
        <v>2780</v>
      </c>
      <c r="B1425" s="8">
        <v>42117</v>
      </c>
      <c r="C1425">
        <v>53</v>
      </c>
      <c r="D1425">
        <v>16.75</v>
      </c>
      <c r="E1425">
        <v>32.585688878299997</v>
      </c>
      <c r="F1425">
        <v>-1.58991689265</v>
      </c>
      <c r="G1425">
        <v>-0.5</v>
      </c>
    </row>
    <row r="1426" spans="1:7" hidden="1" x14ac:dyDescent="0.25">
      <c r="A1426" t="s">
        <v>2781</v>
      </c>
      <c r="B1426" s="8">
        <v>42117</v>
      </c>
      <c r="C1426">
        <v>79</v>
      </c>
      <c r="D1426">
        <v>11</v>
      </c>
      <c r="E1426">
        <v>34.990563185100001</v>
      </c>
      <c r="F1426">
        <v>-9.9292622588300006</v>
      </c>
      <c r="G1426">
        <v>7</v>
      </c>
    </row>
    <row r="1427" spans="1:7" hidden="1" x14ac:dyDescent="0.25">
      <c r="A1427" t="s">
        <v>2782</v>
      </c>
      <c r="B1427" s="8">
        <v>42116</v>
      </c>
      <c r="C1427">
        <v>281</v>
      </c>
      <c r="D1427">
        <v>18.5</v>
      </c>
      <c r="E1427">
        <v>42.181512253999998</v>
      </c>
      <c r="F1427">
        <v>-6.5741853861999999</v>
      </c>
      <c r="G1427">
        <v>-0.5</v>
      </c>
    </row>
    <row r="1428" spans="1:7" hidden="1" x14ac:dyDescent="0.25">
      <c r="A1428" t="s">
        <v>2782</v>
      </c>
      <c r="B1428" s="8">
        <v>42116</v>
      </c>
      <c r="C1428">
        <v>261</v>
      </c>
      <c r="D1428">
        <v>18.5</v>
      </c>
      <c r="E1428">
        <v>42.181512253999998</v>
      </c>
      <c r="F1428">
        <v>-6.5741853861999999</v>
      </c>
      <c r="G1428">
        <v>-0.5</v>
      </c>
    </row>
    <row r="1429" spans="1:7" hidden="1" x14ac:dyDescent="0.25">
      <c r="A1429" t="s">
        <v>2783</v>
      </c>
      <c r="B1429" s="8">
        <v>42116</v>
      </c>
      <c r="C1429">
        <v>74</v>
      </c>
      <c r="D1429">
        <v>34.1</v>
      </c>
      <c r="E1429">
        <v>35.573072769299998</v>
      </c>
      <c r="F1429">
        <v>-3.5531121069</v>
      </c>
      <c r="G1429">
        <v>-0.25</v>
      </c>
    </row>
    <row r="1430" spans="1:7" hidden="1" x14ac:dyDescent="0.25">
      <c r="A1430" t="s">
        <v>2784</v>
      </c>
      <c r="B1430" s="8">
        <v>42116</v>
      </c>
      <c r="C1430">
        <v>55</v>
      </c>
      <c r="D1430">
        <v>31</v>
      </c>
      <c r="E1430">
        <v>37.6875418407</v>
      </c>
      <c r="F1430">
        <v>-0.81511101227600002</v>
      </c>
      <c r="G1430">
        <v>19</v>
      </c>
    </row>
    <row r="1431" spans="1:7" hidden="1" x14ac:dyDescent="0.25">
      <c r="A1431" t="s">
        <v>2785</v>
      </c>
      <c r="B1431" s="8">
        <v>42115</v>
      </c>
      <c r="C1431">
        <v>278</v>
      </c>
      <c r="D1431">
        <v>34.25</v>
      </c>
      <c r="E1431">
        <v>42.226504893200001</v>
      </c>
      <c r="F1431">
        <v>-2.2458106038399999</v>
      </c>
      <c r="G1431">
        <v>11</v>
      </c>
    </row>
    <row r="1432" spans="1:7" hidden="1" x14ac:dyDescent="0.25">
      <c r="A1432" t="s">
        <v>2786</v>
      </c>
      <c r="B1432" s="8">
        <v>42115</v>
      </c>
      <c r="C1432">
        <v>74</v>
      </c>
      <c r="D1432">
        <v>42.5</v>
      </c>
      <c r="E1432">
        <v>36.419156250900002</v>
      </c>
      <c r="F1432">
        <v>-9.8629049544799994</v>
      </c>
      <c r="G1432">
        <v>1.75</v>
      </c>
    </row>
    <row r="1433" spans="1:7" hidden="1" x14ac:dyDescent="0.25">
      <c r="A1433" t="s">
        <v>2787</v>
      </c>
      <c r="B1433" s="8">
        <v>42114</v>
      </c>
      <c r="C1433">
        <v>152</v>
      </c>
      <c r="D1433">
        <v>14.75</v>
      </c>
      <c r="E1433">
        <v>42.3199315484</v>
      </c>
      <c r="F1433">
        <v>-4.9020300584200003</v>
      </c>
      <c r="G1433">
        <v>17</v>
      </c>
    </row>
    <row r="1434" spans="1:7" hidden="1" x14ac:dyDescent="0.25">
      <c r="A1434" t="s">
        <v>2788</v>
      </c>
      <c r="B1434" s="8">
        <v>42114</v>
      </c>
      <c r="C1434">
        <v>57</v>
      </c>
      <c r="D1434">
        <v>11</v>
      </c>
      <c r="E1434">
        <v>35.228188667300003</v>
      </c>
      <c r="F1434">
        <v>-3.71615789659</v>
      </c>
      <c r="G1434">
        <v>-2</v>
      </c>
    </row>
    <row r="1435" spans="1:7" hidden="1" x14ac:dyDescent="0.25">
      <c r="A1435" t="s">
        <v>2789</v>
      </c>
      <c r="B1435" s="8">
        <v>42113</v>
      </c>
      <c r="C1435">
        <v>284</v>
      </c>
      <c r="D1435">
        <v>41.5</v>
      </c>
      <c r="E1435">
        <v>48.019161436399997</v>
      </c>
      <c r="F1435">
        <v>-0.77542221026500002</v>
      </c>
      <c r="G1435">
        <v>13</v>
      </c>
    </row>
    <row r="1436" spans="1:7" hidden="1" x14ac:dyDescent="0.25">
      <c r="A1436" t="s">
        <v>2789</v>
      </c>
      <c r="B1436" s="8">
        <v>42113</v>
      </c>
      <c r="C1436">
        <v>211</v>
      </c>
      <c r="D1436">
        <v>41.5</v>
      </c>
      <c r="E1436">
        <v>48.019161436399997</v>
      </c>
      <c r="F1436">
        <v>-0.77542221026500002</v>
      </c>
      <c r="G1436">
        <v>13</v>
      </c>
    </row>
    <row r="1437" spans="1:7" hidden="1" x14ac:dyDescent="0.25">
      <c r="A1437" t="s">
        <v>2790</v>
      </c>
      <c r="B1437" s="8">
        <v>42113</v>
      </c>
      <c r="C1437">
        <v>74</v>
      </c>
      <c r="D1437">
        <v>56.25</v>
      </c>
      <c r="E1437">
        <v>37.326668269099997</v>
      </c>
      <c r="F1437">
        <v>-2.1104450837000002</v>
      </c>
      <c r="G1437">
        <v>-0.25</v>
      </c>
    </row>
    <row r="1438" spans="1:7" hidden="1" x14ac:dyDescent="0.25">
      <c r="A1438" t="s">
        <v>2791</v>
      </c>
      <c r="B1438" s="8">
        <v>42112</v>
      </c>
      <c r="C1438">
        <v>150</v>
      </c>
      <c r="D1438">
        <v>34.75</v>
      </c>
      <c r="E1438">
        <v>40.5287528494</v>
      </c>
      <c r="F1438">
        <v>-4.8573002140800003</v>
      </c>
      <c r="G1438">
        <v>19</v>
      </c>
    </row>
    <row r="1439" spans="1:7" hidden="1" x14ac:dyDescent="0.25">
      <c r="A1439" t="s">
        <v>2792</v>
      </c>
      <c r="B1439" s="8">
        <v>42111</v>
      </c>
      <c r="C1439">
        <v>245</v>
      </c>
      <c r="D1439">
        <v>66.5</v>
      </c>
      <c r="E1439">
        <v>70.794224276700007</v>
      </c>
      <c r="F1439">
        <v>-1.2887583600800001</v>
      </c>
      <c r="G1439">
        <v>1.75</v>
      </c>
    </row>
    <row r="1440" spans="1:7" hidden="1" x14ac:dyDescent="0.25">
      <c r="A1440" t="s">
        <v>2793</v>
      </c>
      <c r="B1440" s="8">
        <v>42111</v>
      </c>
      <c r="C1440">
        <v>55</v>
      </c>
      <c r="D1440">
        <v>36</v>
      </c>
      <c r="E1440">
        <v>37.2952058085</v>
      </c>
      <c r="F1440">
        <v>-1.6116094348300001</v>
      </c>
      <c r="G1440">
        <v>1.75</v>
      </c>
    </row>
    <row r="1441" spans="1:7" hidden="1" x14ac:dyDescent="0.25">
      <c r="A1441" t="s">
        <v>2794</v>
      </c>
      <c r="B1441" s="8">
        <v>42111</v>
      </c>
      <c r="C1441">
        <v>78</v>
      </c>
      <c r="D1441">
        <v>22.5</v>
      </c>
      <c r="E1441">
        <v>34.584887680100003</v>
      </c>
      <c r="F1441">
        <v>-2.3863296542599999</v>
      </c>
      <c r="G1441">
        <v>14</v>
      </c>
    </row>
    <row r="1442" spans="1:7" hidden="1" x14ac:dyDescent="0.25">
      <c r="A1442" t="s">
        <v>2795</v>
      </c>
      <c r="B1442" s="8">
        <v>42143</v>
      </c>
      <c r="C1442">
        <v>279</v>
      </c>
      <c r="D1442">
        <v>37.5</v>
      </c>
      <c r="E1442">
        <v>40.1776169663</v>
      </c>
      <c r="F1442">
        <v>-5.5056519074899999</v>
      </c>
      <c r="G1442">
        <v>8</v>
      </c>
    </row>
    <row r="1443" spans="1:7" hidden="1" x14ac:dyDescent="0.25">
      <c r="A1443" t="s">
        <v>2796</v>
      </c>
      <c r="B1443" s="8">
        <v>42144</v>
      </c>
      <c r="C1443">
        <v>277</v>
      </c>
      <c r="D1443">
        <v>10.75</v>
      </c>
      <c r="E1443">
        <v>44.076113143000001</v>
      </c>
      <c r="F1443">
        <v>0.43357158415500002</v>
      </c>
      <c r="G1443">
        <v>0</v>
      </c>
    </row>
    <row r="1444" spans="1:7" hidden="1" x14ac:dyDescent="0.25">
      <c r="A1444" t="s">
        <v>2797</v>
      </c>
      <c r="B1444" s="8">
        <v>42144</v>
      </c>
      <c r="C1444">
        <v>257</v>
      </c>
      <c r="D1444">
        <v>11.25</v>
      </c>
      <c r="E1444">
        <v>43.819749604499997</v>
      </c>
      <c r="F1444">
        <v>3.7119673849900003E-2</v>
      </c>
      <c r="G1444">
        <v>0</v>
      </c>
    </row>
    <row r="1445" spans="1:7" hidden="1" x14ac:dyDescent="0.25">
      <c r="A1445" t="s">
        <v>2798</v>
      </c>
      <c r="B1445" s="8">
        <v>42145</v>
      </c>
      <c r="C1445">
        <v>223</v>
      </c>
      <c r="D1445">
        <v>47.45</v>
      </c>
      <c r="E1445">
        <v>41.959239572599998</v>
      </c>
      <c r="F1445">
        <v>-0.99644932960199994</v>
      </c>
      <c r="G1445">
        <v>14.2</v>
      </c>
    </row>
    <row r="1446" spans="1:7" hidden="1" x14ac:dyDescent="0.25">
      <c r="A1446" t="s">
        <v>2799</v>
      </c>
      <c r="B1446" s="8">
        <v>42145</v>
      </c>
      <c r="C1446">
        <v>109</v>
      </c>
      <c r="D1446">
        <v>71</v>
      </c>
      <c r="E1446">
        <v>40.214738547899998</v>
      </c>
      <c r="F1446">
        <v>-1.2293666858500001</v>
      </c>
      <c r="G1446">
        <v>23</v>
      </c>
    </row>
    <row r="1447" spans="1:7" hidden="1" x14ac:dyDescent="0.25">
      <c r="A1447" t="s">
        <v>2800</v>
      </c>
      <c r="B1447" s="8">
        <v>42145</v>
      </c>
      <c r="C1447">
        <v>34</v>
      </c>
      <c r="D1447">
        <v>25.6</v>
      </c>
      <c r="E1447">
        <v>34.2750692989</v>
      </c>
      <c r="F1447">
        <v>-4.8211431702100001</v>
      </c>
      <c r="G1447">
        <v>-0.75</v>
      </c>
    </row>
    <row r="1448" spans="1:7" hidden="1" x14ac:dyDescent="0.25">
      <c r="A1448" t="s">
        <v>2801</v>
      </c>
      <c r="B1448" s="8">
        <v>42145</v>
      </c>
      <c r="C1448">
        <v>114</v>
      </c>
      <c r="D1448">
        <v>26.95</v>
      </c>
      <c r="E1448">
        <v>38.232591123799999</v>
      </c>
      <c r="F1448">
        <v>-0.55114768179899998</v>
      </c>
      <c r="G1448">
        <v>14.2</v>
      </c>
    </row>
    <row r="1449" spans="1:7" hidden="1" x14ac:dyDescent="0.25">
      <c r="A1449" t="s">
        <v>2802</v>
      </c>
      <c r="B1449" s="8">
        <v>42146</v>
      </c>
      <c r="C1449">
        <v>278</v>
      </c>
      <c r="D1449">
        <v>39.75</v>
      </c>
      <c r="E1449">
        <v>42.741076549299997</v>
      </c>
      <c r="F1449">
        <v>-7.3102847900599999</v>
      </c>
      <c r="G1449">
        <v>6</v>
      </c>
    </row>
    <row r="1450" spans="1:7" hidden="1" x14ac:dyDescent="0.25">
      <c r="A1450" t="s">
        <v>2803</v>
      </c>
      <c r="B1450" s="8">
        <v>42146</v>
      </c>
      <c r="C1450">
        <v>58</v>
      </c>
      <c r="D1450">
        <v>16.5</v>
      </c>
      <c r="E1450">
        <v>33.016077538300003</v>
      </c>
      <c r="F1450">
        <v>9.3773228826400004E-2</v>
      </c>
      <c r="G1450">
        <v>5</v>
      </c>
    </row>
    <row r="1451" spans="1:7" hidden="1" x14ac:dyDescent="0.25">
      <c r="A1451" t="s">
        <v>2804</v>
      </c>
      <c r="B1451" s="8">
        <v>42147</v>
      </c>
      <c r="C1451">
        <v>118</v>
      </c>
      <c r="D1451">
        <v>23</v>
      </c>
      <c r="E1451">
        <v>40.0654261866</v>
      </c>
      <c r="F1451">
        <v>-1.73765258845</v>
      </c>
      <c r="G1451">
        <v>10</v>
      </c>
    </row>
    <row r="1452" spans="1:7" hidden="1" x14ac:dyDescent="0.25">
      <c r="A1452" t="s">
        <v>2805</v>
      </c>
      <c r="B1452" s="8">
        <v>42147</v>
      </c>
      <c r="C1452">
        <v>61</v>
      </c>
      <c r="D1452">
        <v>21.25</v>
      </c>
      <c r="E1452">
        <v>38.606402679299997</v>
      </c>
      <c r="F1452">
        <v>-1.55552492709</v>
      </c>
      <c r="G1452">
        <v>10</v>
      </c>
    </row>
    <row r="1453" spans="1:7" hidden="1" x14ac:dyDescent="0.25">
      <c r="A1453" t="s">
        <v>2806</v>
      </c>
      <c r="B1453" s="8">
        <v>42147</v>
      </c>
      <c r="C1453">
        <v>34</v>
      </c>
      <c r="D1453">
        <v>31.75</v>
      </c>
      <c r="E1453">
        <v>34.142334828599999</v>
      </c>
      <c r="F1453">
        <v>-0.75859015278099995</v>
      </c>
      <c r="G1453">
        <v>10</v>
      </c>
    </row>
    <row r="1454" spans="1:7" hidden="1" x14ac:dyDescent="0.25">
      <c r="A1454" t="s">
        <v>2807</v>
      </c>
      <c r="B1454" s="8">
        <v>42148</v>
      </c>
      <c r="C1454">
        <v>281</v>
      </c>
      <c r="D1454">
        <v>20.5</v>
      </c>
      <c r="E1454">
        <v>41.826043844799997</v>
      </c>
      <c r="F1454">
        <v>-2.7615624224799999</v>
      </c>
      <c r="G1454">
        <v>13</v>
      </c>
    </row>
    <row r="1455" spans="1:7" hidden="1" x14ac:dyDescent="0.25">
      <c r="A1455" t="s">
        <v>2808</v>
      </c>
      <c r="B1455" s="8">
        <v>42148</v>
      </c>
      <c r="C1455">
        <v>209</v>
      </c>
      <c r="D1455">
        <v>21.5</v>
      </c>
      <c r="E1455">
        <v>40.812671075799997</v>
      </c>
      <c r="F1455">
        <v>-2.07350264994</v>
      </c>
      <c r="G1455">
        <v>13</v>
      </c>
    </row>
    <row r="1456" spans="1:7" hidden="1" x14ac:dyDescent="0.25">
      <c r="A1456" t="s">
        <v>2809</v>
      </c>
      <c r="B1456" s="8">
        <v>42148</v>
      </c>
      <c r="C1456">
        <v>72</v>
      </c>
      <c r="D1456">
        <v>-3.75</v>
      </c>
      <c r="E1456">
        <v>34.045793499699997</v>
      </c>
      <c r="F1456">
        <v>-1.76083575194</v>
      </c>
      <c r="G1456">
        <v>-6</v>
      </c>
    </row>
    <row r="1457" spans="1:7" hidden="1" x14ac:dyDescent="0.25">
      <c r="A1457" t="s">
        <v>2810</v>
      </c>
      <c r="B1457" s="8">
        <v>42149</v>
      </c>
      <c r="C1457">
        <v>280</v>
      </c>
      <c r="D1457">
        <v>43.35</v>
      </c>
      <c r="E1457">
        <v>54.644583755900001</v>
      </c>
      <c r="F1457">
        <v>-4.2434367061899998</v>
      </c>
      <c r="G1457">
        <v>10.1</v>
      </c>
    </row>
    <row r="1458" spans="1:7" hidden="1" x14ac:dyDescent="0.25">
      <c r="A1458" t="s">
        <v>2811</v>
      </c>
      <c r="B1458" s="8">
        <v>42149</v>
      </c>
      <c r="C1458">
        <v>96</v>
      </c>
      <c r="D1458">
        <v>37.25</v>
      </c>
      <c r="E1458">
        <v>40.001287289700002</v>
      </c>
      <c r="F1458">
        <v>-3.95193090801</v>
      </c>
      <c r="G1458">
        <v>13</v>
      </c>
    </row>
    <row r="1459" spans="1:7" hidden="1" x14ac:dyDescent="0.25">
      <c r="A1459" t="s">
        <v>2812</v>
      </c>
      <c r="B1459" s="8">
        <v>42149</v>
      </c>
      <c r="C1459">
        <v>184</v>
      </c>
      <c r="D1459">
        <v>46.85</v>
      </c>
      <c r="E1459">
        <v>52.981926570699997</v>
      </c>
      <c r="F1459">
        <v>-3.96477372823</v>
      </c>
      <c r="G1459">
        <v>10.1</v>
      </c>
    </row>
    <row r="1460" spans="1:7" hidden="1" x14ac:dyDescent="0.25">
      <c r="A1460" t="s">
        <v>2813</v>
      </c>
      <c r="B1460" s="8">
        <v>42150</v>
      </c>
      <c r="C1460">
        <v>279</v>
      </c>
      <c r="D1460">
        <v>44.35</v>
      </c>
      <c r="E1460">
        <v>48.964571508900001</v>
      </c>
      <c r="F1460">
        <v>-5.0037512642199999</v>
      </c>
      <c r="G1460">
        <v>14.1</v>
      </c>
    </row>
    <row r="1461" spans="1:7" hidden="1" x14ac:dyDescent="0.25">
      <c r="A1461" t="s">
        <v>2814</v>
      </c>
      <c r="B1461" s="8">
        <v>42151</v>
      </c>
      <c r="C1461">
        <v>279</v>
      </c>
      <c r="D1461">
        <v>40.5</v>
      </c>
      <c r="E1461">
        <v>41.990761354900002</v>
      </c>
      <c r="F1461">
        <v>-3.73666073367</v>
      </c>
      <c r="G1461">
        <v>21</v>
      </c>
    </row>
    <row r="1462" spans="1:7" hidden="1" x14ac:dyDescent="0.25">
      <c r="A1462" t="s">
        <v>2815</v>
      </c>
      <c r="B1462" s="8">
        <v>42151</v>
      </c>
      <c r="C1462">
        <v>166</v>
      </c>
      <c r="D1462">
        <v>49.75</v>
      </c>
      <c r="E1462">
        <v>41.2937557037</v>
      </c>
      <c r="F1462">
        <v>-3.3949171464900001</v>
      </c>
      <c r="G1462">
        <v>21</v>
      </c>
    </row>
    <row r="1463" spans="1:7" hidden="1" x14ac:dyDescent="0.25">
      <c r="A1463" t="s">
        <v>2816</v>
      </c>
      <c r="B1463" s="8">
        <v>42151</v>
      </c>
      <c r="C1463">
        <v>73</v>
      </c>
      <c r="D1463">
        <v>13.2</v>
      </c>
      <c r="E1463">
        <v>34.4134076701</v>
      </c>
      <c r="F1463">
        <v>-1.3336748462400001</v>
      </c>
      <c r="G1463">
        <v>9.1999999999999993</v>
      </c>
    </row>
    <row r="1464" spans="1:7" hidden="1" x14ac:dyDescent="0.25">
      <c r="A1464" t="s">
        <v>2817</v>
      </c>
      <c r="B1464" s="8">
        <v>42151</v>
      </c>
      <c r="C1464">
        <v>93</v>
      </c>
      <c r="D1464">
        <v>51</v>
      </c>
      <c r="E1464">
        <v>40.829795605500003</v>
      </c>
      <c r="F1464">
        <v>-4.1056315913899999</v>
      </c>
      <c r="G1464">
        <v>21</v>
      </c>
    </row>
    <row r="1465" spans="1:7" hidden="1" x14ac:dyDescent="0.25">
      <c r="A1465" t="s">
        <v>2818</v>
      </c>
      <c r="B1465" s="8">
        <v>42152</v>
      </c>
      <c r="C1465">
        <v>140</v>
      </c>
      <c r="D1465">
        <v>24.45</v>
      </c>
      <c r="E1465">
        <v>197.95147432799999</v>
      </c>
      <c r="F1465">
        <v>-0.28723351146199999</v>
      </c>
      <c r="G1465">
        <v>6.2</v>
      </c>
    </row>
    <row r="1466" spans="1:7" hidden="1" x14ac:dyDescent="0.25">
      <c r="A1466" t="s">
        <v>2818</v>
      </c>
      <c r="B1466" s="8">
        <v>42152</v>
      </c>
      <c r="C1466">
        <v>140</v>
      </c>
      <c r="D1466">
        <v>24.45</v>
      </c>
      <c r="E1466">
        <v>197.95147432799999</v>
      </c>
      <c r="F1466">
        <v>-0.28723351146199999</v>
      </c>
      <c r="G1466">
        <v>6.2</v>
      </c>
    </row>
    <row r="1467" spans="1:7" hidden="1" x14ac:dyDescent="0.25">
      <c r="A1467" t="s">
        <v>2819</v>
      </c>
      <c r="B1467" s="8">
        <v>42152</v>
      </c>
      <c r="C1467">
        <v>93</v>
      </c>
      <c r="D1467">
        <v>27.2</v>
      </c>
      <c r="E1467">
        <v>196.53455443300001</v>
      </c>
      <c r="F1467">
        <v>-1.6998418903600001</v>
      </c>
      <c r="G1467">
        <v>6.2</v>
      </c>
    </row>
    <row r="1468" spans="1:7" hidden="1" x14ac:dyDescent="0.25">
      <c r="A1468" t="s">
        <v>2819</v>
      </c>
      <c r="B1468" s="8">
        <v>42152</v>
      </c>
      <c r="C1468">
        <v>113</v>
      </c>
      <c r="D1468">
        <v>27.2</v>
      </c>
      <c r="E1468">
        <v>196.53455443300001</v>
      </c>
      <c r="F1468">
        <v>-1.6998418903600001</v>
      </c>
      <c r="G1468">
        <v>6.2</v>
      </c>
    </row>
    <row r="1469" spans="1:7" hidden="1" x14ac:dyDescent="0.25">
      <c r="A1469" t="s">
        <v>2820</v>
      </c>
      <c r="B1469" s="8">
        <v>42153</v>
      </c>
      <c r="C1469">
        <v>281</v>
      </c>
      <c r="D1469">
        <v>19</v>
      </c>
      <c r="E1469">
        <v>45.841880078400003</v>
      </c>
      <c r="F1469">
        <v>-8.0750814159799997</v>
      </c>
      <c r="G1469">
        <v>-0.5</v>
      </c>
    </row>
    <row r="1470" spans="1:7" hidden="1" x14ac:dyDescent="0.25">
      <c r="A1470" t="s">
        <v>2821</v>
      </c>
      <c r="B1470" s="8">
        <v>42153</v>
      </c>
      <c r="C1470">
        <v>263</v>
      </c>
      <c r="D1470">
        <v>21.5</v>
      </c>
      <c r="E1470">
        <v>44.812209121599999</v>
      </c>
      <c r="F1470">
        <v>-4.2583558475899999</v>
      </c>
      <c r="G1470">
        <v>-0.5</v>
      </c>
    </row>
    <row r="1471" spans="1:7" hidden="1" x14ac:dyDescent="0.25">
      <c r="A1471" t="s">
        <v>2822</v>
      </c>
      <c r="B1471" s="8">
        <v>42154</v>
      </c>
      <c r="C1471">
        <v>262</v>
      </c>
      <c r="D1471">
        <v>24.7</v>
      </c>
      <c r="E1471">
        <v>41.696541635700001</v>
      </c>
      <c r="F1471">
        <v>-8.57760303355</v>
      </c>
      <c r="G1471">
        <v>7.2</v>
      </c>
    </row>
    <row r="1472" spans="1:7" hidden="1" x14ac:dyDescent="0.25">
      <c r="A1472" t="s">
        <v>2823</v>
      </c>
      <c r="B1472" s="8">
        <v>42154</v>
      </c>
      <c r="C1472">
        <v>130</v>
      </c>
      <c r="D1472">
        <v>16.7</v>
      </c>
      <c r="E1472">
        <v>36.744227800099999</v>
      </c>
      <c r="F1472">
        <v>0.19460917642700001</v>
      </c>
      <c r="G1472">
        <v>-4.8</v>
      </c>
    </row>
    <row r="1473" spans="1:7" hidden="1" x14ac:dyDescent="0.25">
      <c r="A1473" t="s">
        <v>2824</v>
      </c>
      <c r="B1473" s="8">
        <v>42154</v>
      </c>
      <c r="C1473">
        <v>132</v>
      </c>
      <c r="D1473">
        <v>33.200000000000003</v>
      </c>
      <c r="E1473">
        <v>40.605948799700002</v>
      </c>
      <c r="F1473">
        <v>-9.1681200924200006</v>
      </c>
      <c r="G1473">
        <v>7.2</v>
      </c>
    </row>
    <row r="1474" spans="1:7" hidden="1" x14ac:dyDescent="0.25">
      <c r="A1474" t="s">
        <v>2825</v>
      </c>
      <c r="B1474" s="8">
        <v>42154</v>
      </c>
      <c r="C1474">
        <v>130</v>
      </c>
      <c r="D1474">
        <v>19</v>
      </c>
      <c r="E1474">
        <v>35.5967996137</v>
      </c>
      <c r="F1474">
        <v>-2.2106288198300001</v>
      </c>
      <c r="G1474">
        <v>8</v>
      </c>
    </row>
    <row r="1475" spans="1:7" hidden="1" x14ac:dyDescent="0.25">
      <c r="A1475" t="s">
        <v>2826</v>
      </c>
      <c r="B1475" s="8">
        <v>42155</v>
      </c>
      <c r="C1475">
        <v>280</v>
      </c>
      <c r="D1475">
        <v>15.95</v>
      </c>
      <c r="E1475">
        <v>39.098193424999998</v>
      </c>
      <c r="F1475">
        <v>-0.74573689791700004</v>
      </c>
      <c r="G1475">
        <v>9.1999999999999993</v>
      </c>
    </row>
    <row r="1476" spans="1:7" hidden="1" x14ac:dyDescent="0.25">
      <c r="A1476" t="s">
        <v>2827</v>
      </c>
      <c r="B1476" s="8">
        <v>42155</v>
      </c>
      <c r="C1476">
        <v>94</v>
      </c>
      <c r="D1476">
        <v>15.2</v>
      </c>
      <c r="E1476">
        <v>36.864500723900001</v>
      </c>
      <c r="F1476">
        <v>-0.91294299390300004</v>
      </c>
      <c r="G1476">
        <v>9.1999999999999993</v>
      </c>
    </row>
    <row r="1477" spans="1:7" hidden="1" x14ac:dyDescent="0.25">
      <c r="A1477" t="s">
        <v>2828</v>
      </c>
      <c r="B1477" s="8">
        <v>42155</v>
      </c>
      <c r="C1477">
        <v>186</v>
      </c>
      <c r="D1477">
        <v>21.5</v>
      </c>
      <c r="E1477">
        <v>36.7155564404</v>
      </c>
      <c r="F1477">
        <v>-6.2924968903499998</v>
      </c>
      <c r="G1477">
        <v>0.75</v>
      </c>
    </row>
    <row r="1478" spans="1:7" hidden="1" x14ac:dyDescent="0.25">
      <c r="A1478" t="s">
        <v>2829</v>
      </c>
      <c r="B1478" s="8">
        <v>42155</v>
      </c>
      <c r="C1478">
        <v>112</v>
      </c>
      <c r="D1478">
        <v>23.5</v>
      </c>
      <c r="E1478">
        <v>36.5893496825</v>
      </c>
      <c r="F1478">
        <v>-6.2951903198399997</v>
      </c>
      <c r="G1478">
        <v>0.75</v>
      </c>
    </row>
    <row r="1479" spans="1:7" hidden="1" x14ac:dyDescent="0.25">
      <c r="A1479" t="s">
        <v>2830</v>
      </c>
      <c r="B1479" s="8">
        <v>42156</v>
      </c>
      <c r="C1479">
        <v>163</v>
      </c>
      <c r="D1479">
        <v>12.7</v>
      </c>
      <c r="E1479">
        <v>39.099656754999998</v>
      </c>
      <c r="F1479">
        <v>-2.9523677436</v>
      </c>
      <c r="G1479">
        <v>1.2</v>
      </c>
    </row>
    <row r="1480" spans="1:7" hidden="1" x14ac:dyDescent="0.25">
      <c r="A1480" t="s">
        <v>2831</v>
      </c>
      <c r="B1480" s="8">
        <v>42157</v>
      </c>
      <c r="C1480">
        <v>293</v>
      </c>
      <c r="D1480">
        <v>19.2</v>
      </c>
      <c r="E1480">
        <v>50.652559866200001</v>
      </c>
      <c r="F1480">
        <v>-3.3286277627</v>
      </c>
      <c r="G1480">
        <v>-0.25</v>
      </c>
    </row>
    <row r="1481" spans="1:7" hidden="1" x14ac:dyDescent="0.25">
      <c r="A1481" t="s">
        <v>2831</v>
      </c>
      <c r="B1481" s="8">
        <v>42157</v>
      </c>
      <c r="C1481">
        <v>293</v>
      </c>
      <c r="D1481">
        <v>19.2</v>
      </c>
      <c r="E1481">
        <v>50.652559866200001</v>
      </c>
      <c r="F1481">
        <v>-3.3286277627</v>
      </c>
      <c r="G1481">
        <v>-0.25</v>
      </c>
    </row>
    <row r="1482" spans="1:7" hidden="1" x14ac:dyDescent="0.25">
      <c r="A1482" t="s">
        <v>2832</v>
      </c>
      <c r="B1482" s="8">
        <v>42157</v>
      </c>
      <c r="C1482">
        <v>99</v>
      </c>
      <c r="D1482">
        <v>39.950000000000003</v>
      </c>
      <c r="E1482">
        <v>34.8766900627</v>
      </c>
      <c r="F1482">
        <v>-9.2932256098099995</v>
      </c>
      <c r="G1482">
        <v>0.75</v>
      </c>
    </row>
    <row r="1483" spans="1:7" hidden="1" x14ac:dyDescent="0.25">
      <c r="A1483" t="s">
        <v>2833</v>
      </c>
      <c r="B1483" s="8">
        <v>42158</v>
      </c>
      <c r="C1483">
        <v>287</v>
      </c>
      <c r="D1483">
        <v>38.75</v>
      </c>
      <c r="E1483">
        <v>44.9969466079</v>
      </c>
      <c r="F1483">
        <v>-9.0250628596800002</v>
      </c>
      <c r="G1483">
        <v>24</v>
      </c>
    </row>
    <row r="1484" spans="1:7" hidden="1" x14ac:dyDescent="0.25">
      <c r="A1484" t="s">
        <v>2834</v>
      </c>
      <c r="B1484" s="8">
        <v>42158</v>
      </c>
      <c r="C1484">
        <v>98</v>
      </c>
      <c r="D1484">
        <v>28.85</v>
      </c>
      <c r="E1484">
        <v>33.606663426200001</v>
      </c>
      <c r="F1484">
        <v>-3.4986551974800002</v>
      </c>
      <c r="G1484">
        <v>3.1</v>
      </c>
    </row>
    <row r="1485" spans="1:7" hidden="1" x14ac:dyDescent="0.25">
      <c r="A1485" t="s">
        <v>2835</v>
      </c>
      <c r="B1485" s="8">
        <v>42158</v>
      </c>
      <c r="C1485">
        <v>55</v>
      </c>
      <c r="D1485">
        <v>46.75</v>
      </c>
      <c r="E1485">
        <v>31.769015851799999</v>
      </c>
      <c r="F1485">
        <v>-5.3485771586800004</v>
      </c>
      <c r="G1485">
        <v>16</v>
      </c>
    </row>
    <row r="1486" spans="1:7" hidden="1" x14ac:dyDescent="0.25">
      <c r="A1486" t="s">
        <v>2836</v>
      </c>
      <c r="B1486" s="8">
        <v>42158</v>
      </c>
      <c r="C1486">
        <v>215</v>
      </c>
      <c r="D1486">
        <v>30.75</v>
      </c>
      <c r="E1486">
        <v>44.580495015300002</v>
      </c>
      <c r="F1486">
        <v>-8.6122198185599999</v>
      </c>
      <c r="G1486">
        <v>24</v>
      </c>
    </row>
    <row r="1487" spans="1:7" hidden="1" x14ac:dyDescent="0.25">
      <c r="A1487" t="s">
        <v>2837</v>
      </c>
      <c r="B1487" s="8">
        <v>42159</v>
      </c>
      <c r="C1487">
        <v>190</v>
      </c>
      <c r="D1487">
        <v>27.25</v>
      </c>
      <c r="E1487">
        <v>38.773761869700003</v>
      </c>
      <c r="F1487">
        <v>-1.9158694863500001</v>
      </c>
      <c r="G1487">
        <v>17</v>
      </c>
    </row>
    <row r="1488" spans="1:7" hidden="1" x14ac:dyDescent="0.25">
      <c r="A1488" t="s">
        <v>2838</v>
      </c>
      <c r="B1488" s="8">
        <v>42159</v>
      </c>
      <c r="C1488">
        <v>130</v>
      </c>
      <c r="D1488">
        <v>27.5</v>
      </c>
      <c r="E1488">
        <v>38.362228950099997</v>
      </c>
      <c r="F1488">
        <v>-1.69067824255</v>
      </c>
      <c r="G1488">
        <v>17</v>
      </c>
    </row>
    <row r="1489" spans="1:7" hidden="1" x14ac:dyDescent="0.25">
      <c r="A1489" t="s">
        <v>2839</v>
      </c>
      <c r="B1489" s="8">
        <v>42159</v>
      </c>
      <c r="C1489">
        <v>60</v>
      </c>
      <c r="D1489">
        <v>29.25</v>
      </c>
      <c r="E1489">
        <v>32.039369166100002</v>
      </c>
      <c r="F1489">
        <v>-6.7808528190499997</v>
      </c>
      <c r="G1489">
        <v>11</v>
      </c>
    </row>
    <row r="1490" spans="1:7" hidden="1" x14ac:dyDescent="0.25">
      <c r="A1490" t="s">
        <v>2840</v>
      </c>
      <c r="B1490" s="8">
        <v>42160</v>
      </c>
      <c r="C1490">
        <v>280</v>
      </c>
      <c r="D1490">
        <v>24.25</v>
      </c>
      <c r="E1490">
        <v>41.7543866595</v>
      </c>
      <c r="F1490">
        <v>-7.8320039044799996</v>
      </c>
      <c r="G1490">
        <v>11</v>
      </c>
    </row>
    <row r="1491" spans="1:7" hidden="1" x14ac:dyDescent="0.25">
      <c r="A1491" t="s">
        <v>2841</v>
      </c>
      <c r="B1491" s="8">
        <v>42160</v>
      </c>
      <c r="C1491">
        <v>54</v>
      </c>
      <c r="D1491">
        <v>26.1</v>
      </c>
      <c r="E1491">
        <v>34.816063637299997</v>
      </c>
      <c r="F1491">
        <v>-2.3663890243200001</v>
      </c>
      <c r="G1491">
        <v>8.1</v>
      </c>
    </row>
    <row r="1492" spans="1:7" hidden="1" x14ac:dyDescent="0.25">
      <c r="A1492" t="s">
        <v>2842</v>
      </c>
      <c r="B1492" s="8">
        <v>42160</v>
      </c>
      <c r="C1492">
        <v>77</v>
      </c>
      <c r="D1492">
        <v>23.5</v>
      </c>
      <c r="E1492">
        <v>39.628554363799999</v>
      </c>
      <c r="F1492">
        <v>-1.20447858071</v>
      </c>
      <c r="G1492">
        <v>11</v>
      </c>
    </row>
    <row r="1493" spans="1:7" hidden="1" x14ac:dyDescent="0.25">
      <c r="A1493" t="s">
        <v>2843</v>
      </c>
      <c r="B1493" s="8">
        <v>42161</v>
      </c>
      <c r="C1493">
        <v>134</v>
      </c>
      <c r="D1493">
        <v>35.25</v>
      </c>
      <c r="E1493">
        <v>35.391668934800002</v>
      </c>
      <c r="F1493">
        <v>-7.7250505666400002</v>
      </c>
      <c r="G1493">
        <v>23</v>
      </c>
    </row>
    <row r="1494" spans="1:7" hidden="1" x14ac:dyDescent="0.25">
      <c r="A1494" t="s">
        <v>2844</v>
      </c>
      <c r="B1494" s="8">
        <v>42161</v>
      </c>
      <c r="C1494">
        <v>110</v>
      </c>
      <c r="D1494">
        <v>26.5</v>
      </c>
      <c r="E1494">
        <v>39.793155002100001</v>
      </c>
      <c r="F1494">
        <v>-5.5056492953999996</v>
      </c>
      <c r="G1494">
        <v>-0.5</v>
      </c>
    </row>
    <row r="1495" spans="1:7" hidden="1" x14ac:dyDescent="0.25">
      <c r="A1495" t="s">
        <v>2845</v>
      </c>
      <c r="B1495" s="8">
        <v>42161</v>
      </c>
      <c r="C1495">
        <v>153</v>
      </c>
      <c r="D1495">
        <v>24.5</v>
      </c>
      <c r="E1495">
        <v>37.478848946100001</v>
      </c>
      <c r="F1495">
        <v>-9.2018461841000008</v>
      </c>
      <c r="G1495">
        <v>6</v>
      </c>
    </row>
    <row r="1496" spans="1:7" hidden="1" x14ac:dyDescent="0.25">
      <c r="A1496" t="s">
        <v>2846</v>
      </c>
      <c r="B1496" s="8">
        <v>42162</v>
      </c>
      <c r="C1496">
        <v>90</v>
      </c>
      <c r="D1496">
        <v>25</v>
      </c>
      <c r="E1496">
        <v>39.448743822700003</v>
      </c>
      <c r="F1496">
        <v>-2.7962351832299999</v>
      </c>
      <c r="G1496">
        <v>19</v>
      </c>
    </row>
    <row r="1497" spans="1:7" hidden="1" x14ac:dyDescent="0.25">
      <c r="A1497" t="s">
        <v>2847</v>
      </c>
      <c r="B1497" s="8">
        <v>42163</v>
      </c>
      <c r="C1497">
        <v>146</v>
      </c>
      <c r="D1497">
        <v>40.75</v>
      </c>
      <c r="E1497">
        <v>40.009719234099997</v>
      </c>
      <c r="F1497">
        <v>-1.27521878104</v>
      </c>
      <c r="G1497">
        <v>25</v>
      </c>
    </row>
    <row r="1498" spans="1:7" hidden="1" x14ac:dyDescent="0.25">
      <c r="A1498" t="s">
        <v>2848</v>
      </c>
      <c r="B1498" s="8">
        <v>42164</v>
      </c>
      <c r="C1498">
        <v>281</v>
      </c>
      <c r="D1498">
        <v>16.75</v>
      </c>
      <c r="E1498">
        <v>46.039921545200002</v>
      </c>
      <c r="F1498">
        <v>-5.57909351154</v>
      </c>
      <c r="G1498">
        <v>9</v>
      </c>
    </row>
    <row r="1499" spans="1:7" hidden="1" x14ac:dyDescent="0.25">
      <c r="A1499" t="s">
        <v>2849</v>
      </c>
      <c r="B1499" s="8">
        <v>42165</v>
      </c>
      <c r="C1499">
        <v>280</v>
      </c>
      <c r="D1499">
        <v>25.75</v>
      </c>
      <c r="E1499">
        <v>44.309918192600001</v>
      </c>
      <c r="F1499">
        <v>-0.76259257652500001</v>
      </c>
      <c r="G1499">
        <v>-0.5</v>
      </c>
    </row>
    <row r="1500" spans="1:7" hidden="1" x14ac:dyDescent="0.25">
      <c r="A1500" t="s">
        <v>2850</v>
      </c>
      <c r="B1500" s="8">
        <v>42165</v>
      </c>
      <c r="C1500">
        <v>205</v>
      </c>
      <c r="D1500">
        <v>17.25</v>
      </c>
      <c r="E1500">
        <v>44.092469432000001</v>
      </c>
      <c r="F1500">
        <v>-0.701897781241</v>
      </c>
      <c r="G1500">
        <v>-0.5</v>
      </c>
    </row>
    <row r="1501" spans="1:7" hidden="1" x14ac:dyDescent="0.25">
      <c r="A1501" t="s">
        <v>2851</v>
      </c>
      <c r="B1501" s="8">
        <v>42165</v>
      </c>
      <c r="C1501">
        <v>57</v>
      </c>
      <c r="D1501">
        <v>24.7</v>
      </c>
      <c r="E1501">
        <v>31.430538229100002</v>
      </c>
      <c r="F1501">
        <v>-0.637848426764</v>
      </c>
      <c r="G1501">
        <v>7.2</v>
      </c>
    </row>
    <row r="1502" spans="1:7" hidden="1" x14ac:dyDescent="0.25">
      <c r="A1502" t="s">
        <v>2852</v>
      </c>
      <c r="B1502" s="8">
        <v>42166</v>
      </c>
      <c r="C1502">
        <v>106</v>
      </c>
      <c r="D1502">
        <v>37.200000000000003</v>
      </c>
      <c r="E1502">
        <v>37.242465087100001</v>
      </c>
      <c r="F1502">
        <v>-4.5031246184200002</v>
      </c>
      <c r="G1502">
        <v>-0.75</v>
      </c>
    </row>
    <row r="1503" spans="1:7" hidden="1" x14ac:dyDescent="0.25">
      <c r="A1503" t="s">
        <v>2853</v>
      </c>
      <c r="B1503" s="8">
        <v>42166</v>
      </c>
      <c r="C1503">
        <v>33</v>
      </c>
      <c r="D1503">
        <v>24.45</v>
      </c>
      <c r="E1503">
        <v>33.672134300400003</v>
      </c>
      <c r="F1503">
        <v>-4.2174017931399996</v>
      </c>
      <c r="G1503">
        <v>-0.75</v>
      </c>
    </row>
    <row r="1504" spans="1:7" hidden="1" x14ac:dyDescent="0.25">
      <c r="A1504" t="s">
        <v>2854</v>
      </c>
      <c r="B1504" s="8">
        <v>42167</v>
      </c>
      <c r="C1504">
        <v>277</v>
      </c>
      <c r="D1504">
        <v>32.700000000000003</v>
      </c>
      <c r="E1504">
        <v>43.782380187199998</v>
      </c>
      <c r="F1504">
        <v>-8.9075085333300006</v>
      </c>
      <c r="G1504">
        <v>-0.5</v>
      </c>
    </row>
    <row r="1505" spans="1:12" hidden="1" x14ac:dyDescent="0.25">
      <c r="A1505" t="s">
        <v>2855</v>
      </c>
      <c r="B1505" s="8">
        <v>42167</v>
      </c>
      <c r="C1505">
        <v>261</v>
      </c>
      <c r="D1505">
        <v>39.200000000000003</v>
      </c>
      <c r="E1505">
        <v>42.798026479699999</v>
      </c>
      <c r="F1505">
        <v>-9.0601974196300006</v>
      </c>
      <c r="G1505">
        <v>-0.5</v>
      </c>
    </row>
    <row r="1506" spans="1:12" hidden="1" x14ac:dyDescent="0.25">
      <c r="A1506" t="s">
        <v>2856</v>
      </c>
      <c r="B1506" s="8">
        <v>42138</v>
      </c>
      <c r="C1506">
        <v>207</v>
      </c>
    </row>
    <row r="1507" spans="1:12" ht="15.75" hidden="1" thickBot="1" x14ac:dyDescent="0.3">
      <c r="A1507" t="s">
        <v>2857</v>
      </c>
      <c r="B1507" s="8">
        <v>42138</v>
      </c>
      <c r="C1507">
        <v>94</v>
      </c>
    </row>
    <row r="1508" spans="1:12" ht="15.75" hidden="1" thickBot="1" x14ac:dyDescent="0.3">
      <c r="A1508" s="37"/>
      <c r="B1508" s="69"/>
      <c r="C1508" s="38"/>
      <c r="D1508" s="38"/>
      <c r="E1508" s="38"/>
      <c r="F1508" s="38"/>
      <c r="G1508" s="40"/>
      <c r="H1508" s="38"/>
      <c r="I1508" s="38"/>
      <c r="J1508" s="65"/>
      <c r="K1508" s="66"/>
      <c r="L1508" s="67"/>
    </row>
    <row r="1509" spans="1:12" hidden="1" x14ac:dyDescent="0.25">
      <c r="A1509" s="37" t="s">
        <v>2859</v>
      </c>
      <c r="B1509" s="38" t="s">
        <v>311</v>
      </c>
      <c r="C1509" s="38" t="s">
        <v>1545</v>
      </c>
      <c r="D1509" s="38" t="s">
        <v>1527</v>
      </c>
      <c r="E1509" s="38" t="s">
        <v>1546</v>
      </c>
      <c r="F1509" s="38" t="s">
        <v>1547</v>
      </c>
      <c r="G1509" s="40" t="s">
        <v>1861</v>
      </c>
      <c r="H1509" s="38" t="s">
        <v>1862</v>
      </c>
      <c r="I1509" s="38"/>
      <c r="J1509" s="65" t="s">
        <v>1989</v>
      </c>
      <c r="K1509" s="66" t="s">
        <v>1990</v>
      </c>
      <c r="L1509" s="67" t="s">
        <v>1991</v>
      </c>
    </row>
    <row r="1510" spans="1:12" hidden="1" x14ac:dyDescent="0.25">
      <c r="A1510" s="30" t="s">
        <v>2856</v>
      </c>
      <c r="B1510" s="8">
        <v>42138</v>
      </c>
      <c r="C1510" s="30">
        <v>207</v>
      </c>
      <c r="D1510" s="30">
        <v>49.75</v>
      </c>
      <c r="E1510" s="30">
        <v>38.581664086300002</v>
      </c>
      <c r="F1510" s="30">
        <v>-1.30143028559</v>
      </c>
      <c r="G1510" s="30">
        <v>14</v>
      </c>
      <c r="H1510" s="30"/>
      <c r="I1510" s="30"/>
      <c r="J1510" s="68">
        <f>AVERAGE(D1510:D1647)</f>
        <v>30.676449275362295</v>
      </c>
      <c r="K1510" s="68">
        <f>_xlfn.STDEV.P(D1510:D1647)</f>
        <v>10.697411294647351</v>
      </c>
      <c r="L1510" s="68">
        <f>MEDIAN(D1510:D1647)</f>
        <v>29.85</v>
      </c>
    </row>
    <row r="1511" spans="1:12" hidden="1" x14ac:dyDescent="0.25">
      <c r="A1511" t="s">
        <v>2857</v>
      </c>
      <c r="B1511" s="8">
        <v>42138</v>
      </c>
      <c r="C1511">
        <v>94</v>
      </c>
      <c r="D1511">
        <v>25.5</v>
      </c>
      <c r="E1511">
        <v>33.504734321400001</v>
      </c>
      <c r="F1511">
        <v>-8.6352382758600008</v>
      </c>
      <c r="G1511">
        <v>-0.25</v>
      </c>
    </row>
    <row r="1512" spans="1:12" hidden="1" x14ac:dyDescent="0.25">
      <c r="A1512" t="s">
        <v>2858</v>
      </c>
      <c r="B1512" s="8">
        <v>42138</v>
      </c>
      <c r="C1512">
        <v>113</v>
      </c>
      <c r="D1512">
        <v>40.25</v>
      </c>
      <c r="E1512">
        <v>37.6922762612</v>
      </c>
      <c r="F1512">
        <v>-2.0663874592</v>
      </c>
      <c r="G1512">
        <v>14</v>
      </c>
    </row>
    <row r="1513" spans="1:12" hidden="1" x14ac:dyDescent="0.25">
      <c r="A1513" t="s">
        <v>2860</v>
      </c>
      <c r="B1513" s="8">
        <v>42138</v>
      </c>
      <c r="C1513">
        <v>37</v>
      </c>
      <c r="D1513">
        <v>27.1</v>
      </c>
      <c r="E1513">
        <v>31.1635542012</v>
      </c>
      <c r="F1513">
        <v>-7.5467484381399998</v>
      </c>
      <c r="G1513">
        <v>4.0999999999999996</v>
      </c>
    </row>
    <row r="1514" spans="1:12" hidden="1" x14ac:dyDescent="0.25">
      <c r="A1514" t="s">
        <v>2861</v>
      </c>
      <c r="B1514" s="8">
        <v>42139</v>
      </c>
      <c r="C1514">
        <v>279</v>
      </c>
      <c r="D1514">
        <v>39.200000000000003</v>
      </c>
      <c r="E1514">
        <v>44.394211821299997</v>
      </c>
      <c r="F1514">
        <v>-3.1532980458200002</v>
      </c>
      <c r="G1514">
        <v>1.75</v>
      </c>
    </row>
    <row r="1515" spans="1:12" hidden="1" x14ac:dyDescent="0.25">
      <c r="A1515" t="s">
        <v>2861</v>
      </c>
      <c r="B1515" s="8">
        <v>42139</v>
      </c>
      <c r="C1515">
        <v>262</v>
      </c>
      <c r="D1515">
        <v>39.200000000000003</v>
      </c>
      <c r="E1515">
        <v>44.394211821299997</v>
      </c>
      <c r="F1515">
        <v>-3.1532980458200002</v>
      </c>
      <c r="G1515">
        <v>1.75</v>
      </c>
    </row>
    <row r="1516" spans="1:12" hidden="1" x14ac:dyDescent="0.25">
      <c r="A1516" t="s">
        <v>2862</v>
      </c>
      <c r="B1516" s="8">
        <v>42140</v>
      </c>
      <c r="C1516">
        <v>275</v>
      </c>
      <c r="D1516">
        <v>43.5</v>
      </c>
      <c r="E1516">
        <v>45.057676395999998</v>
      </c>
      <c r="F1516">
        <v>-1.5273734477000001</v>
      </c>
      <c r="G1516">
        <v>15</v>
      </c>
    </row>
    <row r="1517" spans="1:12" hidden="1" x14ac:dyDescent="0.25">
      <c r="A1517" t="s">
        <v>2863</v>
      </c>
      <c r="B1517" s="8">
        <v>42140</v>
      </c>
      <c r="C1517">
        <v>71</v>
      </c>
      <c r="D1517">
        <v>41.5</v>
      </c>
      <c r="E1517">
        <v>35.968049913500003</v>
      </c>
      <c r="F1517">
        <v>-1.7485618236</v>
      </c>
      <c r="G1517">
        <v>17</v>
      </c>
    </row>
    <row r="1518" spans="1:12" hidden="1" x14ac:dyDescent="0.25">
      <c r="A1518" t="s">
        <v>2864</v>
      </c>
      <c r="B1518" s="8">
        <v>42140</v>
      </c>
      <c r="C1518">
        <v>204</v>
      </c>
      <c r="D1518">
        <v>43.25</v>
      </c>
      <c r="E1518">
        <v>43.6915269072</v>
      </c>
      <c r="F1518">
        <v>-7.15286174432</v>
      </c>
      <c r="G1518">
        <v>15</v>
      </c>
    </row>
    <row r="1519" spans="1:12" hidden="1" x14ac:dyDescent="0.25">
      <c r="A1519" t="s">
        <v>2865</v>
      </c>
      <c r="B1519" s="8">
        <v>42141</v>
      </c>
      <c r="C1519">
        <v>279</v>
      </c>
      <c r="D1519">
        <v>5</v>
      </c>
      <c r="E1519">
        <v>39.465847708600002</v>
      </c>
      <c r="F1519">
        <v>-9.9949282268699999</v>
      </c>
      <c r="G1519">
        <v>-0.5</v>
      </c>
    </row>
    <row r="1520" spans="1:12" hidden="1" x14ac:dyDescent="0.25">
      <c r="A1520" t="s">
        <v>2866</v>
      </c>
      <c r="B1520" s="8">
        <v>42141</v>
      </c>
      <c r="C1520">
        <v>97</v>
      </c>
      <c r="D1520">
        <v>38.5</v>
      </c>
      <c r="E1520">
        <v>34.327709434900001</v>
      </c>
      <c r="F1520">
        <v>-1.4082919483</v>
      </c>
      <c r="G1520">
        <v>13</v>
      </c>
    </row>
    <row r="1521" spans="1:7" hidden="1" x14ac:dyDescent="0.25">
      <c r="A1521" t="s">
        <v>2867</v>
      </c>
      <c r="B1521" s="8">
        <v>42141</v>
      </c>
      <c r="C1521">
        <v>187</v>
      </c>
      <c r="D1521">
        <v>7.25</v>
      </c>
      <c r="E1521">
        <v>39.023155211899997</v>
      </c>
      <c r="F1521">
        <v>-9.8229432286799998</v>
      </c>
      <c r="G1521">
        <v>-0.5</v>
      </c>
    </row>
    <row r="1522" spans="1:7" hidden="1" x14ac:dyDescent="0.25">
      <c r="A1522" t="s">
        <v>2868</v>
      </c>
      <c r="B1522" s="8">
        <v>42141</v>
      </c>
      <c r="C1522">
        <v>92</v>
      </c>
      <c r="D1522">
        <v>16.350000000000001</v>
      </c>
      <c r="E1522">
        <v>33.666636990299999</v>
      </c>
      <c r="F1522">
        <v>-0.92575676856800004</v>
      </c>
      <c r="G1522">
        <v>7.1</v>
      </c>
    </row>
    <row r="1523" spans="1:7" hidden="1" x14ac:dyDescent="0.25">
      <c r="A1523" t="s">
        <v>2869</v>
      </c>
      <c r="B1523" s="8">
        <v>42142</v>
      </c>
      <c r="C1523">
        <v>130</v>
      </c>
      <c r="D1523">
        <v>22.25</v>
      </c>
      <c r="E1523">
        <v>36.743648698699999</v>
      </c>
      <c r="F1523">
        <v>-4.2372150502899997</v>
      </c>
      <c r="G1523">
        <v>14</v>
      </c>
    </row>
    <row r="1524" spans="1:7" hidden="1" x14ac:dyDescent="0.25">
      <c r="A1524" t="s">
        <v>2870</v>
      </c>
      <c r="B1524" s="8">
        <v>42142</v>
      </c>
      <c r="C1524">
        <v>110</v>
      </c>
      <c r="D1524">
        <v>24.25</v>
      </c>
      <c r="E1524">
        <v>36.743268454899997</v>
      </c>
      <c r="F1524">
        <v>-4.3125310969899999</v>
      </c>
      <c r="G1524">
        <v>14</v>
      </c>
    </row>
    <row r="1525" spans="1:7" hidden="1" x14ac:dyDescent="0.25">
      <c r="A1525" t="s">
        <v>2871</v>
      </c>
      <c r="B1525" s="8">
        <v>42137</v>
      </c>
      <c r="C1525">
        <v>39</v>
      </c>
      <c r="D1525">
        <v>29.75</v>
      </c>
      <c r="E1525">
        <v>32.110109504</v>
      </c>
      <c r="F1525">
        <v>-1.22875695633</v>
      </c>
      <c r="G1525">
        <v>18</v>
      </c>
    </row>
    <row r="1526" spans="1:7" hidden="1" x14ac:dyDescent="0.25">
      <c r="A1526" t="s">
        <v>2872</v>
      </c>
      <c r="B1526" s="8">
        <v>42136</v>
      </c>
      <c r="C1526">
        <v>278</v>
      </c>
      <c r="D1526">
        <v>31</v>
      </c>
      <c r="E1526">
        <v>37.368171611000001</v>
      </c>
      <c r="F1526">
        <v>-0.50801533555300005</v>
      </c>
      <c r="G1526">
        <v>21</v>
      </c>
    </row>
    <row r="1527" spans="1:7" hidden="1" x14ac:dyDescent="0.25">
      <c r="A1527" t="s">
        <v>2872</v>
      </c>
      <c r="B1527" s="8">
        <v>42136</v>
      </c>
      <c r="C1527">
        <v>258</v>
      </c>
      <c r="D1527">
        <v>31</v>
      </c>
      <c r="E1527">
        <v>37.368171611000001</v>
      </c>
      <c r="F1527">
        <v>-0.50801533555300005</v>
      </c>
      <c r="G1527">
        <v>21</v>
      </c>
    </row>
    <row r="1528" spans="1:7" hidden="1" x14ac:dyDescent="0.25">
      <c r="A1528" t="s">
        <v>2873</v>
      </c>
      <c r="B1528" s="8">
        <v>42136</v>
      </c>
      <c r="C1528">
        <v>113</v>
      </c>
      <c r="D1528">
        <v>27.5</v>
      </c>
      <c r="E1528">
        <v>36.296088766399997</v>
      </c>
      <c r="F1528">
        <v>-0.83316869509199998</v>
      </c>
      <c r="G1528">
        <v>-0.5</v>
      </c>
    </row>
    <row r="1529" spans="1:7" hidden="1" x14ac:dyDescent="0.25">
      <c r="A1529" t="s">
        <v>2874</v>
      </c>
      <c r="B1529" s="8">
        <v>42136</v>
      </c>
      <c r="C1529">
        <v>92</v>
      </c>
      <c r="D1529">
        <v>36</v>
      </c>
      <c r="E1529">
        <v>35.373813414799997</v>
      </c>
      <c r="F1529">
        <v>-0.81879530099099995</v>
      </c>
      <c r="G1529">
        <v>16</v>
      </c>
    </row>
    <row r="1530" spans="1:7" hidden="1" x14ac:dyDescent="0.25">
      <c r="A1530" t="s">
        <v>2875</v>
      </c>
      <c r="B1530" s="8">
        <v>42136</v>
      </c>
      <c r="C1530">
        <v>73</v>
      </c>
      <c r="D1530">
        <v>35</v>
      </c>
      <c r="E1530">
        <v>35.397137544099998</v>
      </c>
      <c r="F1530">
        <v>-0.18399731268</v>
      </c>
      <c r="G1530">
        <v>21</v>
      </c>
    </row>
    <row r="1531" spans="1:7" hidden="1" x14ac:dyDescent="0.25">
      <c r="A1531" t="s">
        <v>2876</v>
      </c>
      <c r="B1531" s="8">
        <v>42135</v>
      </c>
      <c r="C1531">
        <v>184</v>
      </c>
      <c r="D1531">
        <v>34.25</v>
      </c>
      <c r="E1531">
        <v>39.046620545400003</v>
      </c>
      <c r="F1531">
        <v>-4.0756494571799999</v>
      </c>
      <c r="G1531">
        <v>11</v>
      </c>
    </row>
    <row r="1532" spans="1:7" hidden="1" x14ac:dyDescent="0.25">
      <c r="A1532" t="s">
        <v>2877</v>
      </c>
      <c r="B1532" s="8">
        <v>42135</v>
      </c>
      <c r="C1532">
        <v>55</v>
      </c>
      <c r="D1532">
        <v>19.5</v>
      </c>
      <c r="E1532">
        <v>36.944555993500003</v>
      </c>
      <c r="F1532">
        <v>-3.8233496264000002</v>
      </c>
      <c r="G1532">
        <v>11</v>
      </c>
    </row>
    <row r="1533" spans="1:7" hidden="1" x14ac:dyDescent="0.25">
      <c r="A1533" t="s">
        <v>2878</v>
      </c>
      <c r="B1533" s="8">
        <v>42135</v>
      </c>
      <c r="C1533">
        <v>37</v>
      </c>
      <c r="D1533">
        <v>31.25</v>
      </c>
      <c r="E1533">
        <v>33.579347639600002</v>
      </c>
      <c r="F1533">
        <v>-1.7561835080599999</v>
      </c>
      <c r="G1533">
        <v>13</v>
      </c>
    </row>
    <row r="1534" spans="1:7" hidden="1" x14ac:dyDescent="0.25">
      <c r="A1534" t="s">
        <v>2879</v>
      </c>
      <c r="B1534" s="8">
        <v>42134</v>
      </c>
      <c r="C1534">
        <v>280</v>
      </c>
      <c r="D1534">
        <v>22.95</v>
      </c>
      <c r="E1534">
        <v>38.172199134899998</v>
      </c>
      <c r="F1534">
        <v>-1.52674325771</v>
      </c>
      <c r="G1534">
        <v>-0.75</v>
      </c>
    </row>
    <row r="1535" spans="1:7" hidden="1" x14ac:dyDescent="0.25">
      <c r="A1535" t="s">
        <v>2880</v>
      </c>
      <c r="B1535" s="8">
        <v>42134</v>
      </c>
      <c r="C1535">
        <v>169</v>
      </c>
      <c r="D1535">
        <v>22</v>
      </c>
      <c r="E1535">
        <v>35.6993955744</v>
      </c>
      <c r="F1535">
        <v>-4.5467959003000002</v>
      </c>
      <c r="G1535">
        <v>-0.5</v>
      </c>
    </row>
    <row r="1536" spans="1:7" hidden="1" x14ac:dyDescent="0.25">
      <c r="A1536" t="s">
        <v>2881</v>
      </c>
      <c r="B1536" s="8">
        <v>42134</v>
      </c>
      <c r="C1536">
        <v>91</v>
      </c>
      <c r="D1536">
        <v>17.45</v>
      </c>
      <c r="E1536">
        <v>35.618386402299997</v>
      </c>
      <c r="F1536">
        <v>-1.27445719327</v>
      </c>
      <c r="G1536">
        <v>-0.75</v>
      </c>
    </row>
    <row r="1537" spans="1:7" hidden="1" x14ac:dyDescent="0.25">
      <c r="A1537" t="s">
        <v>2882</v>
      </c>
      <c r="B1537" s="8">
        <v>42133</v>
      </c>
      <c r="C1537">
        <v>158</v>
      </c>
      <c r="D1537">
        <v>40.75</v>
      </c>
      <c r="E1537">
        <v>35.494088109700002</v>
      </c>
      <c r="F1537">
        <v>-4.7248705156800002</v>
      </c>
      <c r="G1537">
        <v>-0.25</v>
      </c>
    </row>
    <row r="1538" spans="1:7" hidden="1" x14ac:dyDescent="0.25">
      <c r="A1538" t="s">
        <v>2883</v>
      </c>
      <c r="B1538" s="8">
        <v>42133</v>
      </c>
      <c r="C1538">
        <v>57</v>
      </c>
      <c r="D1538">
        <v>47.2</v>
      </c>
      <c r="E1538">
        <v>31.4054535856</v>
      </c>
      <c r="F1538">
        <v>-1.2772586588499999</v>
      </c>
      <c r="G1538">
        <v>6.2</v>
      </c>
    </row>
    <row r="1539" spans="1:7" hidden="1" x14ac:dyDescent="0.25">
      <c r="A1539" t="s">
        <v>2884</v>
      </c>
      <c r="B1539" s="8">
        <v>42132</v>
      </c>
      <c r="C1539">
        <v>263</v>
      </c>
      <c r="D1539">
        <v>30.25</v>
      </c>
      <c r="E1539">
        <v>41.525991083800001</v>
      </c>
      <c r="F1539">
        <v>0.64081752351700005</v>
      </c>
      <c r="G1539">
        <v>-0.5</v>
      </c>
    </row>
    <row r="1540" spans="1:7" hidden="1" x14ac:dyDescent="0.25">
      <c r="A1540" t="s">
        <v>2885</v>
      </c>
      <c r="B1540" s="8">
        <v>42131</v>
      </c>
      <c r="C1540">
        <v>112</v>
      </c>
      <c r="D1540">
        <v>35.75</v>
      </c>
      <c r="E1540">
        <v>35.105595451100001</v>
      </c>
      <c r="F1540">
        <v>-0.92654714766500001</v>
      </c>
      <c r="G1540">
        <v>-0.5</v>
      </c>
    </row>
    <row r="1541" spans="1:7" hidden="1" x14ac:dyDescent="0.25">
      <c r="A1541" t="s">
        <v>2886</v>
      </c>
      <c r="B1541" s="8">
        <v>42130</v>
      </c>
      <c r="C1541">
        <v>224</v>
      </c>
      <c r="D1541">
        <v>27.6</v>
      </c>
      <c r="E1541">
        <v>41.242779879499999</v>
      </c>
      <c r="F1541">
        <v>-2.8456188834399998</v>
      </c>
      <c r="G1541">
        <v>6.1</v>
      </c>
    </row>
    <row r="1542" spans="1:7" hidden="1" x14ac:dyDescent="0.25">
      <c r="A1542" t="s">
        <v>2887</v>
      </c>
      <c r="B1542" s="8">
        <v>42129</v>
      </c>
      <c r="C1542">
        <v>262</v>
      </c>
      <c r="D1542">
        <v>28.45</v>
      </c>
      <c r="E1542">
        <v>43.906751912200001</v>
      </c>
      <c r="F1542">
        <v>-0.46749015080900003</v>
      </c>
      <c r="G1542">
        <v>18.2</v>
      </c>
    </row>
    <row r="1543" spans="1:7" hidden="1" x14ac:dyDescent="0.25">
      <c r="A1543" t="s">
        <v>2888</v>
      </c>
      <c r="B1543" s="8">
        <v>42128</v>
      </c>
      <c r="C1543">
        <v>188</v>
      </c>
      <c r="D1543">
        <v>29.35</v>
      </c>
      <c r="E1543">
        <v>40.084410814100004</v>
      </c>
      <c r="F1543">
        <v>-4.8188979845400004</v>
      </c>
      <c r="G1543">
        <v>-1</v>
      </c>
    </row>
    <row r="1544" spans="1:7" hidden="1" x14ac:dyDescent="0.25">
      <c r="A1544" t="s">
        <v>2889</v>
      </c>
      <c r="B1544" s="8">
        <v>42128</v>
      </c>
      <c r="C1544">
        <v>58</v>
      </c>
      <c r="D1544">
        <v>40.75</v>
      </c>
      <c r="E1544">
        <v>36.684348380000003</v>
      </c>
      <c r="F1544">
        <v>-2.6668886891399999</v>
      </c>
      <c r="G1544">
        <v>15</v>
      </c>
    </row>
    <row r="1545" spans="1:7" hidden="1" x14ac:dyDescent="0.25">
      <c r="A1545" t="s">
        <v>2890</v>
      </c>
      <c r="B1545" s="8">
        <v>42128</v>
      </c>
      <c r="C1545">
        <v>38</v>
      </c>
      <c r="D1545">
        <v>25.85</v>
      </c>
      <c r="E1545">
        <v>33.048981790600003</v>
      </c>
      <c r="F1545">
        <v>-3.3778664613799997E-2</v>
      </c>
      <c r="G1545">
        <v>0.5</v>
      </c>
    </row>
    <row r="1546" spans="1:7" hidden="1" x14ac:dyDescent="0.25">
      <c r="A1546" t="s">
        <v>2891</v>
      </c>
      <c r="B1546" s="8">
        <v>42127</v>
      </c>
      <c r="C1546">
        <v>73</v>
      </c>
      <c r="D1546">
        <v>21.1</v>
      </c>
      <c r="E1546">
        <v>32.973386146499998</v>
      </c>
      <c r="F1546">
        <v>-0.23738530217699999</v>
      </c>
      <c r="G1546">
        <v>11.1</v>
      </c>
    </row>
    <row r="1547" spans="1:7" hidden="1" x14ac:dyDescent="0.25">
      <c r="A1547" t="s">
        <v>2892</v>
      </c>
      <c r="B1547" s="8">
        <v>42126</v>
      </c>
      <c r="C1547">
        <v>279</v>
      </c>
      <c r="D1547">
        <v>26.25</v>
      </c>
      <c r="E1547">
        <v>38.935099530999999</v>
      </c>
      <c r="F1547">
        <v>-2.3696272917200001</v>
      </c>
      <c r="G1547">
        <v>4</v>
      </c>
    </row>
    <row r="1548" spans="1:7" hidden="1" x14ac:dyDescent="0.25">
      <c r="A1548" t="s">
        <v>2893</v>
      </c>
      <c r="B1548" s="8">
        <v>42126</v>
      </c>
      <c r="C1548">
        <v>129</v>
      </c>
      <c r="D1548">
        <v>21.5</v>
      </c>
      <c r="E1548">
        <v>38.381518353300002</v>
      </c>
      <c r="F1548">
        <v>-1.4129360611299999</v>
      </c>
      <c r="G1548">
        <v>4</v>
      </c>
    </row>
    <row r="1549" spans="1:7" hidden="1" x14ac:dyDescent="0.25">
      <c r="A1549" t="s">
        <v>2894</v>
      </c>
      <c r="B1549" s="8">
        <v>42126</v>
      </c>
      <c r="C1549">
        <v>150</v>
      </c>
      <c r="D1549">
        <v>31.5</v>
      </c>
      <c r="E1549">
        <v>34.795173847199997</v>
      </c>
      <c r="F1549">
        <v>-0.581076686886</v>
      </c>
      <c r="G1549">
        <v>15</v>
      </c>
    </row>
    <row r="1550" spans="1:7" hidden="1" x14ac:dyDescent="0.25">
      <c r="A1550" t="s">
        <v>2895</v>
      </c>
      <c r="B1550" s="8">
        <v>42126</v>
      </c>
      <c r="C1550">
        <v>54</v>
      </c>
      <c r="D1550">
        <v>29.25</v>
      </c>
      <c r="E1550">
        <v>35.774272423500001</v>
      </c>
      <c r="F1550">
        <v>-1.3724707979199999</v>
      </c>
      <c r="G1550">
        <v>4</v>
      </c>
    </row>
    <row r="1551" spans="1:7" hidden="1" x14ac:dyDescent="0.25">
      <c r="A1551" t="s">
        <v>2896</v>
      </c>
      <c r="B1551" s="8">
        <v>42125</v>
      </c>
      <c r="C1551">
        <v>260</v>
      </c>
      <c r="D1551">
        <v>42.75</v>
      </c>
      <c r="E1551">
        <v>46.585407421600003</v>
      </c>
      <c r="F1551">
        <v>-2.15382546881</v>
      </c>
      <c r="G1551">
        <v>-0.25</v>
      </c>
    </row>
    <row r="1552" spans="1:7" hidden="1" x14ac:dyDescent="0.25">
      <c r="A1552" t="s">
        <v>2897</v>
      </c>
      <c r="B1552" s="8">
        <v>42125</v>
      </c>
      <c r="C1552">
        <v>98</v>
      </c>
      <c r="D1552">
        <v>37</v>
      </c>
      <c r="E1552">
        <v>35.531057114299998</v>
      </c>
      <c r="F1552">
        <v>-1.5689956145099999</v>
      </c>
      <c r="G1552">
        <v>-0.5</v>
      </c>
    </row>
    <row r="1553" spans="1:7" hidden="1" x14ac:dyDescent="0.25">
      <c r="A1553" t="s">
        <v>2898</v>
      </c>
      <c r="B1553" s="8">
        <v>42123</v>
      </c>
      <c r="C1553">
        <v>146</v>
      </c>
      <c r="D1553">
        <v>26.95</v>
      </c>
      <c r="E1553">
        <v>37.652650884800003</v>
      </c>
      <c r="F1553">
        <v>-0.56398229667900002</v>
      </c>
      <c r="G1553">
        <v>12.2</v>
      </c>
    </row>
    <row r="1554" spans="1:7" hidden="1" x14ac:dyDescent="0.25">
      <c r="A1554" t="s">
        <v>2899</v>
      </c>
      <c r="B1554" s="8">
        <v>42123</v>
      </c>
      <c r="C1554">
        <v>58</v>
      </c>
      <c r="D1554">
        <v>22</v>
      </c>
      <c r="E1554">
        <v>33.414885579100002</v>
      </c>
      <c r="F1554">
        <v>-1.90166026729</v>
      </c>
      <c r="G1554">
        <v>15</v>
      </c>
    </row>
    <row r="1555" spans="1:7" hidden="1" x14ac:dyDescent="0.25">
      <c r="A1555" t="s">
        <v>2900</v>
      </c>
      <c r="B1555" s="8">
        <v>42122</v>
      </c>
      <c r="C1555">
        <v>219</v>
      </c>
      <c r="D1555">
        <v>59.5</v>
      </c>
      <c r="E1555">
        <v>39.570552913699998</v>
      </c>
      <c r="F1555">
        <v>-0.50949644304399999</v>
      </c>
      <c r="G1555">
        <v>16</v>
      </c>
    </row>
    <row r="1556" spans="1:7" hidden="1" x14ac:dyDescent="0.25">
      <c r="A1556" t="s">
        <v>2901</v>
      </c>
      <c r="B1556" s="8">
        <v>42122</v>
      </c>
      <c r="C1556">
        <v>113</v>
      </c>
      <c r="D1556">
        <v>45.25</v>
      </c>
      <c r="E1556">
        <v>37.541127392200003</v>
      </c>
      <c r="F1556">
        <v>-0.552881057126</v>
      </c>
      <c r="G1556">
        <v>16</v>
      </c>
    </row>
    <row r="1557" spans="1:7" hidden="1" x14ac:dyDescent="0.25">
      <c r="A1557" t="s">
        <v>2902</v>
      </c>
      <c r="B1557" s="8">
        <v>42121</v>
      </c>
      <c r="C1557">
        <v>242</v>
      </c>
      <c r="D1557">
        <v>30.45</v>
      </c>
      <c r="E1557">
        <v>40.516124660099997</v>
      </c>
      <c r="F1557">
        <v>-1.24462034601</v>
      </c>
      <c r="G1557">
        <v>8.1999999999999993</v>
      </c>
    </row>
    <row r="1558" spans="1:7" hidden="1" x14ac:dyDescent="0.25">
      <c r="A1558" t="s">
        <v>2903</v>
      </c>
      <c r="B1558" s="8">
        <v>42121</v>
      </c>
      <c r="C1558">
        <v>203</v>
      </c>
      <c r="D1558">
        <v>19.45</v>
      </c>
      <c r="E1558">
        <v>39.243526896299997</v>
      </c>
      <c r="F1558">
        <v>-0.182145600341</v>
      </c>
      <c r="G1558">
        <v>8.1999999999999993</v>
      </c>
    </row>
    <row r="1559" spans="1:7" hidden="1" x14ac:dyDescent="0.25">
      <c r="A1559" t="s">
        <v>2904</v>
      </c>
      <c r="B1559" s="8">
        <v>42121</v>
      </c>
      <c r="C1559">
        <v>113</v>
      </c>
      <c r="D1559">
        <v>27.95</v>
      </c>
      <c r="E1559">
        <v>39.344434812099998</v>
      </c>
      <c r="F1559">
        <v>-2.49755487955</v>
      </c>
      <c r="G1559">
        <v>8.1999999999999993</v>
      </c>
    </row>
    <row r="1560" spans="1:7" hidden="1" x14ac:dyDescent="0.25">
      <c r="A1560" t="s">
        <v>2905</v>
      </c>
      <c r="B1560" s="8">
        <v>42120</v>
      </c>
      <c r="C1560">
        <v>266</v>
      </c>
      <c r="D1560">
        <v>29.5</v>
      </c>
      <c r="E1560">
        <v>36.303523482700001</v>
      </c>
      <c r="F1560">
        <v>-1.02848885769</v>
      </c>
      <c r="G1560">
        <v>-1</v>
      </c>
    </row>
    <row r="1561" spans="1:7" hidden="1" x14ac:dyDescent="0.25">
      <c r="A1561" t="s">
        <v>2906</v>
      </c>
      <c r="B1561" s="8">
        <v>42120</v>
      </c>
      <c r="C1561">
        <v>96</v>
      </c>
      <c r="D1561">
        <v>11.75</v>
      </c>
      <c r="E1561">
        <v>34.480550130300003</v>
      </c>
      <c r="F1561">
        <v>-0.12450285490599999</v>
      </c>
      <c r="G1561">
        <v>1.25</v>
      </c>
    </row>
    <row r="1562" spans="1:7" hidden="1" x14ac:dyDescent="0.25">
      <c r="A1562" t="s">
        <v>2907</v>
      </c>
      <c r="B1562" s="8">
        <v>42119</v>
      </c>
      <c r="C1562">
        <v>147</v>
      </c>
      <c r="D1562">
        <v>33.950000000000003</v>
      </c>
      <c r="E1562">
        <v>35.9650528831</v>
      </c>
      <c r="F1562">
        <v>-2.0792941279599999</v>
      </c>
      <c r="G1562">
        <v>8.1999999999999993</v>
      </c>
    </row>
    <row r="1563" spans="1:7" hidden="1" x14ac:dyDescent="0.25">
      <c r="A1563" t="s">
        <v>2908</v>
      </c>
      <c r="B1563" s="8">
        <v>42119</v>
      </c>
      <c r="C1563">
        <v>76</v>
      </c>
      <c r="D1563">
        <v>30.7</v>
      </c>
      <c r="E1563">
        <v>36.552938234800003</v>
      </c>
      <c r="F1563">
        <v>-1.01749543932</v>
      </c>
      <c r="G1563">
        <v>17.2</v>
      </c>
    </row>
    <row r="1564" spans="1:7" hidden="1" x14ac:dyDescent="0.25">
      <c r="A1564" t="s">
        <v>2909</v>
      </c>
      <c r="B1564" s="8">
        <v>42118</v>
      </c>
      <c r="C1564">
        <v>283</v>
      </c>
      <c r="D1564">
        <v>41.5</v>
      </c>
      <c r="E1564">
        <v>37.886421784600003</v>
      </c>
      <c r="F1564">
        <v>-2.0057562623199998</v>
      </c>
      <c r="G1564">
        <v>22</v>
      </c>
    </row>
    <row r="1565" spans="1:7" hidden="1" x14ac:dyDescent="0.25">
      <c r="A1565" t="s">
        <v>2910</v>
      </c>
      <c r="B1565" s="8">
        <v>42118</v>
      </c>
      <c r="C1565">
        <v>94</v>
      </c>
      <c r="D1565">
        <v>29.5</v>
      </c>
      <c r="E1565">
        <v>36.012244984600002</v>
      </c>
      <c r="F1565">
        <v>-1.3999697591</v>
      </c>
      <c r="G1565">
        <v>22</v>
      </c>
    </row>
    <row r="1566" spans="1:7" hidden="1" x14ac:dyDescent="0.25">
      <c r="A1566" t="s">
        <v>2911</v>
      </c>
      <c r="B1566" s="8">
        <v>42118</v>
      </c>
      <c r="C1566">
        <v>56</v>
      </c>
      <c r="D1566">
        <v>27.75</v>
      </c>
      <c r="E1566">
        <v>30.580952579800002</v>
      </c>
      <c r="F1566">
        <v>-0.60824222816899998</v>
      </c>
      <c r="G1566">
        <v>10</v>
      </c>
    </row>
    <row r="1567" spans="1:7" hidden="1" x14ac:dyDescent="0.25">
      <c r="A1567" t="s">
        <v>2912</v>
      </c>
      <c r="B1567" s="8">
        <v>42117</v>
      </c>
      <c r="C1567">
        <v>53</v>
      </c>
      <c r="D1567">
        <v>16.75</v>
      </c>
      <c r="E1567">
        <v>32.128100537400002</v>
      </c>
      <c r="F1567">
        <v>-2.58755266456</v>
      </c>
      <c r="G1567">
        <v>-0.5</v>
      </c>
    </row>
    <row r="1568" spans="1:7" hidden="1" x14ac:dyDescent="0.25">
      <c r="A1568" t="s">
        <v>2913</v>
      </c>
      <c r="B1568" s="8">
        <v>42117</v>
      </c>
      <c r="C1568">
        <v>79</v>
      </c>
      <c r="D1568">
        <v>16.75</v>
      </c>
      <c r="E1568">
        <v>34.533587975800003</v>
      </c>
      <c r="F1568">
        <v>-0.22564698825599999</v>
      </c>
      <c r="G1568">
        <v>7</v>
      </c>
    </row>
    <row r="1569" spans="1:7" hidden="1" x14ac:dyDescent="0.25">
      <c r="A1569" t="s">
        <v>2914</v>
      </c>
      <c r="B1569" s="8">
        <v>42116</v>
      </c>
      <c r="C1569">
        <v>281</v>
      </c>
      <c r="D1569">
        <v>34.1</v>
      </c>
      <c r="E1569">
        <v>38.603593016600001</v>
      </c>
      <c r="F1569">
        <v>-4.5442595754799999</v>
      </c>
      <c r="G1569">
        <v>-0.25</v>
      </c>
    </row>
    <row r="1570" spans="1:7" hidden="1" x14ac:dyDescent="0.25">
      <c r="A1570" t="s">
        <v>2914</v>
      </c>
      <c r="B1570" s="8">
        <v>42116</v>
      </c>
      <c r="C1570">
        <v>261</v>
      </c>
      <c r="D1570">
        <v>34.1</v>
      </c>
      <c r="E1570">
        <v>38.603593016600001</v>
      </c>
      <c r="F1570">
        <v>-4.5442595754799999</v>
      </c>
      <c r="G1570">
        <v>-0.25</v>
      </c>
    </row>
    <row r="1571" spans="1:7" hidden="1" x14ac:dyDescent="0.25">
      <c r="A1571" t="s">
        <v>2915</v>
      </c>
      <c r="B1571" s="8">
        <v>42116</v>
      </c>
      <c r="C1571">
        <v>74</v>
      </c>
      <c r="D1571">
        <v>31.6</v>
      </c>
      <c r="E1571">
        <v>33.293633872999997</v>
      </c>
      <c r="F1571">
        <v>-0.43395085659900001</v>
      </c>
      <c r="G1571">
        <v>-0.25</v>
      </c>
    </row>
    <row r="1572" spans="1:7" hidden="1" x14ac:dyDescent="0.25">
      <c r="A1572" t="s">
        <v>2916</v>
      </c>
      <c r="B1572" s="8">
        <v>42116</v>
      </c>
      <c r="C1572">
        <v>55</v>
      </c>
      <c r="D1572">
        <v>32.25</v>
      </c>
      <c r="E1572">
        <v>34.677777502200001</v>
      </c>
      <c r="F1572">
        <v>-0.77915940218000002</v>
      </c>
      <c r="G1572">
        <v>19</v>
      </c>
    </row>
    <row r="1573" spans="1:7" hidden="1" x14ac:dyDescent="0.25">
      <c r="A1573" t="s">
        <v>2917</v>
      </c>
      <c r="B1573" s="8">
        <v>42115</v>
      </c>
      <c r="C1573">
        <v>278</v>
      </c>
      <c r="D1573">
        <v>18.5</v>
      </c>
      <c r="E1573">
        <v>41.921849715299999</v>
      </c>
      <c r="F1573">
        <v>-5.08973521325</v>
      </c>
      <c r="G1573">
        <v>11</v>
      </c>
    </row>
    <row r="1574" spans="1:7" hidden="1" x14ac:dyDescent="0.25">
      <c r="A1574" t="s">
        <v>2918</v>
      </c>
      <c r="B1574" s="8">
        <v>42115</v>
      </c>
      <c r="C1574">
        <v>74</v>
      </c>
      <c r="D1574">
        <v>29.5</v>
      </c>
      <c r="E1574">
        <v>31.306768644600002</v>
      </c>
      <c r="F1574">
        <v>-3.4364882217999999</v>
      </c>
      <c r="G1574">
        <v>4</v>
      </c>
    </row>
    <row r="1575" spans="1:7" hidden="1" x14ac:dyDescent="0.25">
      <c r="A1575" t="s">
        <v>2919</v>
      </c>
      <c r="B1575" s="8">
        <v>42114</v>
      </c>
      <c r="C1575">
        <v>152</v>
      </c>
      <c r="D1575">
        <v>11</v>
      </c>
      <c r="E1575">
        <v>35.842207811900003</v>
      </c>
      <c r="F1575">
        <v>-4.0569046548600003</v>
      </c>
      <c r="G1575">
        <v>-0.5</v>
      </c>
    </row>
    <row r="1576" spans="1:7" hidden="1" x14ac:dyDescent="0.25">
      <c r="A1576" t="s">
        <v>2920</v>
      </c>
      <c r="B1576" s="8">
        <v>42114</v>
      </c>
      <c r="C1576">
        <v>57</v>
      </c>
      <c r="D1576">
        <v>-1</v>
      </c>
      <c r="E1576">
        <v>31.9873496887</v>
      </c>
      <c r="F1576">
        <v>-2.74147004263</v>
      </c>
      <c r="G1576">
        <v>-2</v>
      </c>
    </row>
    <row r="1577" spans="1:7" hidden="1" x14ac:dyDescent="0.25">
      <c r="A1577" t="s">
        <v>2921</v>
      </c>
      <c r="B1577" s="8">
        <v>42113</v>
      </c>
      <c r="C1577">
        <v>284</v>
      </c>
      <c r="D1577">
        <v>42.85</v>
      </c>
      <c r="E1577">
        <v>37.981360815400002</v>
      </c>
      <c r="F1577">
        <v>-1.8412356731999999</v>
      </c>
      <c r="G1577">
        <v>17.100000000000001</v>
      </c>
    </row>
    <row r="1578" spans="1:7" hidden="1" x14ac:dyDescent="0.25">
      <c r="A1578" t="s">
        <v>2922</v>
      </c>
      <c r="B1578" s="8">
        <v>42113</v>
      </c>
      <c r="C1578">
        <v>211</v>
      </c>
      <c r="D1578">
        <v>42.85</v>
      </c>
      <c r="E1578">
        <v>37.659056599899998</v>
      </c>
      <c r="F1578">
        <v>-1.7296905390599999</v>
      </c>
      <c r="G1578">
        <v>17.100000000000001</v>
      </c>
    </row>
    <row r="1579" spans="1:7" hidden="1" x14ac:dyDescent="0.25">
      <c r="A1579" t="s">
        <v>2923</v>
      </c>
      <c r="B1579" s="8">
        <v>42113</v>
      </c>
      <c r="C1579">
        <v>74</v>
      </c>
      <c r="D1579">
        <v>35.75</v>
      </c>
      <c r="E1579">
        <v>34.9379497993</v>
      </c>
      <c r="F1579">
        <v>-5.3658607913000003</v>
      </c>
      <c r="G1579">
        <v>15</v>
      </c>
    </row>
    <row r="1580" spans="1:7" hidden="1" x14ac:dyDescent="0.25">
      <c r="A1580" t="s">
        <v>2924</v>
      </c>
      <c r="B1580" s="8">
        <v>42112</v>
      </c>
      <c r="C1580">
        <v>150</v>
      </c>
      <c r="D1580">
        <v>41.45</v>
      </c>
      <c r="E1580">
        <v>36.7641383347</v>
      </c>
      <c r="F1580">
        <v>-1.9087607530299999</v>
      </c>
      <c r="G1580">
        <v>10.199999999999999</v>
      </c>
    </row>
    <row r="1581" spans="1:7" hidden="1" x14ac:dyDescent="0.25">
      <c r="A1581" t="s">
        <v>2925</v>
      </c>
      <c r="B1581" s="8">
        <v>42111</v>
      </c>
      <c r="C1581">
        <v>245</v>
      </c>
      <c r="D1581">
        <v>46.75</v>
      </c>
      <c r="E1581">
        <v>40.171083023000001</v>
      </c>
      <c r="F1581">
        <v>-0.76469593090099997</v>
      </c>
      <c r="G1581">
        <v>1.75</v>
      </c>
    </row>
    <row r="1582" spans="1:7" hidden="1" x14ac:dyDescent="0.25">
      <c r="A1582" t="s">
        <v>2926</v>
      </c>
      <c r="B1582" s="8">
        <v>42111</v>
      </c>
      <c r="C1582">
        <v>55</v>
      </c>
      <c r="D1582">
        <v>44.75</v>
      </c>
      <c r="E1582">
        <v>35.396379721300001</v>
      </c>
      <c r="F1582">
        <v>-2.0780285868499999</v>
      </c>
      <c r="G1582">
        <v>1.75</v>
      </c>
    </row>
    <row r="1583" spans="1:7" hidden="1" x14ac:dyDescent="0.25">
      <c r="A1583" t="s">
        <v>2927</v>
      </c>
      <c r="B1583" s="8">
        <v>42111</v>
      </c>
      <c r="C1583">
        <v>78</v>
      </c>
      <c r="D1583">
        <v>36.25</v>
      </c>
      <c r="E1583">
        <v>34.131697101299999</v>
      </c>
      <c r="F1583">
        <v>-0.84248182479300004</v>
      </c>
      <c r="G1583">
        <v>14</v>
      </c>
    </row>
    <row r="1584" spans="1:7" hidden="1" x14ac:dyDescent="0.25">
      <c r="A1584" t="s">
        <v>2928</v>
      </c>
      <c r="B1584" s="8">
        <v>42143</v>
      </c>
      <c r="C1584">
        <v>279</v>
      </c>
      <c r="D1584">
        <v>33.950000000000003</v>
      </c>
      <c r="E1584">
        <v>36.812642678300001</v>
      </c>
      <c r="F1584">
        <v>-0.44733834794499999</v>
      </c>
      <c r="G1584">
        <v>9.1999999999999993</v>
      </c>
    </row>
    <row r="1585" spans="1:7" hidden="1" x14ac:dyDescent="0.25">
      <c r="A1585" t="s">
        <v>2929</v>
      </c>
      <c r="B1585" s="8">
        <v>42144</v>
      </c>
      <c r="C1585">
        <v>277</v>
      </c>
      <c r="D1585">
        <v>27.25</v>
      </c>
      <c r="E1585">
        <v>38.1217876105</v>
      </c>
      <c r="F1585">
        <v>-9.5794008957500001</v>
      </c>
      <c r="G1585">
        <v>15</v>
      </c>
    </row>
    <row r="1586" spans="1:7" hidden="1" x14ac:dyDescent="0.25">
      <c r="A1586" t="s">
        <v>2930</v>
      </c>
      <c r="B1586" s="8">
        <v>42144</v>
      </c>
      <c r="C1586">
        <v>257</v>
      </c>
      <c r="D1586">
        <v>27.2</v>
      </c>
      <c r="E1586">
        <v>37.814185807299999</v>
      </c>
      <c r="F1586">
        <v>-9.7577028652099997</v>
      </c>
      <c r="G1586">
        <v>14.2</v>
      </c>
    </row>
    <row r="1587" spans="1:7" hidden="1" x14ac:dyDescent="0.25">
      <c r="A1587" t="s">
        <v>2931</v>
      </c>
      <c r="B1587" s="8">
        <v>42145</v>
      </c>
      <c r="C1587">
        <v>223</v>
      </c>
      <c r="D1587">
        <v>49</v>
      </c>
      <c r="E1587">
        <v>39.003472006800003</v>
      </c>
      <c r="F1587">
        <v>-0.73851517697799995</v>
      </c>
      <c r="G1587">
        <v>23</v>
      </c>
    </row>
    <row r="1588" spans="1:7" hidden="1" x14ac:dyDescent="0.25">
      <c r="A1588" t="s">
        <v>2932</v>
      </c>
      <c r="B1588" s="8">
        <v>42145</v>
      </c>
      <c r="C1588">
        <v>109</v>
      </c>
      <c r="D1588">
        <v>50.25</v>
      </c>
      <c r="E1588">
        <v>38.211817195400002</v>
      </c>
      <c r="F1588">
        <v>-0.45643396229299998</v>
      </c>
      <c r="G1588">
        <v>23</v>
      </c>
    </row>
    <row r="1589" spans="1:7" hidden="1" x14ac:dyDescent="0.25">
      <c r="A1589" t="s">
        <v>2933</v>
      </c>
      <c r="B1589" s="8">
        <v>42145</v>
      </c>
      <c r="C1589">
        <v>34</v>
      </c>
      <c r="D1589">
        <v>35.1</v>
      </c>
      <c r="E1589">
        <v>33.540446854400003</v>
      </c>
      <c r="F1589">
        <v>-1.97524496339</v>
      </c>
      <c r="G1589">
        <v>5.75</v>
      </c>
    </row>
    <row r="1590" spans="1:7" hidden="1" x14ac:dyDescent="0.25">
      <c r="A1590" t="s">
        <v>2934</v>
      </c>
      <c r="B1590" s="8">
        <v>42145</v>
      </c>
      <c r="C1590">
        <v>114</v>
      </c>
      <c r="D1590">
        <v>25.85</v>
      </c>
      <c r="E1590">
        <v>33.6710350842</v>
      </c>
      <c r="F1590">
        <v>-1.2970421133400001</v>
      </c>
      <c r="G1590">
        <v>9.1</v>
      </c>
    </row>
    <row r="1591" spans="1:7" hidden="1" x14ac:dyDescent="0.25">
      <c r="A1591" t="s">
        <v>2935</v>
      </c>
      <c r="B1591" s="8">
        <v>42146</v>
      </c>
      <c r="C1591">
        <v>278</v>
      </c>
      <c r="D1591">
        <v>16.75</v>
      </c>
      <c r="E1591">
        <v>41.198285921699998</v>
      </c>
      <c r="F1591">
        <v>-9.9793017554900008</v>
      </c>
      <c r="G1591">
        <v>6</v>
      </c>
    </row>
    <row r="1592" spans="1:7" hidden="1" x14ac:dyDescent="0.25">
      <c r="A1592" t="s">
        <v>2936</v>
      </c>
      <c r="B1592" s="8">
        <v>42146</v>
      </c>
      <c r="C1592">
        <v>58</v>
      </c>
      <c r="D1592">
        <v>23.75</v>
      </c>
      <c r="E1592">
        <v>32.519461974199999</v>
      </c>
      <c r="F1592">
        <v>-0.63113036976699999</v>
      </c>
      <c r="G1592">
        <v>5</v>
      </c>
    </row>
    <row r="1593" spans="1:7" hidden="1" x14ac:dyDescent="0.25">
      <c r="A1593" t="s">
        <v>2937</v>
      </c>
      <c r="B1593" s="8">
        <v>42147</v>
      </c>
      <c r="C1593">
        <v>118</v>
      </c>
      <c r="D1593">
        <v>16.45</v>
      </c>
      <c r="E1593">
        <v>34.3514173951</v>
      </c>
      <c r="F1593">
        <v>-0.97119332142399994</v>
      </c>
      <c r="G1593">
        <v>1.75</v>
      </c>
    </row>
    <row r="1594" spans="1:7" hidden="1" x14ac:dyDescent="0.25">
      <c r="A1594" t="s">
        <v>2938</v>
      </c>
      <c r="B1594" s="8">
        <v>42147</v>
      </c>
      <c r="C1594">
        <v>61</v>
      </c>
      <c r="D1594">
        <v>33.700000000000003</v>
      </c>
      <c r="E1594">
        <v>33.336169548100003</v>
      </c>
      <c r="F1594">
        <v>-0.90526845194100003</v>
      </c>
      <c r="G1594">
        <v>1.75</v>
      </c>
    </row>
    <row r="1595" spans="1:7" hidden="1" x14ac:dyDescent="0.25">
      <c r="A1595" t="s">
        <v>2939</v>
      </c>
      <c r="B1595" s="8">
        <v>42147</v>
      </c>
      <c r="C1595">
        <v>34</v>
      </c>
      <c r="D1595">
        <v>38.75</v>
      </c>
      <c r="E1595">
        <v>32.537529865099998</v>
      </c>
      <c r="F1595">
        <v>-1.18099980334</v>
      </c>
      <c r="G1595">
        <v>10</v>
      </c>
    </row>
    <row r="1596" spans="1:7" hidden="1" x14ac:dyDescent="0.25">
      <c r="A1596" t="s">
        <v>2940</v>
      </c>
      <c r="B1596" s="8">
        <v>42148</v>
      </c>
      <c r="C1596">
        <v>281</v>
      </c>
      <c r="D1596">
        <v>29.95</v>
      </c>
      <c r="E1596">
        <v>37.462855811099999</v>
      </c>
      <c r="F1596">
        <v>-2.6866230565699998</v>
      </c>
      <c r="G1596">
        <v>14.2</v>
      </c>
    </row>
    <row r="1597" spans="1:7" hidden="1" x14ac:dyDescent="0.25">
      <c r="A1597" t="s">
        <v>2941</v>
      </c>
      <c r="B1597" s="8">
        <v>42148</v>
      </c>
      <c r="C1597">
        <v>209</v>
      </c>
      <c r="D1597">
        <v>21.45</v>
      </c>
      <c r="E1597">
        <v>36.719057344100001</v>
      </c>
      <c r="F1597">
        <v>-1.4561737323499999</v>
      </c>
      <c r="G1597">
        <v>14.2</v>
      </c>
    </row>
    <row r="1598" spans="1:7" hidden="1" x14ac:dyDescent="0.25">
      <c r="A1598" t="s">
        <v>2942</v>
      </c>
      <c r="B1598" s="8">
        <v>42148</v>
      </c>
      <c r="C1598">
        <v>72</v>
      </c>
      <c r="D1598">
        <v>25.5</v>
      </c>
      <c r="E1598">
        <v>32.645897527000002</v>
      </c>
      <c r="F1598">
        <v>-1.6608346899099999</v>
      </c>
      <c r="G1598">
        <v>15</v>
      </c>
    </row>
    <row r="1599" spans="1:7" hidden="1" x14ac:dyDescent="0.25">
      <c r="A1599" t="s">
        <v>2943</v>
      </c>
      <c r="B1599" s="8">
        <v>42149</v>
      </c>
      <c r="C1599">
        <v>280</v>
      </c>
      <c r="D1599">
        <v>40</v>
      </c>
      <c r="E1599">
        <v>37.602056209399997</v>
      </c>
      <c r="F1599">
        <v>-4.1459717410800003</v>
      </c>
      <c r="G1599">
        <v>15</v>
      </c>
    </row>
    <row r="1600" spans="1:7" hidden="1" x14ac:dyDescent="0.25">
      <c r="A1600" t="s">
        <v>2944</v>
      </c>
      <c r="B1600" s="8">
        <v>42149</v>
      </c>
      <c r="C1600">
        <v>96</v>
      </c>
      <c r="D1600">
        <v>31.25</v>
      </c>
      <c r="E1600">
        <v>35.019264159899997</v>
      </c>
      <c r="F1600">
        <v>-1.06555106663E-2</v>
      </c>
      <c r="G1600">
        <v>15</v>
      </c>
    </row>
    <row r="1601" spans="1:7" hidden="1" x14ac:dyDescent="0.25">
      <c r="A1601" t="s">
        <v>2945</v>
      </c>
      <c r="B1601" s="8">
        <v>42149</v>
      </c>
      <c r="C1601">
        <v>184</v>
      </c>
      <c r="D1601">
        <v>44.25</v>
      </c>
      <c r="E1601">
        <v>36.654590822800003</v>
      </c>
      <c r="F1601">
        <v>-4.9112251056999998</v>
      </c>
      <c r="G1601">
        <v>13</v>
      </c>
    </row>
    <row r="1602" spans="1:7" hidden="1" x14ac:dyDescent="0.25">
      <c r="A1602" t="s">
        <v>2946</v>
      </c>
      <c r="B1602" s="8">
        <v>42150</v>
      </c>
      <c r="C1602">
        <v>279</v>
      </c>
      <c r="D1602">
        <v>39.35</v>
      </c>
      <c r="E1602">
        <v>45.802819002600003</v>
      </c>
      <c r="F1602">
        <v>-0.84305202170399995</v>
      </c>
      <c r="G1602">
        <v>14.1</v>
      </c>
    </row>
    <row r="1603" spans="1:7" hidden="1" x14ac:dyDescent="0.25">
      <c r="A1603" t="s">
        <v>2947</v>
      </c>
      <c r="B1603" s="8">
        <v>42151</v>
      </c>
      <c r="C1603">
        <v>279</v>
      </c>
      <c r="D1603">
        <v>38</v>
      </c>
      <c r="E1603">
        <v>42.410400779100002</v>
      </c>
      <c r="F1603">
        <v>-4.0844611568399998</v>
      </c>
      <c r="G1603">
        <v>14</v>
      </c>
    </row>
    <row r="1604" spans="1:7" hidden="1" x14ac:dyDescent="0.25">
      <c r="A1604" t="s">
        <v>2948</v>
      </c>
      <c r="B1604" s="8">
        <v>42151</v>
      </c>
      <c r="C1604">
        <v>166</v>
      </c>
      <c r="D1604">
        <v>37.950000000000003</v>
      </c>
      <c r="E1604">
        <v>40.684513185</v>
      </c>
      <c r="F1604">
        <v>-9.8553062783600005</v>
      </c>
      <c r="G1604">
        <v>17.2</v>
      </c>
    </row>
    <row r="1605" spans="1:7" hidden="1" x14ac:dyDescent="0.25">
      <c r="A1605" t="s">
        <v>2949</v>
      </c>
      <c r="B1605" s="8">
        <v>42151</v>
      </c>
      <c r="C1605">
        <v>73</v>
      </c>
      <c r="D1605">
        <v>23.75</v>
      </c>
      <c r="E1605">
        <v>36.9883068352</v>
      </c>
      <c r="F1605">
        <v>-0.57489237323200004</v>
      </c>
      <c r="G1605">
        <v>14</v>
      </c>
    </row>
    <row r="1606" spans="1:7" hidden="1" x14ac:dyDescent="0.25">
      <c r="A1606" t="s">
        <v>2950</v>
      </c>
      <c r="B1606" s="8">
        <v>42151</v>
      </c>
      <c r="C1606">
        <v>93</v>
      </c>
      <c r="D1606">
        <v>32.700000000000003</v>
      </c>
      <c r="E1606">
        <v>39.3602923742</v>
      </c>
      <c r="F1606">
        <v>-9.6104348125500003</v>
      </c>
      <c r="G1606">
        <v>17.2</v>
      </c>
    </row>
    <row r="1607" spans="1:7" hidden="1" x14ac:dyDescent="0.25">
      <c r="A1607" t="s">
        <v>2951</v>
      </c>
      <c r="B1607" s="8">
        <v>42152</v>
      </c>
      <c r="C1607">
        <v>140</v>
      </c>
      <c r="D1607">
        <v>44.45</v>
      </c>
      <c r="E1607">
        <v>35.916767156500001</v>
      </c>
      <c r="F1607">
        <v>-0.37357833169100002</v>
      </c>
      <c r="G1607">
        <v>23.2</v>
      </c>
    </row>
    <row r="1608" spans="1:7" hidden="1" x14ac:dyDescent="0.25">
      <c r="A1608" t="s">
        <v>2951</v>
      </c>
      <c r="B1608" s="8">
        <v>42152</v>
      </c>
      <c r="C1608">
        <v>140</v>
      </c>
      <c r="D1608">
        <v>44.45</v>
      </c>
      <c r="E1608">
        <v>35.916767156500001</v>
      </c>
      <c r="F1608">
        <v>-0.37357833169100002</v>
      </c>
      <c r="G1608">
        <v>23.2</v>
      </c>
    </row>
    <row r="1609" spans="1:7" hidden="1" x14ac:dyDescent="0.25">
      <c r="A1609" t="s">
        <v>2952</v>
      </c>
      <c r="B1609" s="8">
        <v>42152</v>
      </c>
      <c r="C1609">
        <v>93</v>
      </c>
      <c r="D1609">
        <v>39</v>
      </c>
      <c r="E1609">
        <v>33.127601971099999</v>
      </c>
      <c r="F1609">
        <v>-0.40141655558299999</v>
      </c>
      <c r="G1609">
        <v>21</v>
      </c>
    </row>
    <row r="1610" spans="1:7" hidden="1" x14ac:dyDescent="0.25">
      <c r="A1610" t="s">
        <v>2953</v>
      </c>
      <c r="B1610" s="8">
        <v>42152</v>
      </c>
      <c r="C1610">
        <v>113</v>
      </c>
      <c r="D1610">
        <v>40.25</v>
      </c>
      <c r="E1610">
        <v>33.674660981499997</v>
      </c>
      <c r="F1610">
        <v>-0.37588248462599999</v>
      </c>
      <c r="G1610">
        <v>21</v>
      </c>
    </row>
    <row r="1611" spans="1:7" hidden="1" x14ac:dyDescent="0.25">
      <c r="A1611" t="s">
        <v>2954</v>
      </c>
      <c r="B1611" s="8">
        <v>42153</v>
      </c>
      <c r="C1611">
        <v>281</v>
      </c>
      <c r="D1611">
        <v>19</v>
      </c>
      <c r="E1611">
        <v>38.654233352399999</v>
      </c>
      <c r="F1611">
        <v>-2.5974624582299999</v>
      </c>
      <c r="G1611">
        <v>-0.5</v>
      </c>
    </row>
    <row r="1612" spans="1:7" hidden="1" x14ac:dyDescent="0.25">
      <c r="A1612" t="s">
        <v>2955</v>
      </c>
      <c r="B1612" s="8">
        <v>42153</v>
      </c>
      <c r="C1612">
        <v>263</v>
      </c>
      <c r="D1612">
        <v>29.75</v>
      </c>
      <c r="E1612">
        <v>38.369477531100003</v>
      </c>
      <c r="F1612">
        <v>-2.5942002743899999</v>
      </c>
      <c r="G1612">
        <v>-0.5</v>
      </c>
    </row>
    <row r="1613" spans="1:7" hidden="1" x14ac:dyDescent="0.25">
      <c r="A1613" t="s">
        <v>2956</v>
      </c>
      <c r="B1613" s="8">
        <v>42154</v>
      </c>
      <c r="C1613">
        <v>262</v>
      </c>
      <c r="D1613">
        <v>8.4499999999999993</v>
      </c>
      <c r="E1613">
        <v>39.218140484999999</v>
      </c>
      <c r="F1613">
        <v>-0.310047037842</v>
      </c>
      <c r="G1613">
        <v>-4.8</v>
      </c>
    </row>
    <row r="1614" spans="1:7" hidden="1" x14ac:dyDescent="0.25">
      <c r="A1614" t="s">
        <v>2957</v>
      </c>
      <c r="B1614" s="8">
        <v>42154</v>
      </c>
      <c r="C1614">
        <v>130</v>
      </c>
      <c r="D1614">
        <v>13.2</v>
      </c>
      <c r="E1614">
        <v>35.7325937361</v>
      </c>
      <c r="F1614">
        <v>-1.0108868881999999</v>
      </c>
      <c r="G1614">
        <v>-4.8</v>
      </c>
    </row>
    <row r="1615" spans="1:7" hidden="1" x14ac:dyDescent="0.25">
      <c r="A1615" t="s">
        <v>2958</v>
      </c>
      <c r="B1615" s="8">
        <v>42154</v>
      </c>
      <c r="C1615">
        <v>132</v>
      </c>
      <c r="D1615">
        <v>31</v>
      </c>
      <c r="E1615">
        <v>37.898454387599998</v>
      </c>
      <c r="F1615">
        <v>0.64634705473800003</v>
      </c>
      <c r="G1615">
        <v>24</v>
      </c>
    </row>
    <row r="1616" spans="1:7" hidden="1" x14ac:dyDescent="0.25">
      <c r="A1616" t="s">
        <v>2959</v>
      </c>
      <c r="B1616" s="8">
        <v>42154</v>
      </c>
      <c r="C1616">
        <v>130</v>
      </c>
      <c r="D1616">
        <v>28.25</v>
      </c>
      <c r="E1616">
        <v>36.203838888200004</v>
      </c>
      <c r="F1616">
        <v>-0.58048237487999998</v>
      </c>
      <c r="G1616">
        <v>24</v>
      </c>
    </row>
    <row r="1617" spans="1:7" hidden="1" x14ac:dyDescent="0.25">
      <c r="A1617" t="s">
        <v>2960</v>
      </c>
      <c r="B1617" s="8">
        <v>42155</v>
      </c>
      <c r="C1617">
        <v>280</v>
      </c>
      <c r="D1617">
        <v>15</v>
      </c>
      <c r="E1617">
        <v>36.680839473100001</v>
      </c>
      <c r="F1617">
        <v>-4.5949472067499997</v>
      </c>
      <c r="G1617">
        <v>2</v>
      </c>
    </row>
    <row r="1618" spans="1:7" hidden="1" x14ac:dyDescent="0.25">
      <c r="A1618" t="s">
        <v>2961</v>
      </c>
      <c r="B1618" s="8">
        <v>42155</v>
      </c>
      <c r="C1618">
        <v>94</v>
      </c>
      <c r="D1618">
        <v>16.95</v>
      </c>
      <c r="E1618">
        <v>34.1394521629</v>
      </c>
      <c r="F1618">
        <v>-0.89209813325700005</v>
      </c>
      <c r="G1618">
        <v>9.1999999999999993</v>
      </c>
    </row>
    <row r="1619" spans="1:7" hidden="1" x14ac:dyDescent="0.25">
      <c r="A1619" t="s">
        <v>2962</v>
      </c>
      <c r="B1619" s="8">
        <v>42155</v>
      </c>
      <c r="C1619">
        <v>186</v>
      </c>
      <c r="D1619">
        <v>28.75</v>
      </c>
      <c r="E1619">
        <v>36.387925894399999</v>
      </c>
      <c r="F1619">
        <v>-4.62877372194</v>
      </c>
      <c r="G1619">
        <v>2</v>
      </c>
    </row>
    <row r="1620" spans="1:7" hidden="1" x14ac:dyDescent="0.25">
      <c r="A1620" t="s">
        <v>2963</v>
      </c>
      <c r="B1620" s="8">
        <v>42155</v>
      </c>
      <c r="C1620">
        <v>112</v>
      </c>
      <c r="D1620">
        <v>15.75</v>
      </c>
      <c r="E1620">
        <v>36.268436004900003</v>
      </c>
      <c r="F1620">
        <v>-4.5872839172299997</v>
      </c>
      <c r="G1620">
        <v>2</v>
      </c>
    </row>
    <row r="1621" spans="1:7" hidden="1" x14ac:dyDescent="0.25">
      <c r="A1621" t="s">
        <v>2964</v>
      </c>
      <c r="B1621" s="8">
        <v>42156</v>
      </c>
      <c r="C1621">
        <v>163</v>
      </c>
      <c r="D1621">
        <v>13.2</v>
      </c>
      <c r="E1621">
        <v>36.915393981999998</v>
      </c>
      <c r="F1621">
        <v>-4.35341098441</v>
      </c>
      <c r="G1621">
        <v>1.2</v>
      </c>
    </row>
    <row r="1622" spans="1:7" hidden="1" x14ac:dyDescent="0.25">
      <c r="A1622" t="s">
        <v>2965</v>
      </c>
      <c r="B1622" s="8">
        <v>42157</v>
      </c>
      <c r="C1622">
        <v>293</v>
      </c>
      <c r="D1622">
        <v>26.75</v>
      </c>
      <c r="E1622">
        <v>39.4836084939</v>
      </c>
      <c r="F1622">
        <v>-0.47383614197099999</v>
      </c>
      <c r="G1622">
        <v>1.5</v>
      </c>
    </row>
    <row r="1623" spans="1:7" hidden="1" x14ac:dyDescent="0.25">
      <c r="A1623" t="s">
        <v>2965</v>
      </c>
      <c r="B1623" s="8">
        <v>42157</v>
      </c>
      <c r="C1623">
        <v>293</v>
      </c>
      <c r="D1623">
        <v>26.75</v>
      </c>
      <c r="E1623">
        <v>39.4836084939</v>
      </c>
      <c r="F1623">
        <v>-0.47383614197099999</v>
      </c>
      <c r="G1623">
        <v>1.5</v>
      </c>
    </row>
    <row r="1624" spans="1:7" hidden="1" x14ac:dyDescent="0.25">
      <c r="A1624" t="s">
        <v>2966</v>
      </c>
      <c r="B1624" s="8">
        <v>42157</v>
      </c>
      <c r="C1624">
        <v>99</v>
      </c>
      <c r="D1624">
        <v>20.25</v>
      </c>
      <c r="E1624">
        <v>36.127125495999998</v>
      </c>
      <c r="F1624">
        <v>-2.3658223975000001</v>
      </c>
      <c r="G1624">
        <v>3</v>
      </c>
    </row>
    <row r="1625" spans="1:7" hidden="1" x14ac:dyDescent="0.25">
      <c r="A1625" t="s">
        <v>2967</v>
      </c>
      <c r="B1625" s="8">
        <v>42158</v>
      </c>
      <c r="C1625">
        <v>287</v>
      </c>
      <c r="D1625">
        <v>54</v>
      </c>
      <c r="E1625">
        <v>37.881425960500003</v>
      </c>
      <c r="F1625">
        <v>-3.52914202452</v>
      </c>
      <c r="G1625">
        <v>24</v>
      </c>
    </row>
    <row r="1626" spans="1:7" hidden="1" x14ac:dyDescent="0.25">
      <c r="A1626" t="s">
        <v>2968</v>
      </c>
      <c r="B1626" s="8">
        <v>42158</v>
      </c>
      <c r="C1626">
        <v>98</v>
      </c>
      <c r="D1626">
        <v>32.25</v>
      </c>
      <c r="E1626">
        <v>35.445788096299999</v>
      </c>
      <c r="F1626">
        <v>-0.33571059572400003</v>
      </c>
      <c r="G1626">
        <v>19</v>
      </c>
    </row>
    <row r="1627" spans="1:7" hidden="1" x14ac:dyDescent="0.25">
      <c r="A1627" t="s">
        <v>2969</v>
      </c>
      <c r="B1627" s="8">
        <v>42158</v>
      </c>
      <c r="C1627">
        <v>55</v>
      </c>
      <c r="D1627">
        <v>52.75</v>
      </c>
      <c r="E1627">
        <v>33.334071442999999</v>
      </c>
      <c r="F1627">
        <v>-3.1700965438500002</v>
      </c>
      <c r="G1627">
        <v>19</v>
      </c>
    </row>
    <row r="1628" spans="1:7" hidden="1" x14ac:dyDescent="0.25">
      <c r="A1628" t="s">
        <v>2970</v>
      </c>
      <c r="B1628" s="8">
        <v>42158</v>
      </c>
      <c r="C1628">
        <v>215</v>
      </c>
      <c r="D1628">
        <v>52.5</v>
      </c>
      <c r="E1628">
        <v>37.325287479300002</v>
      </c>
      <c r="F1628">
        <v>-3.4778825206600001</v>
      </c>
      <c r="G1628">
        <v>24</v>
      </c>
    </row>
    <row r="1629" spans="1:7" hidden="1" x14ac:dyDescent="0.25">
      <c r="A1629" t="s">
        <v>2971</v>
      </c>
      <c r="B1629" s="8">
        <v>42159</v>
      </c>
      <c r="C1629">
        <v>190</v>
      </c>
      <c r="D1629">
        <v>23.5</v>
      </c>
      <c r="E1629">
        <v>37.2764215423</v>
      </c>
      <c r="F1629">
        <v>-0.94180187512500002</v>
      </c>
      <c r="G1629">
        <v>0.5</v>
      </c>
    </row>
    <row r="1630" spans="1:7" hidden="1" x14ac:dyDescent="0.25">
      <c r="A1630" t="s">
        <v>2972</v>
      </c>
      <c r="B1630" s="8">
        <v>42159</v>
      </c>
      <c r="C1630">
        <v>130</v>
      </c>
      <c r="D1630">
        <v>26.25</v>
      </c>
      <c r="E1630">
        <v>36.5283450055</v>
      </c>
      <c r="F1630">
        <v>-0.654537586974</v>
      </c>
      <c r="G1630">
        <v>0.5</v>
      </c>
    </row>
    <row r="1631" spans="1:7" hidden="1" x14ac:dyDescent="0.25">
      <c r="A1631" t="s">
        <v>2973</v>
      </c>
      <c r="B1631" s="8">
        <v>42159</v>
      </c>
      <c r="C1631">
        <v>60</v>
      </c>
      <c r="D1631">
        <v>23.5</v>
      </c>
      <c r="E1631">
        <v>33.657455798100003</v>
      </c>
      <c r="F1631">
        <v>-0.64966213801999995</v>
      </c>
      <c r="G1631">
        <v>11</v>
      </c>
    </row>
    <row r="1632" spans="1:7" hidden="1" x14ac:dyDescent="0.25">
      <c r="A1632" t="s">
        <v>2974</v>
      </c>
      <c r="B1632" s="8">
        <v>42160</v>
      </c>
      <c r="C1632">
        <v>280</v>
      </c>
      <c r="D1632">
        <v>21.5</v>
      </c>
      <c r="E1632">
        <v>37.752520021499997</v>
      </c>
      <c r="F1632">
        <v>-6.0849368525900003</v>
      </c>
      <c r="G1632">
        <v>11</v>
      </c>
    </row>
    <row r="1633" spans="1:7" hidden="1" x14ac:dyDescent="0.25">
      <c r="A1633" t="s">
        <v>2975</v>
      </c>
      <c r="B1633" s="8">
        <v>42160</v>
      </c>
      <c r="C1633">
        <v>54</v>
      </c>
      <c r="D1633">
        <v>24.85</v>
      </c>
      <c r="E1633">
        <v>31.590499951799998</v>
      </c>
      <c r="F1633">
        <v>-2.5907266447400001</v>
      </c>
      <c r="G1633">
        <v>8.1</v>
      </c>
    </row>
    <row r="1634" spans="1:7" hidden="1" x14ac:dyDescent="0.25">
      <c r="A1634" t="s">
        <v>2976</v>
      </c>
      <c r="B1634" s="8">
        <v>42160</v>
      </c>
      <c r="C1634">
        <v>77</v>
      </c>
      <c r="D1634">
        <v>31</v>
      </c>
      <c r="E1634">
        <v>36.447467855399999</v>
      </c>
      <c r="F1634">
        <v>-1.56654692637</v>
      </c>
      <c r="G1634">
        <v>11</v>
      </c>
    </row>
    <row r="1635" spans="1:7" hidden="1" x14ac:dyDescent="0.25">
      <c r="A1635" t="s">
        <v>2977</v>
      </c>
      <c r="B1635" s="8">
        <v>42161</v>
      </c>
      <c r="C1635">
        <v>134</v>
      </c>
      <c r="D1635">
        <v>38.25</v>
      </c>
      <c r="E1635">
        <v>33.702096673</v>
      </c>
      <c r="F1635">
        <v>-1.18864061056</v>
      </c>
      <c r="G1635">
        <v>23</v>
      </c>
    </row>
    <row r="1636" spans="1:7" hidden="1" x14ac:dyDescent="0.25">
      <c r="A1636" t="s">
        <v>2978</v>
      </c>
      <c r="B1636" s="8">
        <v>42161</v>
      </c>
      <c r="C1636">
        <v>110</v>
      </c>
      <c r="D1636">
        <v>21.5</v>
      </c>
      <c r="E1636">
        <v>39.0452727463</v>
      </c>
      <c r="F1636">
        <v>-0.65339258528800004</v>
      </c>
      <c r="G1636">
        <v>-0.5</v>
      </c>
    </row>
    <row r="1637" spans="1:7" hidden="1" x14ac:dyDescent="0.25">
      <c r="A1637" t="s">
        <v>2979</v>
      </c>
      <c r="B1637" s="8">
        <v>42161</v>
      </c>
      <c r="C1637">
        <v>153</v>
      </c>
      <c r="D1637">
        <v>44</v>
      </c>
      <c r="E1637">
        <v>36.527609768799998</v>
      </c>
      <c r="F1637">
        <v>-3.2575172644800001</v>
      </c>
      <c r="G1637">
        <v>2.5</v>
      </c>
    </row>
    <row r="1638" spans="1:7" hidden="1" x14ac:dyDescent="0.25">
      <c r="A1638" t="s">
        <v>2980</v>
      </c>
      <c r="B1638" s="8">
        <v>42162</v>
      </c>
      <c r="C1638">
        <v>90</v>
      </c>
      <c r="D1638">
        <v>36.5</v>
      </c>
      <c r="E1638">
        <v>36.055158640800002</v>
      </c>
      <c r="F1638">
        <v>-1.2038471697899999</v>
      </c>
      <c r="G1638">
        <v>19</v>
      </c>
    </row>
    <row r="1639" spans="1:7" hidden="1" x14ac:dyDescent="0.25">
      <c r="A1639" t="s">
        <v>2981</v>
      </c>
      <c r="B1639" s="8">
        <v>42163</v>
      </c>
      <c r="C1639">
        <v>146</v>
      </c>
      <c r="D1639">
        <v>38.75</v>
      </c>
      <c r="E1639">
        <v>37.087224472099997</v>
      </c>
      <c r="F1639">
        <v>-0.111582007722</v>
      </c>
      <c r="G1639">
        <v>25</v>
      </c>
    </row>
    <row r="1640" spans="1:7" hidden="1" x14ac:dyDescent="0.25">
      <c r="A1640" t="s">
        <v>2982</v>
      </c>
      <c r="B1640" s="8">
        <v>42164</v>
      </c>
      <c r="C1640">
        <v>281</v>
      </c>
      <c r="D1640">
        <v>26.45</v>
      </c>
      <c r="E1640">
        <v>38.615104085699997</v>
      </c>
      <c r="F1640">
        <v>-2.25205538782</v>
      </c>
      <c r="G1640">
        <v>9.1999999999999993</v>
      </c>
    </row>
    <row r="1641" spans="1:7" hidden="1" x14ac:dyDescent="0.25">
      <c r="A1641" t="s">
        <v>2983</v>
      </c>
      <c r="B1641" s="8">
        <v>42165</v>
      </c>
      <c r="C1641">
        <v>280</v>
      </c>
      <c r="D1641">
        <v>25.5</v>
      </c>
      <c r="E1641">
        <v>37.0385061506</v>
      </c>
      <c r="F1641">
        <v>-0.271138197202</v>
      </c>
      <c r="G1641">
        <v>-0.5</v>
      </c>
    </row>
    <row r="1642" spans="1:7" hidden="1" x14ac:dyDescent="0.25">
      <c r="A1642" t="s">
        <v>2984</v>
      </c>
      <c r="B1642" s="8">
        <v>42165</v>
      </c>
      <c r="C1642">
        <v>205</v>
      </c>
      <c r="D1642">
        <v>25.5</v>
      </c>
      <c r="E1642">
        <v>37.0385061506</v>
      </c>
      <c r="F1642">
        <v>-0.271138197202</v>
      </c>
      <c r="G1642">
        <v>-0.5</v>
      </c>
    </row>
    <row r="1643" spans="1:7" hidden="1" x14ac:dyDescent="0.25">
      <c r="A1643" t="s">
        <v>2985</v>
      </c>
      <c r="B1643" s="8">
        <v>42165</v>
      </c>
      <c r="C1643">
        <v>57</v>
      </c>
      <c r="D1643">
        <v>25.35</v>
      </c>
      <c r="E1643">
        <v>31.759918029600001</v>
      </c>
      <c r="F1643">
        <v>-2.3366610246300001</v>
      </c>
      <c r="G1643">
        <v>9.1</v>
      </c>
    </row>
    <row r="1644" spans="1:7" hidden="1" x14ac:dyDescent="0.25">
      <c r="A1644" t="s">
        <v>2986</v>
      </c>
      <c r="B1644" s="8">
        <v>42166</v>
      </c>
      <c r="C1644">
        <v>106</v>
      </c>
      <c r="D1644">
        <v>45.5</v>
      </c>
      <c r="E1644">
        <v>37.8017427785</v>
      </c>
      <c r="F1644">
        <v>-6.3141349151600004</v>
      </c>
      <c r="G1644">
        <v>4</v>
      </c>
    </row>
    <row r="1645" spans="1:7" hidden="1" x14ac:dyDescent="0.25">
      <c r="A1645" t="s">
        <v>2987</v>
      </c>
      <c r="B1645" s="8">
        <v>42166</v>
      </c>
      <c r="C1645">
        <v>33</v>
      </c>
      <c r="D1645">
        <v>36.5</v>
      </c>
      <c r="E1645">
        <v>35.185304346099997</v>
      </c>
      <c r="F1645">
        <v>-6.2365198336500001</v>
      </c>
      <c r="G1645">
        <v>4</v>
      </c>
    </row>
    <row r="1646" spans="1:7" hidden="1" x14ac:dyDescent="0.25">
      <c r="A1646" t="s">
        <v>2988</v>
      </c>
      <c r="B1646" s="8">
        <v>42167</v>
      </c>
      <c r="C1646">
        <v>277</v>
      </c>
      <c r="D1646">
        <v>28.95</v>
      </c>
      <c r="E1646">
        <v>40.739147720399998</v>
      </c>
      <c r="F1646">
        <v>-0.64798483815899999</v>
      </c>
      <c r="G1646">
        <v>-0.5</v>
      </c>
    </row>
    <row r="1647" spans="1:7" hidden="1" x14ac:dyDescent="0.25">
      <c r="A1647" t="s">
        <v>2988</v>
      </c>
      <c r="B1647" s="8">
        <v>42167</v>
      </c>
      <c r="C1647">
        <v>261</v>
      </c>
      <c r="D1647">
        <v>28.95</v>
      </c>
      <c r="E1647">
        <v>40.739147720399998</v>
      </c>
      <c r="F1647">
        <v>-0.64798483815899999</v>
      </c>
      <c r="G1647">
        <v>-0.5</v>
      </c>
    </row>
    <row r="1648" spans="1:7" x14ac:dyDescent="0.25">
      <c r="B1648" s="8"/>
    </row>
    <row r="1651" spans="1:12" ht="15.75" thickBot="1" x14ac:dyDescent="0.3"/>
    <row r="1652" spans="1:12" ht="30" x14ac:dyDescent="0.25">
      <c r="A1652" s="37" t="s">
        <v>3026</v>
      </c>
      <c r="B1652" s="38" t="s">
        <v>311</v>
      </c>
      <c r="C1652" s="38" t="s">
        <v>1545</v>
      </c>
      <c r="D1652" s="38" t="s">
        <v>1527</v>
      </c>
      <c r="E1652" s="38" t="s">
        <v>1546</v>
      </c>
      <c r="F1652" s="38" t="s">
        <v>1547</v>
      </c>
      <c r="G1652" s="40" t="s">
        <v>1861</v>
      </c>
      <c r="H1652" s="38" t="s">
        <v>1862</v>
      </c>
      <c r="I1652" s="38"/>
      <c r="J1652" s="65" t="s">
        <v>1989</v>
      </c>
      <c r="K1652" s="66" t="s">
        <v>1990</v>
      </c>
      <c r="L1652" s="67" t="s">
        <v>1991</v>
      </c>
    </row>
    <row r="1653" spans="1:12" x14ac:dyDescent="0.25">
      <c r="A1653" s="30" t="s">
        <v>3094</v>
      </c>
      <c r="B1653" s="8">
        <v>42111</v>
      </c>
      <c r="C1653" s="30">
        <v>245</v>
      </c>
      <c r="D1653" s="30">
        <v>21.75</v>
      </c>
      <c r="E1653" s="30">
        <v>49.6616820944</v>
      </c>
      <c r="F1653" s="30">
        <v>-0.17647138387399999</v>
      </c>
      <c r="G1653" s="30">
        <v>6</v>
      </c>
      <c r="H1653" s="30"/>
      <c r="I1653" s="30"/>
      <c r="J1653" s="68">
        <f>AVERAGE(D1653:D1790)</f>
        <v>30.329710144927517</v>
      </c>
      <c r="K1653" s="68">
        <f>_xlfn.STDEV.P(D1653:D1790)</f>
        <v>10.73113551685946</v>
      </c>
      <c r="L1653" s="68">
        <f>MEDIAN(D1653:D1790)</f>
        <v>28.85</v>
      </c>
    </row>
    <row r="1654" spans="1:12" x14ac:dyDescent="0.25">
      <c r="A1654" t="s">
        <v>3095</v>
      </c>
      <c r="B1654" s="8">
        <v>42111</v>
      </c>
      <c r="C1654">
        <v>55</v>
      </c>
      <c r="D1654">
        <v>39.75</v>
      </c>
      <c r="E1654">
        <v>33.407613065699998</v>
      </c>
      <c r="F1654">
        <v>-1.1824732411000001</v>
      </c>
      <c r="G1654">
        <v>1.75</v>
      </c>
    </row>
    <row r="1655" spans="1:12" x14ac:dyDescent="0.25">
      <c r="A1655" t="s">
        <v>3096</v>
      </c>
      <c r="B1655" s="8">
        <v>42111</v>
      </c>
      <c r="C1655">
        <v>78</v>
      </c>
      <c r="D1655">
        <v>22.5</v>
      </c>
      <c r="E1655">
        <v>36.581490498000001</v>
      </c>
      <c r="F1655">
        <v>-3.2414818381999999</v>
      </c>
      <c r="G1655">
        <v>14</v>
      </c>
    </row>
    <row r="1656" spans="1:12" x14ac:dyDescent="0.25">
      <c r="A1656" t="s">
        <v>3093</v>
      </c>
      <c r="B1656" s="8">
        <v>42112</v>
      </c>
      <c r="C1656">
        <v>150</v>
      </c>
      <c r="D1656">
        <v>15.95</v>
      </c>
      <c r="E1656">
        <v>42.515843600899998</v>
      </c>
      <c r="F1656">
        <v>-1.4148741895600001</v>
      </c>
      <c r="G1656">
        <v>10.199999999999999</v>
      </c>
    </row>
    <row r="1657" spans="1:12" x14ac:dyDescent="0.25">
      <c r="A1657" t="s">
        <v>3090</v>
      </c>
      <c r="B1657" s="8">
        <v>42113</v>
      </c>
      <c r="C1657">
        <v>284</v>
      </c>
      <c r="D1657">
        <v>43.75</v>
      </c>
      <c r="E1657">
        <v>44.959721320100002</v>
      </c>
      <c r="F1657">
        <v>-9.9277594797699997</v>
      </c>
      <c r="G1657">
        <v>13</v>
      </c>
    </row>
    <row r="1658" spans="1:12" x14ac:dyDescent="0.25">
      <c r="A1658" t="s">
        <v>3091</v>
      </c>
      <c r="B1658" s="8">
        <v>42113</v>
      </c>
      <c r="C1658">
        <v>211</v>
      </c>
      <c r="D1658">
        <v>39</v>
      </c>
      <c r="E1658">
        <v>43.977945222499997</v>
      </c>
      <c r="F1658">
        <v>-9.9971378626600007</v>
      </c>
      <c r="G1658">
        <v>13</v>
      </c>
    </row>
    <row r="1659" spans="1:12" x14ac:dyDescent="0.25">
      <c r="A1659" t="s">
        <v>3092</v>
      </c>
      <c r="B1659" s="8">
        <v>42113</v>
      </c>
      <c r="C1659">
        <v>74</v>
      </c>
      <c r="D1659">
        <v>36.25</v>
      </c>
      <c r="E1659">
        <v>37.966899841</v>
      </c>
      <c r="F1659">
        <v>-5.9057375157100003</v>
      </c>
      <c r="G1659">
        <v>-0.25</v>
      </c>
    </row>
    <row r="1660" spans="1:12" x14ac:dyDescent="0.25">
      <c r="A1660" t="s">
        <v>3088</v>
      </c>
      <c r="B1660" s="8">
        <v>42114</v>
      </c>
      <c r="C1660">
        <v>152</v>
      </c>
      <c r="D1660">
        <v>26</v>
      </c>
      <c r="E1660">
        <v>40.299201025400002</v>
      </c>
      <c r="F1660">
        <v>-1.3389642132399999</v>
      </c>
      <c r="G1660">
        <v>14</v>
      </c>
    </row>
    <row r="1661" spans="1:12" x14ac:dyDescent="0.25">
      <c r="A1661" t="s">
        <v>3089</v>
      </c>
      <c r="B1661" s="8">
        <v>42114</v>
      </c>
      <c r="C1661">
        <v>57</v>
      </c>
      <c r="D1661">
        <v>22</v>
      </c>
      <c r="E1661">
        <v>39.145392502999997</v>
      </c>
      <c r="F1661">
        <v>-1.2406915032800001</v>
      </c>
      <c r="G1661">
        <v>14</v>
      </c>
    </row>
    <row r="1662" spans="1:12" x14ac:dyDescent="0.25">
      <c r="A1662" t="s">
        <v>3086</v>
      </c>
      <c r="B1662" s="8">
        <v>42115</v>
      </c>
      <c r="C1662">
        <v>278</v>
      </c>
      <c r="D1662">
        <v>27.25</v>
      </c>
      <c r="E1662">
        <v>38.964903337400003</v>
      </c>
      <c r="F1662">
        <v>-3.25835773906</v>
      </c>
      <c r="G1662">
        <v>11</v>
      </c>
    </row>
    <row r="1663" spans="1:12" x14ac:dyDescent="0.25">
      <c r="A1663" t="s">
        <v>3087</v>
      </c>
      <c r="B1663" s="8">
        <v>42115</v>
      </c>
      <c r="C1663">
        <v>74</v>
      </c>
      <c r="D1663">
        <v>44.2</v>
      </c>
      <c r="E1663">
        <v>33.939794538900003</v>
      </c>
      <c r="F1663">
        <v>-1.2196645510099999</v>
      </c>
      <c r="G1663">
        <v>4.2</v>
      </c>
    </row>
    <row r="1664" spans="1:12" x14ac:dyDescent="0.25">
      <c r="A1664" t="s">
        <v>3083</v>
      </c>
      <c r="B1664" s="8">
        <v>42116</v>
      </c>
      <c r="C1664">
        <v>281</v>
      </c>
      <c r="D1664">
        <v>27.25</v>
      </c>
      <c r="E1664">
        <v>40.282165068600001</v>
      </c>
      <c r="F1664">
        <v>-4.58382546116</v>
      </c>
      <c r="G1664">
        <v>19</v>
      </c>
    </row>
    <row r="1665" spans="1:7" x14ac:dyDescent="0.25">
      <c r="A1665" t="s">
        <v>3083</v>
      </c>
      <c r="B1665" s="8">
        <v>42116</v>
      </c>
      <c r="C1665">
        <v>261</v>
      </c>
      <c r="D1665">
        <v>27.25</v>
      </c>
      <c r="E1665">
        <v>40.282165068600001</v>
      </c>
      <c r="F1665">
        <v>-4.58382546116</v>
      </c>
      <c r="G1665">
        <v>19</v>
      </c>
    </row>
    <row r="1666" spans="1:7" x14ac:dyDescent="0.25">
      <c r="A1666" t="s">
        <v>3084</v>
      </c>
      <c r="B1666" s="8">
        <v>42116</v>
      </c>
      <c r="C1666">
        <v>74</v>
      </c>
      <c r="D1666">
        <v>35.25</v>
      </c>
      <c r="E1666">
        <v>35.156690752700001</v>
      </c>
      <c r="F1666">
        <v>-0.39928623638299998</v>
      </c>
      <c r="G1666">
        <v>-0.5</v>
      </c>
    </row>
    <row r="1667" spans="1:7" x14ac:dyDescent="0.25">
      <c r="A1667" t="s">
        <v>3085</v>
      </c>
      <c r="B1667" s="8">
        <v>42116</v>
      </c>
      <c r="C1667">
        <v>55</v>
      </c>
      <c r="D1667">
        <v>32.25</v>
      </c>
      <c r="E1667">
        <v>37.375822315400001</v>
      </c>
      <c r="F1667">
        <v>-2.6860949135199998</v>
      </c>
      <c r="G1667">
        <v>19</v>
      </c>
    </row>
    <row r="1668" spans="1:7" x14ac:dyDescent="0.25">
      <c r="A1668" t="s">
        <v>3081</v>
      </c>
      <c r="B1668" s="8">
        <v>42117</v>
      </c>
      <c r="C1668">
        <v>53</v>
      </c>
      <c r="D1668">
        <v>12.25</v>
      </c>
      <c r="E1668">
        <v>34.001846576600002</v>
      </c>
      <c r="F1668">
        <v>-1.5459529722500001</v>
      </c>
      <c r="G1668">
        <v>-0.5</v>
      </c>
    </row>
    <row r="1669" spans="1:7" x14ac:dyDescent="0.25">
      <c r="A1669" t="s">
        <v>3082</v>
      </c>
      <c r="B1669" s="8">
        <v>42117</v>
      </c>
      <c r="C1669">
        <v>79</v>
      </c>
      <c r="D1669">
        <v>14.75</v>
      </c>
      <c r="E1669">
        <v>35.3242755363</v>
      </c>
      <c r="F1669">
        <v>-2.6402377616699999</v>
      </c>
      <c r="G1669">
        <v>7</v>
      </c>
    </row>
    <row r="1670" spans="1:7" x14ac:dyDescent="0.25">
      <c r="A1670" t="s">
        <v>3078</v>
      </c>
      <c r="B1670" s="8">
        <v>42118</v>
      </c>
      <c r="C1670">
        <v>283</v>
      </c>
      <c r="D1670">
        <v>31</v>
      </c>
      <c r="E1670">
        <v>50.108838328200001</v>
      </c>
      <c r="F1670">
        <v>-3.8797119314700002</v>
      </c>
      <c r="G1670">
        <v>14</v>
      </c>
    </row>
    <row r="1671" spans="1:7" x14ac:dyDescent="0.25">
      <c r="A1671" t="s">
        <v>3079</v>
      </c>
      <c r="B1671" s="8">
        <v>42118</v>
      </c>
      <c r="C1671">
        <v>94</v>
      </c>
      <c r="D1671">
        <v>22.75</v>
      </c>
      <c r="E1671">
        <v>37.228204042900003</v>
      </c>
      <c r="F1671">
        <v>-1.7340780795799999</v>
      </c>
      <c r="G1671">
        <v>14</v>
      </c>
    </row>
    <row r="1672" spans="1:7" x14ac:dyDescent="0.25">
      <c r="A1672" t="s">
        <v>3080</v>
      </c>
      <c r="B1672" s="8">
        <v>42118</v>
      </c>
      <c r="C1672">
        <v>56</v>
      </c>
      <c r="D1672">
        <v>34.25</v>
      </c>
      <c r="E1672">
        <v>30.959975713199999</v>
      </c>
      <c r="F1672">
        <v>-0.30660879394200002</v>
      </c>
      <c r="G1672">
        <v>10</v>
      </c>
    </row>
    <row r="1673" spans="1:7" x14ac:dyDescent="0.25">
      <c r="A1673" t="s">
        <v>3076</v>
      </c>
      <c r="B1673" s="8">
        <v>42119</v>
      </c>
      <c r="C1673">
        <v>147</v>
      </c>
      <c r="D1673">
        <v>35</v>
      </c>
      <c r="E1673">
        <v>37.996224493699998</v>
      </c>
      <c r="F1673">
        <v>-0.86011398537399997</v>
      </c>
      <c r="G1673">
        <v>-0.5</v>
      </c>
    </row>
    <row r="1674" spans="1:7" x14ac:dyDescent="0.25">
      <c r="A1674" t="s">
        <v>3077</v>
      </c>
      <c r="B1674" s="8">
        <v>42119</v>
      </c>
      <c r="C1674">
        <v>76</v>
      </c>
      <c r="D1674">
        <v>17.95</v>
      </c>
      <c r="E1674">
        <v>38.127080790800001</v>
      </c>
      <c r="F1674">
        <v>-9.6463730451499998</v>
      </c>
      <c r="G1674">
        <v>17.2</v>
      </c>
    </row>
    <row r="1675" spans="1:7" x14ac:dyDescent="0.25">
      <c r="A1675" t="s">
        <v>3074</v>
      </c>
      <c r="B1675" s="8">
        <v>42120</v>
      </c>
      <c r="C1675">
        <v>266</v>
      </c>
      <c r="D1675">
        <v>31.75</v>
      </c>
      <c r="E1675">
        <v>52.119381457599999</v>
      </c>
      <c r="F1675">
        <v>-3.40493552538</v>
      </c>
      <c r="G1675">
        <v>18</v>
      </c>
    </row>
    <row r="1676" spans="1:7" x14ac:dyDescent="0.25">
      <c r="A1676" t="s">
        <v>3075</v>
      </c>
      <c r="B1676" s="8">
        <v>42120</v>
      </c>
      <c r="C1676">
        <v>96</v>
      </c>
      <c r="D1676">
        <v>44.1</v>
      </c>
      <c r="E1676">
        <v>39.386076388799999</v>
      </c>
      <c r="F1676">
        <v>-0.68906333420300003</v>
      </c>
      <c r="G1676">
        <v>17.100000000000001</v>
      </c>
    </row>
    <row r="1677" spans="1:7" x14ac:dyDescent="0.25">
      <c r="A1677" t="s">
        <v>3071</v>
      </c>
      <c r="B1677" s="8">
        <v>42121</v>
      </c>
      <c r="C1677">
        <v>242</v>
      </c>
      <c r="D1677">
        <v>34</v>
      </c>
      <c r="E1677">
        <v>44.573202818200002</v>
      </c>
      <c r="F1677">
        <v>-1.8313526440000001</v>
      </c>
      <c r="G1677">
        <v>17</v>
      </c>
    </row>
    <row r="1678" spans="1:7" x14ac:dyDescent="0.25">
      <c r="A1678" t="s">
        <v>3072</v>
      </c>
      <c r="B1678" s="8">
        <v>42121</v>
      </c>
      <c r="C1678">
        <v>203</v>
      </c>
      <c r="D1678">
        <v>24.25</v>
      </c>
      <c r="E1678">
        <v>41.412442457600001</v>
      </c>
      <c r="F1678">
        <v>-1.10823339998</v>
      </c>
      <c r="G1678">
        <v>17</v>
      </c>
    </row>
    <row r="1679" spans="1:7" x14ac:dyDescent="0.25">
      <c r="A1679" t="s">
        <v>3073</v>
      </c>
      <c r="B1679" s="8">
        <v>42121</v>
      </c>
      <c r="C1679">
        <v>113</v>
      </c>
      <c r="D1679">
        <v>17.600000000000001</v>
      </c>
      <c r="E1679">
        <v>37.445849671700003</v>
      </c>
      <c r="F1679">
        <v>-4.8121091286000004</v>
      </c>
      <c r="G1679">
        <v>7.1</v>
      </c>
    </row>
    <row r="1680" spans="1:7" x14ac:dyDescent="0.25">
      <c r="A1680" t="s">
        <v>3069</v>
      </c>
      <c r="B1680" s="8">
        <v>42122</v>
      </c>
      <c r="C1680">
        <v>219</v>
      </c>
      <c r="D1680">
        <v>38.25</v>
      </c>
      <c r="E1680">
        <v>45.019019920399998</v>
      </c>
      <c r="F1680">
        <v>-9.0130195256200007</v>
      </c>
      <c r="G1680">
        <v>16</v>
      </c>
    </row>
    <row r="1681" spans="1:7" x14ac:dyDescent="0.25">
      <c r="A1681" t="s">
        <v>3070</v>
      </c>
      <c r="B1681" s="8">
        <v>42122</v>
      </c>
      <c r="C1681">
        <v>113</v>
      </c>
      <c r="D1681">
        <v>44</v>
      </c>
      <c r="E1681">
        <v>38.698277546100002</v>
      </c>
      <c r="F1681">
        <v>-8.40088430536</v>
      </c>
      <c r="G1681">
        <v>16</v>
      </c>
    </row>
    <row r="1682" spans="1:7" x14ac:dyDescent="0.25">
      <c r="A1682" t="s">
        <v>3067</v>
      </c>
      <c r="B1682" s="8">
        <v>42123</v>
      </c>
      <c r="C1682">
        <v>146</v>
      </c>
      <c r="D1682">
        <v>34.450000000000003</v>
      </c>
      <c r="E1682">
        <v>37.0181648254</v>
      </c>
      <c r="F1682">
        <v>-1.3145584985300001</v>
      </c>
      <c r="G1682">
        <v>5.2</v>
      </c>
    </row>
    <row r="1683" spans="1:7" x14ac:dyDescent="0.25">
      <c r="A1683" t="s">
        <v>3068</v>
      </c>
      <c r="B1683" s="8">
        <v>42123</v>
      </c>
      <c r="C1683">
        <v>58</v>
      </c>
      <c r="D1683">
        <v>19.5</v>
      </c>
      <c r="E1683">
        <v>38.761259135700001</v>
      </c>
      <c r="F1683">
        <v>-7.1513432356199997</v>
      </c>
      <c r="G1683">
        <v>13</v>
      </c>
    </row>
    <row r="1684" spans="1:7" x14ac:dyDescent="0.25">
      <c r="A1684" t="s">
        <v>3065</v>
      </c>
      <c r="B1684" s="8">
        <v>42125</v>
      </c>
      <c r="C1684">
        <v>260</v>
      </c>
      <c r="D1684">
        <v>10.6</v>
      </c>
      <c r="E1684">
        <v>39.7666213511</v>
      </c>
      <c r="F1684">
        <v>-1.03883394102</v>
      </c>
      <c r="G1684">
        <v>5.0999999999999996</v>
      </c>
    </row>
    <row r="1685" spans="1:7" x14ac:dyDescent="0.25">
      <c r="A1685" t="s">
        <v>3066</v>
      </c>
      <c r="B1685" s="8">
        <v>42125</v>
      </c>
      <c r="C1685">
        <v>98</v>
      </c>
      <c r="D1685">
        <v>11.1</v>
      </c>
      <c r="E1685">
        <v>37.4306394778</v>
      </c>
      <c r="F1685">
        <v>-0.21722909984</v>
      </c>
      <c r="G1685">
        <v>5.0999999999999996</v>
      </c>
    </row>
    <row r="1686" spans="1:7" x14ac:dyDescent="0.25">
      <c r="A1686" t="s">
        <v>3061</v>
      </c>
      <c r="B1686" s="8">
        <v>42126</v>
      </c>
      <c r="C1686">
        <v>279</v>
      </c>
      <c r="D1686">
        <v>27.5</v>
      </c>
      <c r="E1686">
        <v>44.695569341499997</v>
      </c>
      <c r="F1686">
        <v>-0.42085191112499998</v>
      </c>
      <c r="G1686">
        <v>7</v>
      </c>
    </row>
    <row r="1687" spans="1:7" x14ac:dyDescent="0.25">
      <c r="A1687" t="s">
        <v>3062</v>
      </c>
      <c r="B1687" s="8">
        <v>42126</v>
      </c>
      <c r="C1687">
        <v>129</v>
      </c>
      <c r="D1687">
        <v>30.5</v>
      </c>
      <c r="E1687">
        <v>42.211062109499998</v>
      </c>
      <c r="F1687">
        <v>-0.519766684122</v>
      </c>
      <c r="G1687">
        <v>7</v>
      </c>
    </row>
    <row r="1688" spans="1:7" x14ac:dyDescent="0.25">
      <c r="A1688" t="s">
        <v>3063</v>
      </c>
      <c r="B1688" s="8">
        <v>42126</v>
      </c>
      <c r="C1688">
        <v>150</v>
      </c>
      <c r="D1688">
        <v>28.5</v>
      </c>
      <c r="E1688">
        <v>38.311592507599997</v>
      </c>
      <c r="F1688">
        <v>-3.1932802323399997E-2</v>
      </c>
      <c r="G1688">
        <v>7</v>
      </c>
    </row>
    <row r="1689" spans="1:7" x14ac:dyDescent="0.25">
      <c r="A1689" t="s">
        <v>3064</v>
      </c>
      <c r="B1689" s="8">
        <v>42126</v>
      </c>
      <c r="C1689">
        <v>54</v>
      </c>
      <c r="D1689">
        <v>32</v>
      </c>
      <c r="E1689">
        <v>35.714035170599999</v>
      </c>
      <c r="F1689">
        <v>-0.92307302028000005</v>
      </c>
      <c r="G1689">
        <v>4</v>
      </c>
    </row>
    <row r="1690" spans="1:7" x14ac:dyDescent="0.25">
      <c r="A1690" t="s">
        <v>3060</v>
      </c>
      <c r="B1690" s="8">
        <v>42127</v>
      </c>
      <c r="C1690">
        <v>73</v>
      </c>
      <c r="D1690">
        <v>22.35</v>
      </c>
      <c r="E1690">
        <v>37.394148945600001</v>
      </c>
      <c r="F1690">
        <v>-1.97481006533</v>
      </c>
      <c r="G1690">
        <v>11.1</v>
      </c>
    </row>
    <row r="1691" spans="1:7" x14ac:dyDescent="0.25">
      <c r="A1691" t="s">
        <v>3057</v>
      </c>
      <c r="B1691" s="8">
        <v>42128</v>
      </c>
      <c r="C1691">
        <v>188</v>
      </c>
      <c r="D1691">
        <v>46.6</v>
      </c>
      <c r="E1691">
        <v>47.526264583200003</v>
      </c>
      <c r="F1691">
        <v>-5.7710169678999996</v>
      </c>
      <c r="G1691">
        <v>-1</v>
      </c>
    </row>
    <row r="1692" spans="1:7" x14ac:dyDescent="0.25">
      <c r="A1692" t="s">
        <v>3058</v>
      </c>
      <c r="B1692" s="8">
        <v>42128</v>
      </c>
      <c r="C1692">
        <v>58</v>
      </c>
      <c r="D1692">
        <v>56</v>
      </c>
      <c r="E1692">
        <v>34.633680412899999</v>
      </c>
      <c r="F1692">
        <v>-5.4834619270399996</v>
      </c>
      <c r="G1692">
        <v>15</v>
      </c>
    </row>
    <row r="1693" spans="1:7" x14ac:dyDescent="0.25">
      <c r="A1693" t="s">
        <v>3059</v>
      </c>
      <c r="B1693" s="8">
        <v>42128</v>
      </c>
      <c r="C1693">
        <v>38</v>
      </c>
      <c r="D1693">
        <v>9.25</v>
      </c>
      <c r="E1693">
        <v>31.987211414499999</v>
      </c>
      <c r="F1693">
        <v>-0.66154205791099996</v>
      </c>
      <c r="G1693">
        <v>10</v>
      </c>
    </row>
    <row r="1694" spans="1:7" x14ac:dyDescent="0.25">
      <c r="A1694" t="s">
        <v>3056</v>
      </c>
      <c r="B1694" s="8">
        <v>42129</v>
      </c>
      <c r="C1694">
        <v>262</v>
      </c>
      <c r="D1694">
        <v>31.7</v>
      </c>
      <c r="E1694">
        <v>39.774646195300001</v>
      </c>
      <c r="F1694">
        <v>-9.5751473139099996</v>
      </c>
      <c r="G1694">
        <v>18.2</v>
      </c>
    </row>
    <row r="1695" spans="1:7" x14ac:dyDescent="0.25">
      <c r="A1695" t="s">
        <v>3055</v>
      </c>
      <c r="B1695" s="8">
        <v>42130</v>
      </c>
      <c r="C1695">
        <v>224</v>
      </c>
      <c r="D1695">
        <v>37.25</v>
      </c>
      <c r="E1695">
        <v>38.262280524200001</v>
      </c>
      <c r="F1695">
        <v>-2.3061329224899998</v>
      </c>
      <c r="G1695">
        <v>1</v>
      </c>
    </row>
    <row r="1696" spans="1:7" x14ac:dyDescent="0.25">
      <c r="A1696" t="s">
        <v>3054</v>
      </c>
      <c r="B1696" s="8">
        <v>42131</v>
      </c>
      <c r="C1696">
        <v>112</v>
      </c>
      <c r="D1696">
        <v>36.6</v>
      </c>
      <c r="E1696">
        <v>37.414785914799999</v>
      </c>
      <c r="F1696">
        <v>-6.58786404576</v>
      </c>
      <c r="G1696">
        <v>6.1</v>
      </c>
    </row>
    <row r="1697" spans="1:7" x14ac:dyDescent="0.25">
      <c r="A1697" t="s">
        <v>3053</v>
      </c>
      <c r="B1697" s="8">
        <v>42132</v>
      </c>
      <c r="C1697">
        <v>263</v>
      </c>
      <c r="D1697">
        <v>23.5</v>
      </c>
      <c r="E1697">
        <v>37.767316895900002</v>
      </c>
      <c r="F1697">
        <v>-0.76962532441099996</v>
      </c>
      <c r="G1697">
        <v>12</v>
      </c>
    </row>
    <row r="1698" spans="1:7" x14ac:dyDescent="0.25">
      <c r="A1698" t="s">
        <v>3051</v>
      </c>
      <c r="B1698" s="8">
        <v>42133</v>
      </c>
      <c r="C1698">
        <v>158</v>
      </c>
      <c r="D1698">
        <v>25.5</v>
      </c>
      <c r="E1698">
        <v>36.4402255862</v>
      </c>
      <c r="F1698">
        <v>-2.02844583101</v>
      </c>
      <c r="G1698">
        <v>1</v>
      </c>
    </row>
    <row r="1699" spans="1:7" x14ac:dyDescent="0.25">
      <c r="A1699" t="s">
        <v>3052</v>
      </c>
      <c r="B1699" s="8">
        <v>42133</v>
      </c>
      <c r="C1699">
        <v>57</v>
      </c>
      <c r="D1699">
        <v>24</v>
      </c>
      <c r="E1699">
        <v>31.039419733399999</v>
      </c>
      <c r="F1699">
        <v>-0.82003183195399998</v>
      </c>
      <c r="G1699">
        <v>5</v>
      </c>
    </row>
    <row r="1700" spans="1:7" x14ac:dyDescent="0.25">
      <c r="A1700" t="s">
        <v>3048</v>
      </c>
      <c r="B1700" s="8">
        <v>42134</v>
      </c>
      <c r="C1700">
        <v>280</v>
      </c>
      <c r="D1700">
        <v>20.95</v>
      </c>
      <c r="E1700">
        <v>42.021946472499998</v>
      </c>
      <c r="F1700">
        <v>-8.7577775547099996</v>
      </c>
      <c r="G1700">
        <v>-0.75</v>
      </c>
    </row>
    <row r="1701" spans="1:7" x14ac:dyDescent="0.25">
      <c r="A1701" t="s">
        <v>3049</v>
      </c>
      <c r="B1701" s="8">
        <v>42134</v>
      </c>
      <c r="C1701">
        <v>169</v>
      </c>
      <c r="D1701">
        <v>43.75</v>
      </c>
      <c r="E1701">
        <v>39.122966693400002</v>
      </c>
      <c r="F1701">
        <v>-7.6123800060500004</v>
      </c>
      <c r="G1701">
        <v>26</v>
      </c>
    </row>
    <row r="1702" spans="1:7" x14ac:dyDescent="0.25">
      <c r="A1702" t="s">
        <v>3050</v>
      </c>
      <c r="B1702" s="8">
        <v>42134</v>
      </c>
      <c r="C1702">
        <v>91</v>
      </c>
      <c r="D1702">
        <v>20.95</v>
      </c>
      <c r="E1702">
        <v>37.906999103399997</v>
      </c>
      <c r="F1702">
        <v>-1.9386225743600001</v>
      </c>
      <c r="G1702">
        <v>-0.75</v>
      </c>
    </row>
    <row r="1703" spans="1:7" x14ac:dyDescent="0.25">
      <c r="A1703" t="s">
        <v>3045</v>
      </c>
      <c r="B1703" s="8">
        <v>42135</v>
      </c>
      <c r="C1703">
        <v>184</v>
      </c>
      <c r="D1703">
        <v>33.75</v>
      </c>
      <c r="E1703">
        <v>41.130666962299998</v>
      </c>
      <c r="F1703">
        <v>-2.7606954614500001</v>
      </c>
      <c r="G1703">
        <v>11</v>
      </c>
    </row>
    <row r="1704" spans="1:7" x14ac:dyDescent="0.25">
      <c r="A1704" t="s">
        <v>3046</v>
      </c>
      <c r="B1704" s="8">
        <v>42135</v>
      </c>
      <c r="C1704">
        <v>55</v>
      </c>
      <c r="D1704">
        <v>27</v>
      </c>
      <c r="E1704">
        <v>37.826698579400002</v>
      </c>
      <c r="F1704">
        <v>-3.2222648354799999</v>
      </c>
      <c r="G1704">
        <v>11</v>
      </c>
    </row>
    <row r="1705" spans="1:7" x14ac:dyDescent="0.25">
      <c r="A1705" t="s">
        <v>3047</v>
      </c>
      <c r="B1705" s="8">
        <v>42135</v>
      </c>
      <c r="C1705">
        <v>37</v>
      </c>
      <c r="D1705">
        <v>28</v>
      </c>
      <c r="E1705">
        <v>33.011641849900002</v>
      </c>
      <c r="F1705">
        <v>-0.38339390132000001</v>
      </c>
      <c r="G1705">
        <v>6</v>
      </c>
    </row>
    <row r="1706" spans="1:7" x14ac:dyDescent="0.25">
      <c r="A1706" t="s">
        <v>3041</v>
      </c>
      <c r="B1706" s="8">
        <v>42136</v>
      </c>
      <c r="C1706">
        <v>278</v>
      </c>
      <c r="D1706">
        <v>30.75</v>
      </c>
      <c r="E1706">
        <v>38.447164540599999</v>
      </c>
      <c r="F1706">
        <v>-1.00847245101</v>
      </c>
      <c r="G1706">
        <v>21</v>
      </c>
    </row>
    <row r="1707" spans="1:7" x14ac:dyDescent="0.25">
      <c r="A1707" t="s">
        <v>3041</v>
      </c>
      <c r="B1707" s="8">
        <v>42136</v>
      </c>
      <c r="C1707">
        <v>258</v>
      </c>
      <c r="D1707">
        <v>30.75</v>
      </c>
      <c r="E1707">
        <v>38.447164540599999</v>
      </c>
      <c r="F1707">
        <v>-1.00847245101</v>
      </c>
      <c r="G1707">
        <v>21</v>
      </c>
    </row>
    <row r="1708" spans="1:7" x14ac:dyDescent="0.25">
      <c r="A1708" t="s">
        <v>3042</v>
      </c>
      <c r="B1708" s="8">
        <v>42136</v>
      </c>
      <c r="C1708">
        <v>113</v>
      </c>
      <c r="D1708">
        <v>22.95</v>
      </c>
      <c r="E1708">
        <v>35.454544784799999</v>
      </c>
      <c r="F1708">
        <v>-0.19138678469000001</v>
      </c>
      <c r="G1708">
        <v>11.2</v>
      </c>
    </row>
    <row r="1709" spans="1:7" x14ac:dyDescent="0.25">
      <c r="A1709" t="s">
        <v>3043</v>
      </c>
      <c r="B1709" s="8">
        <v>42136</v>
      </c>
      <c r="C1709">
        <v>92</v>
      </c>
      <c r="D1709">
        <v>8.35</v>
      </c>
      <c r="E1709">
        <v>36.131135887699998</v>
      </c>
      <c r="F1709">
        <v>-4.91218847748</v>
      </c>
      <c r="G1709">
        <v>-0.9</v>
      </c>
    </row>
    <row r="1710" spans="1:7" x14ac:dyDescent="0.25">
      <c r="A1710" t="s">
        <v>3044</v>
      </c>
      <c r="B1710" s="8">
        <v>42136</v>
      </c>
      <c r="C1710">
        <v>73</v>
      </c>
      <c r="D1710">
        <v>51.75</v>
      </c>
      <c r="E1710">
        <v>35.382798370000003</v>
      </c>
      <c r="F1710">
        <v>-0.79966865809900001</v>
      </c>
      <c r="G1710">
        <v>21</v>
      </c>
    </row>
    <row r="1711" spans="1:7" x14ac:dyDescent="0.25">
      <c r="A1711" t="s">
        <v>3040</v>
      </c>
      <c r="B1711" s="8">
        <v>42137</v>
      </c>
      <c r="C1711">
        <v>39</v>
      </c>
      <c r="D1711">
        <v>24.5</v>
      </c>
      <c r="E1711">
        <v>35.100559322300001</v>
      </c>
      <c r="F1711">
        <v>-0.63815168325799998</v>
      </c>
      <c r="G1711">
        <v>18</v>
      </c>
    </row>
    <row r="1712" spans="1:7" x14ac:dyDescent="0.25">
      <c r="A1712" t="s">
        <v>3025</v>
      </c>
      <c r="B1712" s="8">
        <v>42138</v>
      </c>
      <c r="C1712">
        <v>207</v>
      </c>
      <c r="D1712">
        <v>43.25</v>
      </c>
      <c r="E1712">
        <v>39.609447361299999</v>
      </c>
      <c r="F1712">
        <v>-2.2101056778800001</v>
      </c>
      <c r="G1712">
        <v>14</v>
      </c>
    </row>
    <row r="1713" spans="1:7" x14ac:dyDescent="0.25">
      <c r="A1713" t="s">
        <v>3027</v>
      </c>
      <c r="B1713" s="8">
        <v>42138</v>
      </c>
      <c r="C1713">
        <v>94</v>
      </c>
      <c r="D1713">
        <v>37.1</v>
      </c>
      <c r="E1713">
        <v>35.142537756599999</v>
      </c>
      <c r="F1713">
        <v>-0.246601106111</v>
      </c>
      <c r="G1713">
        <v>-0.75</v>
      </c>
    </row>
    <row r="1714" spans="1:7" x14ac:dyDescent="0.25">
      <c r="A1714" t="s">
        <v>3028</v>
      </c>
      <c r="B1714" s="8">
        <v>42138</v>
      </c>
      <c r="C1714">
        <v>113</v>
      </c>
      <c r="D1714">
        <v>47.5</v>
      </c>
      <c r="E1714">
        <v>38.4877638647</v>
      </c>
      <c r="F1714">
        <v>-2.3475704826100001</v>
      </c>
      <c r="G1714">
        <v>14</v>
      </c>
    </row>
    <row r="1715" spans="1:7" x14ac:dyDescent="0.25">
      <c r="A1715" t="s">
        <v>3029</v>
      </c>
      <c r="B1715" s="8">
        <v>42138</v>
      </c>
      <c r="C1715">
        <v>37</v>
      </c>
      <c r="D1715">
        <v>28.6</v>
      </c>
      <c r="E1715">
        <v>32.457756515100002</v>
      </c>
      <c r="F1715">
        <v>-0.47172787947599998</v>
      </c>
      <c r="G1715">
        <v>-0.75</v>
      </c>
    </row>
    <row r="1716" spans="1:7" x14ac:dyDescent="0.25">
      <c r="A1716" t="s">
        <v>3030</v>
      </c>
      <c r="B1716" s="8">
        <v>42139</v>
      </c>
      <c r="C1716">
        <v>279</v>
      </c>
      <c r="D1716">
        <v>27.95</v>
      </c>
      <c r="E1716">
        <v>39.051295628399998</v>
      </c>
      <c r="F1716">
        <v>-0.81895518560500002</v>
      </c>
      <c r="G1716">
        <v>1.75</v>
      </c>
    </row>
    <row r="1717" spans="1:7" x14ac:dyDescent="0.25">
      <c r="A1717" t="s">
        <v>3030</v>
      </c>
      <c r="B1717" s="8">
        <v>42139</v>
      </c>
      <c r="C1717">
        <v>262</v>
      </c>
      <c r="D1717">
        <v>27.95</v>
      </c>
      <c r="E1717">
        <v>39.051295628399998</v>
      </c>
      <c r="F1717">
        <v>-0.81895518560500002</v>
      </c>
      <c r="G1717">
        <v>1.75</v>
      </c>
    </row>
    <row r="1718" spans="1:7" x14ac:dyDescent="0.25">
      <c r="A1718" t="s">
        <v>3031</v>
      </c>
      <c r="B1718" s="8">
        <v>42140</v>
      </c>
      <c r="C1718">
        <v>275</v>
      </c>
      <c r="D1718">
        <v>37.200000000000003</v>
      </c>
      <c r="E1718">
        <v>42.883523162400003</v>
      </c>
      <c r="F1718">
        <v>-6.2177036294699999</v>
      </c>
      <c r="G1718">
        <v>3.2</v>
      </c>
    </row>
    <row r="1719" spans="1:7" x14ac:dyDescent="0.25">
      <c r="A1719" t="s">
        <v>3032</v>
      </c>
      <c r="B1719" s="8">
        <v>42140</v>
      </c>
      <c r="C1719">
        <v>71</v>
      </c>
      <c r="D1719">
        <v>35.75</v>
      </c>
      <c r="E1719">
        <v>35.837168751699998</v>
      </c>
      <c r="F1719">
        <v>-1.7144867322999999</v>
      </c>
      <c r="G1719">
        <v>1</v>
      </c>
    </row>
    <row r="1720" spans="1:7" x14ac:dyDescent="0.25">
      <c r="A1720" t="s">
        <v>3033</v>
      </c>
      <c r="B1720" s="8">
        <v>42140</v>
      </c>
      <c r="C1720">
        <v>204</v>
      </c>
      <c r="D1720">
        <v>37.700000000000003</v>
      </c>
      <c r="E1720">
        <v>42.4541558588</v>
      </c>
      <c r="F1720">
        <v>-6.8977837505400004</v>
      </c>
      <c r="G1720">
        <v>3.2</v>
      </c>
    </row>
    <row r="1721" spans="1:7" x14ac:dyDescent="0.25">
      <c r="A1721" t="s">
        <v>3034</v>
      </c>
      <c r="B1721" s="8">
        <v>42141</v>
      </c>
      <c r="C1721">
        <v>279</v>
      </c>
      <c r="D1721">
        <v>7.25</v>
      </c>
      <c r="E1721">
        <v>43.930590958499998</v>
      </c>
      <c r="F1721">
        <v>-3.4116790111199999</v>
      </c>
      <c r="G1721">
        <v>-0.5</v>
      </c>
    </row>
    <row r="1722" spans="1:7" x14ac:dyDescent="0.25">
      <c r="A1722" t="s">
        <v>3035</v>
      </c>
      <c r="B1722" s="8">
        <v>42141</v>
      </c>
      <c r="C1722">
        <v>97</v>
      </c>
      <c r="D1722">
        <v>17</v>
      </c>
      <c r="E1722">
        <v>39.135462744599998</v>
      </c>
      <c r="F1722">
        <v>-1.94150545543</v>
      </c>
      <c r="G1722">
        <v>13</v>
      </c>
    </row>
    <row r="1723" spans="1:7" x14ac:dyDescent="0.25">
      <c r="A1723" t="s">
        <v>3036</v>
      </c>
      <c r="B1723" s="8">
        <v>42141</v>
      </c>
      <c r="C1723">
        <v>187</v>
      </c>
      <c r="D1723">
        <v>6.75</v>
      </c>
      <c r="E1723">
        <v>42.096122557699999</v>
      </c>
      <c r="F1723">
        <v>-1.25172674955</v>
      </c>
      <c r="G1723">
        <v>-0.5</v>
      </c>
    </row>
    <row r="1724" spans="1:7" x14ac:dyDescent="0.25">
      <c r="A1724" t="s">
        <v>3037</v>
      </c>
      <c r="B1724" s="8">
        <v>42141</v>
      </c>
      <c r="C1724">
        <v>92</v>
      </c>
      <c r="D1724">
        <v>21.5</v>
      </c>
      <c r="E1724">
        <v>35.455803539100003</v>
      </c>
      <c r="F1724">
        <v>-3.8281145211899998</v>
      </c>
      <c r="G1724">
        <v>13</v>
      </c>
    </row>
    <row r="1725" spans="1:7" x14ac:dyDescent="0.25">
      <c r="A1725" t="s">
        <v>3038</v>
      </c>
      <c r="B1725" s="8">
        <v>42142</v>
      </c>
      <c r="C1725">
        <v>130</v>
      </c>
      <c r="D1725">
        <v>23.35</v>
      </c>
      <c r="E1725">
        <v>36.295800389100002</v>
      </c>
      <c r="F1725">
        <v>-0.82491016451900001</v>
      </c>
      <c r="G1725">
        <v>-0.75</v>
      </c>
    </row>
    <row r="1726" spans="1:7" x14ac:dyDescent="0.25">
      <c r="A1726" t="s">
        <v>3039</v>
      </c>
      <c r="B1726" s="8">
        <v>42142</v>
      </c>
      <c r="C1726">
        <v>110</v>
      </c>
      <c r="D1726">
        <v>21.6</v>
      </c>
      <c r="E1726">
        <v>36.230224205500001</v>
      </c>
      <c r="F1726">
        <v>-0.98046141313500002</v>
      </c>
      <c r="G1726">
        <v>-0.75</v>
      </c>
    </row>
    <row r="1727" spans="1:7" x14ac:dyDescent="0.25">
      <c r="A1727" t="s">
        <v>3097</v>
      </c>
      <c r="B1727" s="8">
        <v>42143</v>
      </c>
      <c r="C1727">
        <v>279</v>
      </c>
      <c r="D1727">
        <v>36.75</v>
      </c>
      <c r="E1727">
        <v>44.711332978599998</v>
      </c>
      <c r="F1727">
        <v>-1.8739796682000001</v>
      </c>
      <c r="G1727">
        <v>16</v>
      </c>
    </row>
    <row r="1728" spans="1:7" x14ac:dyDescent="0.25">
      <c r="A1728" t="s">
        <v>3098</v>
      </c>
      <c r="B1728" s="8">
        <v>42144</v>
      </c>
      <c r="C1728">
        <v>277</v>
      </c>
      <c r="D1728">
        <v>11.5</v>
      </c>
      <c r="E1728">
        <v>43.7502917407</v>
      </c>
      <c r="F1728">
        <v>-7.1239392917700002</v>
      </c>
      <c r="G1728">
        <v>12</v>
      </c>
    </row>
    <row r="1729" spans="1:7" x14ac:dyDescent="0.25">
      <c r="A1729" t="s">
        <v>3098</v>
      </c>
      <c r="B1729" s="8">
        <v>42144</v>
      </c>
      <c r="C1729">
        <v>257</v>
      </c>
      <c r="D1729">
        <v>11.5</v>
      </c>
      <c r="E1729">
        <v>43.7502917407</v>
      </c>
      <c r="F1729">
        <v>-7.1239392917700002</v>
      </c>
      <c r="G1729">
        <v>12</v>
      </c>
    </row>
    <row r="1730" spans="1:7" x14ac:dyDescent="0.25">
      <c r="A1730" t="s">
        <v>3099</v>
      </c>
      <c r="B1730" s="8">
        <v>42145</v>
      </c>
      <c r="C1730">
        <v>223</v>
      </c>
      <c r="D1730">
        <v>39</v>
      </c>
      <c r="E1730">
        <v>37.245609199199997</v>
      </c>
      <c r="F1730">
        <v>-1.92580693737</v>
      </c>
      <c r="G1730">
        <v>23</v>
      </c>
    </row>
    <row r="1731" spans="1:7" x14ac:dyDescent="0.25">
      <c r="A1731" t="s">
        <v>3100</v>
      </c>
      <c r="B1731" s="8">
        <v>42145</v>
      </c>
      <c r="C1731">
        <v>109</v>
      </c>
      <c r="D1731">
        <v>51.75</v>
      </c>
      <c r="E1731">
        <v>36.189764822000001</v>
      </c>
      <c r="F1731">
        <v>-1.23765077664</v>
      </c>
      <c r="G1731">
        <v>23</v>
      </c>
    </row>
    <row r="1732" spans="1:7" x14ac:dyDescent="0.25">
      <c r="A1732" t="s">
        <v>3101</v>
      </c>
      <c r="B1732" s="8">
        <v>42145</v>
      </c>
      <c r="C1732">
        <v>34</v>
      </c>
      <c r="D1732">
        <v>42.1</v>
      </c>
      <c r="E1732">
        <v>34.541335617500003</v>
      </c>
      <c r="F1732">
        <v>-2.2371985581599998</v>
      </c>
      <c r="G1732">
        <v>5.75</v>
      </c>
    </row>
    <row r="1733" spans="1:7" x14ac:dyDescent="0.25">
      <c r="A1733" t="s">
        <v>3102</v>
      </c>
      <c r="B1733" s="8">
        <v>42145</v>
      </c>
      <c r="C1733">
        <v>114</v>
      </c>
      <c r="D1733">
        <v>21.25</v>
      </c>
      <c r="E1733">
        <v>34.274424700700003</v>
      </c>
      <c r="F1733">
        <v>-1.2700375209899999</v>
      </c>
      <c r="G1733">
        <v>3</v>
      </c>
    </row>
    <row r="1734" spans="1:7" x14ac:dyDescent="0.25">
      <c r="A1734" t="s">
        <v>3103</v>
      </c>
      <c r="B1734" s="8">
        <v>42146</v>
      </c>
      <c r="C1734">
        <v>278</v>
      </c>
      <c r="D1734">
        <v>30.7</v>
      </c>
      <c r="E1734">
        <v>51.061445453300003</v>
      </c>
      <c r="F1734">
        <v>-2.4571305898800002</v>
      </c>
      <c r="G1734">
        <v>11.2</v>
      </c>
    </row>
    <row r="1735" spans="1:7" x14ac:dyDescent="0.25">
      <c r="A1735" t="s">
        <v>3104</v>
      </c>
      <c r="B1735" s="8">
        <v>42146</v>
      </c>
      <c r="C1735">
        <v>58</v>
      </c>
      <c r="D1735">
        <v>18.25</v>
      </c>
      <c r="E1735">
        <v>34.049573754299999</v>
      </c>
      <c r="F1735">
        <v>-0.77278413960500003</v>
      </c>
      <c r="G1735">
        <v>5</v>
      </c>
    </row>
    <row r="1736" spans="1:7" x14ac:dyDescent="0.25">
      <c r="A1736" t="s">
        <v>3105</v>
      </c>
      <c r="B1736" s="8">
        <v>42147</v>
      </c>
      <c r="C1736">
        <v>118</v>
      </c>
      <c r="D1736">
        <v>24.45</v>
      </c>
      <c r="E1736">
        <v>60.679578051100002</v>
      </c>
      <c r="F1736">
        <v>-0.67571694999800003</v>
      </c>
      <c r="G1736">
        <v>-0.75</v>
      </c>
    </row>
    <row r="1737" spans="1:7" x14ac:dyDescent="0.25">
      <c r="A1737" t="s">
        <v>3106</v>
      </c>
      <c r="B1737" s="8">
        <v>42147</v>
      </c>
      <c r="C1737">
        <v>61</v>
      </c>
      <c r="D1737">
        <v>28.95</v>
      </c>
      <c r="E1737">
        <v>59.5664895942</v>
      </c>
      <c r="F1737">
        <v>-1.1880199867300001</v>
      </c>
      <c r="G1737">
        <v>-0.75</v>
      </c>
    </row>
    <row r="1738" spans="1:7" x14ac:dyDescent="0.25">
      <c r="A1738" t="s">
        <v>3107</v>
      </c>
      <c r="B1738" s="8">
        <v>42147</v>
      </c>
      <c r="C1738">
        <v>34</v>
      </c>
      <c r="D1738">
        <v>29.25</v>
      </c>
      <c r="E1738">
        <v>32.644261858999997</v>
      </c>
      <c r="F1738">
        <v>-1.3275408658900001</v>
      </c>
      <c r="G1738">
        <v>10</v>
      </c>
    </row>
    <row r="1739" spans="1:7" x14ac:dyDescent="0.25">
      <c r="A1739" t="s">
        <v>3108</v>
      </c>
      <c r="B1739" s="8">
        <v>42148</v>
      </c>
      <c r="C1739">
        <v>281</v>
      </c>
      <c r="D1739">
        <v>24.5</v>
      </c>
      <c r="E1739">
        <v>40.945044942300001</v>
      </c>
      <c r="F1739">
        <v>-1.27549274832</v>
      </c>
      <c r="G1739">
        <v>15</v>
      </c>
    </row>
    <row r="1740" spans="1:7" x14ac:dyDescent="0.25">
      <c r="A1740" t="s">
        <v>3109</v>
      </c>
      <c r="B1740" s="8">
        <v>42148</v>
      </c>
      <c r="C1740">
        <v>209</v>
      </c>
      <c r="D1740">
        <v>26.5</v>
      </c>
      <c r="E1740">
        <v>35.863949010100001</v>
      </c>
      <c r="F1740">
        <v>-0.34659213825899998</v>
      </c>
      <c r="G1740">
        <v>13</v>
      </c>
    </row>
    <row r="1741" spans="1:7" x14ac:dyDescent="0.25">
      <c r="A1741" t="s">
        <v>3110</v>
      </c>
      <c r="B1741" s="8">
        <v>42148</v>
      </c>
      <c r="C1741">
        <v>72</v>
      </c>
      <c r="D1741">
        <v>34</v>
      </c>
      <c r="E1741">
        <v>39.068724315700003</v>
      </c>
      <c r="F1741">
        <v>-4.0365391026599999</v>
      </c>
      <c r="G1741">
        <v>15</v>
      </c>
    </row>
    <row r="1742" spans="1:7" x14ac:dyDescent="0.25">
      <c r="A1742" t="s">
        <v>3111</v>
      </c>
      <c r="B1742" s="8">
        <v>42149</v>
      </c>
      <c r="C1742">
        <v>280</v>
      </c>
      <c r="D1742">
        <v>27.85</v>
      </c>
      <c r="E1742">
        <v>36.809806805800001</v>
      </c>
      <c r="F1742">
        <v>-9.9977611627900007</v>
      </c>
      <c r="G1742">
        <v>10.1</v>
      </c>
    </row>
    <row r="1743" spans="1:7" x14ac:dyDescent="0.25">
      <c r="A1743" t="s">
        <v>3112</v>
      </c>
      <c r="B1743" s="8">
        <v>42149</v>
      </c>
      <c r="C1743">
        <v>96</v>
      </c>
      <c r="D1743">
        <v>20</v>
      </c>
      <c r="E1743">
        <v>33.524054277099999</v>
      </c>
      <c r="F1743">
        <v>-1.2102352810799999</v>
      </c>
      <c r="G1743">
        <v>11</v>
      </c>
    </row>
    <row r="1744" spans="1:7" x14ac:dyDescent="0.25">
      <c r="A1744" t="s">
        <v>3113</v>
      </c>
      <c r="B1744" s="8">
        <v>42149</v>
      </c>
      <c r="C1744">
        <v>184</v>
      </c>
      <c r="D1744">
        <v>50.45</v>
      </c>
      <c r="E1744">
        <v>36.2182020499</v>
      </c>
      <c r="F1744">
        <v>-6.1484892914899998</v>
      </c>
      <c r="G1744">
        <v>5.2</v>
      </c>
    </row>
    <row r="1745" spans="1:7" x14ac:dyDescent="0.25">
      <c r="A1745" t="s">
        <v>3114</v>
      </c>
      <c r="B1745" s="8">
        <v>42150</v>
      </c>
      <c r="C1745">
        <v>279</v>
      </c>
      <c r="D1745">
        <v>42.75</v>
      </c>
      <c r="E1745">
        <v>40.9870936931</v>
      </c>
      <c r="F1745">
        <v>-0.66682570418099996</v>
      </c>
      <c r="G1745">
        <v>1.5</v>
      </c>
    </row>
    <row r="1746" spans="1:7" x14ac:dyDescent="0.25">
      <c r="A1746" t="s">
        <v>3115</v>
      </c>
      <c r="B1746" s="8">
        <v>42151</v>
      </c>
      <c r="C1746">
        <v>279</v>
      </c>
      <c r="D1746">
        <v>50.75</v>
      </c>
      <c r="E1746">
        <v>40.903681172799999</v>
      </c>
      <c r="F1746">
        <v>-0.52142135756999997</v>
      </c>
      <c r="G1746">
        <v>0.5</v>
      </c>
    </row>
    <row r="1747" spans="1:7" x14ac:dyDescent="0.25">
      <c r="A1747" t="s">
        <v>3116</v>
      </c>
      <c r="B1747" s="8">
        <v>42151</v>
      </c>
      <c r="C1747">
        <v>166</v>
      </c>
      <c r="D1747">
        <v>31.5</v>
      </c>
      <c r="E1747">
        <v>37.232901823500001</v>
      </c>
      <c r="F1747">
        <v>-0.69479951499199999</v>
      </c>
      <c r="G1747">
        <v>21</v>
      </c>
    </row>
    <row r="1748" spans="1:7" x14ac:dyDescent="0.25">
      <c r="A1748" t="s">
        <v>3117</v>
      </c>
      <c r="B1748" s="8">
        <v>42151</v>
      </c>
      <c r="C1748">
        <v>73</v>
      </c>
      <c r="D1748">
        <v>30.25</v>
      </c>
      <c r="E1748">
        <v>37.357945376899998</v>
      </c>
      <c r="F1748">
        <v>-0.65318603011999998</v>
      </c>
      <c r="G1748">
        <v>0.5</v>
      </c>
    </row>
    <row r="1749" spans="1:7" x14ac:dyDescent="0.25">
      <c r="A1749" t="s">
        <v>3118</v>
      </c>
      <c r="B1749" s="8">
        <v>42151</v>
      </c>
      <c r="C1749">
        <v>93</v>
      </c>
      <c r="D1749">
        <v>28.75</v>
      </c>
      <c r="E1749">
        <v>35.581213538999997</v>
      </c>
      <c r="F1749">
        <v>-0.65911091755999995</v>
      </c>
      <c r="G1749">
        <v>21</v>
      </c>
    </row>
    <row r="1750" spans="1:7" x14ac:dyDescent="0.25">
      <c r="A1750" t="s">
        <v>3119</v>
      </c>
      <c r="B1750" s="8">
        <v>42152</v>
      </c>
      <c r="C1750">
        <v>140</v>
      </c>
      <c r="D1750">
        <v>44.2</v>
      </c>
      <c r="E1750">
        <v>37.105074973400001</v>
      </c>
      <c r="F1750">
        <v>-1.1552087661499999</v>
      </c>
      <c r="G1750">
        <v>23.2</v>
      </c>
    </row>
    <row r="1751" spans="1:7" x14ac:dyDescent="0.25">
      <c r="A1751" t="s">
        <v>3119</v>
      </c>
      <c r="B1751" s="8">
        <v>42152</v>
      </c>
      <c r="C1751">
        <v>140</v>
      </c>
      <c r="D1751">
        <v>44.2</v>
      </c>
      <c r="E1751">
        <v>37.105074973400001</v>
      </c>
      <c r="F1751">
        <v>-1.1552087661499999</v>
      </c>
      <c r="G1751">
        <v>23.2</v>
      </c>
    </row>
    <row r="1752" spans="1:7" x14ac:dyDescent="0.25">
      <c r="A1752" t="s">
        <v>3120</v>
      </c>
      <c r="B1752" s="8">
        <v>42152</v>
      </c>
      <c r="C1752">
        <v>93</v>
      </c>
      <c r="D1752">
        <v>39.5</v>
      </c>
      <c r="E1752">
        <v>35.371789485500003</v>
      </c>
      <c r="F1752">
        <v>-0.44012534832299999</v>
      </c>
      <c r="G1752">
        <v>21</v>
      </c>
    </row>
    <row r="1753" spans="1:7" x14ac:dyDescent="0.25">
      <c r="A1753" t="s">
        <v>3121</v>
      </c>
      <c r="B1753" s="8">
        <v>42152</v>
      </c>
      <c r="C1753">
        <v>113</v>
      </c>
      <c r="D1753">
        <v>43.5</v>
      </c>
      <c r="E1753">
        <v>35.9407291355</v>
      </c>
      <c r="F1753">
        <v>-0.44352005345700002</v>
      </c>
      <c r="G1753">
        <v>21</v>
      </c>
    </row>
    <row r="1754" spans="1:7" x14ac:dyDescent="0.25">
      <c r="A1754" t="s">
        <v>3122</v>
      </c>
      <c r="B1754" s="8">
        <v>42153</v>
      </c>
      <c r="C1754">
        <v>281</v>
      </c>
      <c r="D1754">
        <v>40.75</v>
      </c>
      <c r="E1754">
        <v>38.9460340511</v>
      </c>
      <c r="F1754">
        <v>-0.47864935520899998</v>
      </c>
      <c r="G1754">
        <v>10</v>
      </c>
    </row>
    <row r="1755" spans="1:7" x14ac:dyDescent="0.25">
      <c r="A1755" t="s">
        <v>3122</v>
      </c>
      <c r="B1755" s="8">
        <v>42153</v>
      </c>
      <c r="C1755">
        <v>263</v>
      </c>
      <c r="D1755">
        <v>40.75</v>
      </c>
      <c r="E1755">
        <v>38.9460340511</v>
      </c>
      <c r="F1755">
        <v>-0.47864935520899998</v>
      </c>
      <c r="G1755">
        <v>10</v>
      </c>
    </row>
    <row r="1756" spans="1:7" x14ac:dyDescent="0.25">
      <c r="A1756" t="s">
        <v>3123</v>
      </c>
      <c r="B1756" s="8">
        <v>42154</v>
      </c>
      <c r="C1756">
        <v>262</v>
      </c>
      <c r="D1756">
        <v>51.75</v>
      </c>
      <c r="E1756">
        <v>42.7451782694</v>
      </c>
      <c r="F1756">
        <v>-7.5941716136000004</v>
      </c>
      <c r="G1756">
        <v>14</v>
      </c>
    </row>
    <row r="1757" spans="1:7" x14ac:dyDescent="0.25">
      <c r="A1757" t="s">
        <v>3124</v>
      </c>
      <c r="B1757" s="8">
        <v>42154</v>
      </c>
      <c r="C1757">
        <v>130</v>
      </c>
      <c r="D1757">
        <v>39.75</v>
      </c>
      <c r="E1757">
        <v>37.173294914899998</v>
      </c>
      <c r="F1757">
        <v>-1.8366685031900001</v>
      </c>
      <c r="G1757">
        <v>14</v>
      </c>
    </row>
    <row r="1758" spans="1:7" x14ac:dyDescent="0.25">
      <c r="A1758" t="s">
        <v>3125</v>
      </c>
      <c r="B1758" s="8">
        <v>42154</v>
      </c>
      <c r="C1758">
        <v>132</v>
      </c>
      <c r="D1758">
        <v>39.35</v>
      </c>
      <c r="E1758">
        <v>38.861165430200003</v>
      </c>
      <c r="F1758">
        <v>-6.34879496772</v>
      </c>
      <c r="G1758">
        <v>12.1</v>
      </c>
    </row>
    <row r="1759" spans="1:7" x14ac:dyDescent="0.25">
      <c r="A1759" t="s">
        <v>3126</v>
      </c>
      <c r="B1759" s="8">
        <v>42154</v>
      </c>
      <c r="C1759">
        <v>130</v>
      </c>
      <c r="D1759">
        <v>45</v>
      </c>
      <c r="E1759">
        <v>39.755805636700003</v>
      </c>
      <c r="F1759">
        <v>-6.8092690082800003</v>
      </c>
      <c r="G1759">
        <v>14</v>
      </c>
    </row>
    <row r="1760" spans="1:7" x14ac:dyDescent="0.25">
      <c r="A1760" t="s">
        <v>3127</v>
      </c>
      <c r="B1760" s="8">
        <v>42155</v>
      </c>
      <c r="C1760">
        <v>280</v>
      </c>
      <c r="D1760">
        <v>22.35</v>
      </c>
      <c r="E1760">
        <v>36.3282127222</v>
      </c>
      <c r="F1760">
        <v>-1.9626838741499999</v>
      </c>
      <c r="G1760">
        <v>-0.5</v>
      </c>
    </row>
    <row r="1761" spans="1:7" x14ac:dyDescent="0.25">
      <c r="A1761" t="s">
        <v>3128</v>
      </c>
      <c r="B1761" s="8">
        <v>42155</v>
      </c>
      <c r="C1761">
        <v>94</v>
      </c>
      <c r="D1761">
        <v>22.35</v>
      </c>
      <c r="E1761">
        <v>34.553672886699999</v>
      </c>
      <c r="F1761">
        <v>-0.36082029919699998</v>
      </c>
      <c r="G1761">
        <v>-0.5</v>
      </c>
    </row>
    <row r="1762" spans="1:7" x14ac:dyDescent="0.25">
      <c r="A1762" t="s">
        <v>3129</v>
      </c>
      <c r="B1762" s="8">
        <v>42155</v>
      </c>
      <c r="C1762">
        <v>186</v>
      </c>
      <c r="D1762">
        <v>34.75</v>
      </c>
      <c r="E1762">
        <v>35.172255940699998</v>
      </c>
      <c r="F1762">
        <v>-2.0754453658999998</v>
      </c>
      <c r="G1762">
        <v>-0.75</v>
      </c>
    </row>
    <row r="1763" spans="1:7" x14ac:dyDescent="0.25">
      <c r="A1763" t="s">
        <v>3130</v>
      </c>
      <c r="B1763" s="8">
        <v>42155</v>
      </c>
      <c r="C1763">
        <v>112</v>
      </c>
      <c r="D1763">
        <v>25</v>
      </c>
      <c r="E1763">
        <v>34.625644174400001</v>
      </c>
      <c r="F1763">
        <v>-1.9813387441899999</v>
      </c>
      <c r="G1763">
        <v>-0.75</v>
      </c>
    </row>
    <row r="1764" spans="1:7" x14ac:dyDescent="0.25">
      <c r="A1764" t="s">
        <v>3131</v>
      </c>
      <c r="B1764" s="8">
        <v>42156</v>
      </c>
      <c r="C1764">
        <v>163</v>
      </c>
      <c r="D1764">
        <v>37.75</v>
      </c>
      <c r="E1764">
        <v>40.588671723700003</v>
      </c>
      <c r="F1764">
        <v>-5.5101469347099998</v>
      </c>
      <c r="G1764">
        <v>5.75</v>
      </c>
    </row>
    <row r="1765" spans="1:7" x14ac:dyDescent="0.25">
      <c r="A1765" t="s">
        <v>3132</v>
      </c>
      <c r="B1765" s="8">
        <v>42157</v>
      </c>
      <c r="C1765">
        <v>293</v>
      </c>
      <c r="D1765">
        <v>38.5</v>
      </c>
      <c r="E1765">
        <v>48.217343356699999</v>
      </c>
      <c r="F1765">
        <v>-8.6925630942800005</v>
      </c>
      <c r="G1765">
        <v>8</v>
      </c>
    </row>
    <row r="1766" spans="1:7" x14ac:dyDescent="0.25">
      <c r="A1766" t="s">
        <v>3132</v>
      </c>
      <c r="B1766" s="8">
        <v>42157</v>
      </c>
      <c r="C1766">
        <v>293</v>
      </c>
      <c r="D1766">
        <v>38.5</v>
      </c>
      <c r="E1766">
        <v>48.217343356699999</v>
      </c>
      <c r="F1766">
        <v>-8.6925630942800005</v>
      </c>
      <c r="G1766">
        <v>8</v>
      </c>
    </row>
    <row r="1767" spans="1:7" x14ac:dyDescent="0.25">
      <c r="A1767" t="s">
        <v>3133</v>
      </c>
      <c r="B1767" s="8">
        <v>42157</v>
      </c>
      <c r="C1767">
        <v>99</v>
      </c>
      <c r="D1767">
        <v>28.5</v>
      </c>
      <c r="E1767">
        <v>36.912918531099997</v>
      </c>
      <c r="F1767">
        <v>-2.8102559862000001</v>
      </c>
      <c r="G1767">
        <v>3</v>
      </c>
    </row>
    <row r="1768" spans="1:7" x14ac:dyDescent="0.25">
      <c r="A1768" t="s">
        <v>3134</v>
      </c>
      <c r="B1768" s="8">
        <v>42158</v>
      </c>
      <c r="C1768">
        <v>287</v>
      </c>
      <c r="D1768">
        <v>42</v>
      </c>
      <c r="E1768">
        <v>38.940195424599999</v>
      </c>
      <c r="F1768">
        <v>-9.8186217851500004</v>
      </c>
      <c r="G1768">
        <v>-0.5</v>
      </c>
    </row>
    <row r="1769" spans="1:7" x14ac:dyDescent="0.25">
      <c r="A1769" t="s">
        <v>3135</v>
      </c>
      <c r="B1769" s="8">
        <v>42158</v>
      </c>
      <c r="C1769">
        <v>98</v>
      </c>
      <c r="D1769">
        <v>19.75</v>
      </c>
      <c r="E1769">
        <v>36.895528265499998</v>
      </c>
      <c r="F1769">
        <v>-9.9949283342800008</v>
      </c>
      <c r="G1769">
        <v>16</v>
      </c>
    </row>
    <row r="1770" spans="1:7" x14ac:dyDescent="0.25">
      <c r="A1770" t="s">
        <v>3136</v>
      </c>
      <c r="B1770" s="8">
        <v>42158</v>
      </c>
      <c r="C1770">
        <v>55</v>
      </c>
      <c r="D1770">
        <v>20.75</v>
      </c>
      <c r="E1770">
        <v>35.091133554800003</v>
      </c>
      <c r="F1770">
        <v>-9.9835765311000007</v>
      </c>
      <c r="G1770">
        <v>16</v>
      </c>
    </row>
    <row r="1771" spans="1:7" x14ac:dyDescent="0.25">
      <c r="A1771" t="s">
        <v>3137</v>
      </c>
      <c r="B1771" s="8">
        <v>42158</v>
      </c>
      <c r="C1771">
        <v>215</v>
      </c>
      <c r="D1771">
        <v>34.5</v>
      </c>
      <c r="E1771">
        <v>37.779892858300002</v>
      </c>
      <c r="F1771">
        <v>-1.6303675720299999</v>
      </c>
      <c r="G1771">
        <v>13</v>
      </c>
    </row>
    <row r="1772" spans="1:7" x14ac:dyDescent="0.25">
      <c r="A1772" t="s">
        <v>3138</v>
      </c>
      <c r="B1772" s="8">
        <v>42159</v>
      </c>
      <c r="C1772">
        <v>190</v>
      </c>
      <c r="D1772">
        <v>23.95</v>
      </c>
      <c r="E1772">
        <v>47.1013561376</v>
      </c>
      <c r="F1772">
        <v>-0.36856830162600002</v>
      </c>
      <c r="G1772">
        <v>6.2</v>
      </c>
    </row>
    <row r="1773" spans="1:7" x14ac:dyDescent="0.25">
      <c r="A1773" t="s">
        <v>3139</v>
      </c>
      <c r="B1773" s="8">
        <v>42159</v>
      </c>
      <c r="C1773">
        <v>130</v>
      </c>
      <c r="D1773">
        <v>22.95</v>
      </c>
      <c r="E1773">
        <v>46.907391413699997</v>
      </c>
      <c r="F1773">
        <v>-0.34480300242400003</v>
      </c>
      <c r="G1773">
        <v>6.2</v>
      </c>
    </row>
    <row r="1774" spans="1:7" x14ac:dyDescent="0.25">
      <c r="A1774" t="s">
        <v>3140</v>
      </c>
      <c r="B1774" s="8">
        <v>42159</v>
      </c>
      <c r="C1774">
        <v>60</v>
      </c>
      <c r="D1774">
        <v>28.1</v>
      </c>
      <c r="E1774">
        <v>33.305677710300003</v>
      </c>
      <c r="F1774">
        <v>-0.93516202395199999</v>
      </c>
      <c r="G1774">
        <v>2.1</v>
      </c>
    </row>
    <row r="1775" spans="1:7" x14ac:dyDescent="0.25">
      <c r="A1775" t="s">
        <v>3141</v>
      </c>
      <c r="B1775" s="8">
        <v>42160</v>
      </c>
      <c r="C1775">
        <v>280</v>
      </c>
      <c r="D1775">
        <v>53.35</v>
      </c>
      <c r="E1775">
        <v>36.700680249800001</v>
      </c>
      <c r="F1775">
        <v>-0.66626501539799998</v>
      </c>
      <c r="G1775">
        <v>15.1</v>
      </c>
    </row>
    <row r="1776" spans="1:7" x14ac:dyDescent="0.25">
      <c r="A1776" t="s">
        <v>3142</v>
      </c>
      <c r="B1776" s="8">
        <v>42160</v>
      </c>
      <c r="C1776">
        <v>54</v>
      </c>
      <c r="D1776">
        <v>26.5</v>
      </c>
      <c r="E1776">
        <v>32.355494622999998</v>
      </c>
      <c r="F1776">
        <v>-0.333709564279</v>
      </c>
      <c r="G1776">
        <v>13</v>
      </c>
    </row>
    <row r="1777" spans="1:7" x14ac:dyDescent="0.25">
      <c r="A1777" t="s">
        <v>3143</v>
      </c>
      <c r="B1777" s="8">
        <v>42160</v>
      </c>
      <c r="C1777">
        <v>77</v>
      </c>
      <c r="D1777">
        <v>29</v>
      </c>
      <c r="E1777">
        <v>33.248038529299997</v>
      </c>
      <c r="F1777">
        <v>-0.62038380843600005</v>
      </c>
      <c r="G1777">
        <v>8</v>
      </c>
    </row>
    <row r="1778" spans="1:7" x14ac:dyDescent="0.25">
      <c r="A1778" t="s">
        <v>3144</v>
      </c>
      <c r="B1778" s="8">
        <v>42161</v>
      </c>
      <c r="C1778">
        <v>134</v>
      </c>
      <c r="D1778">
        <v>37.700000000000003</v>
      </c>
      <c r="E1778">
        <v>41.8648681313</v>
      </c>
      <c r="F1778">
        <v>-2.9211485610299999</v>
      </c>
      <c r="G1778">
        <v>10.199999999999999</v>
      </c>
    </row>
    <row r="1779" spans="1:7" x14ac:dyDescent="0.25">
      <c r="A1779" t="s">
        <v>3145</v>
      </c>
      <c r="B1779" s="8">
        <v>42161</v>
      </c>
      <c r="C1779">
        <v>110</v>
      </c>
      <c r="D1779">
        <v>28.2</v>
      </c>
      <c r="E1779">
        <v>41.997445112100003</v>
      </c>
      <c r="F1779">
        <v>-2.7410083418100002</v>
      </c>
      <c r="G1779">
        <v>10.199999999999999</v>
      </c>
    </row>
    <row r="1780" spans="1:7" x14ac:dyDescent="0.25">
      <c r="A1780" t="s">
        <v>3146</v>
      </c>
      <c r="B1780" s="8">
        <v>42161</v>
      </c>
      <c r="C1780">
        <v>153</v>
      </c>
      <c r="D1780">
        <v>42.5</v>
      </c>
      <c r="E1780">
        <v>34.482807199100002</v>
      </c>
      <c r="F1780">
        <v>-0.40668149048199997</v>
      </c>
      <c r="G1780">
        <v>2.5</v>
      </c>
    </row>
    <row r="1781" spans="1:7" x14ac:dyDescent="0.25">
      <c r="A1781" t="s">
        <v>3147</v>
      </c>
      <c r="B1781" s="8">
        <v>42162</v>
      </c>
      <c r="C1781">
        <v>90</v>
      </c>
      <c r="D1781">
        <v>31.75</v>
      </c>
      <c r="E1781">
        <v>37.227389564699997</v>
      </c>
      <c r="F1781">
        <v>-3.3855710270200001</v>
      </c>
      <c r="G1781">
        <v>19</v>
      </c>
    </row>
    <row r="1782" spans="1:7" x14ac:dyDescent="0.25">
      <c r="A1782" t="s">
        <v>3148</v>
      </c>
      <c r="B1782" s="8">
        <v>42163</v>
      </c>
      <c r="C1782">
        <v>146</v>
      </c>
      <c r="D1782">
        <v>50.75</v>
      </c>
      <c r="E1782">
        <v>36.335253840699998</v>
      </c>
      <c r="F1782">
        <v>-0.86000080765700004</v>
      </c>
      <c r="G1782">
        <v>25</v>
      </c>
    </row>
    <row r="1783" spans="1:7" x14ac:dyDescent="0.25">
      <c r="A1783" t="s">
        <v>3149</v>
      </c>
      <c r="B1783" s="8">
        <v>42164</v>
      </c>
      <c r="C1783">
        <v>281</v>
      </c>
      <c r="D1783">
        <v>14.95</v>
      </c>
      <c r="E1783">
        <v>39.017872800600003</v>
      </c>
      <c r="F1783">
        <v>-0.732603231332</v>
      </c>
      <c r="G1783">
        <v>-0.25</v>
      </c>
    </row>
    <row r="1784" spans="1:7" x14ac:dyDescent="0.25">
      <c r="A1784" t="s">
        <v>3150</v>
      </c>
      <c r="B1784" s="8">
        <v>42165</v>
      </c>
      <c r="C1784">
        <v>280</v>
      </c>
      <c r="D1784">
        <v>16.75</v>
      </c>
      <c r="E1784">
        <v>37.158584407299998</v>
      </c>
      <c r="F1784">
        <v>-0.61733504508299997</v>
      </c>
      <c r="G1784">
        <v>-0.5</v>
      </c>
    </row>
    <row r="1785" spans="1:7" x14ac:dyDescent="0.25">
      <c r="A1785" t="s">
        <v>3151</v>
      </c>
      <c r="B1785" s="8">
        <v>42165</v>
      </c>
      <c r="C1785">
        <v>205</v>
      </c>
      <c r="D1785">
        <v>22</v>
      </c>
      <c r="E1785">
        <v>36.4080198606</v>
      </c>
      <c r="F1785">
        <v>-0.96125357890700003</v>
      </c>
      <c r="G1785">
        <v>-0.5</v>
      </c>
    </row>
    <row r="1786" spans="1:7" x14ac:dyDescent="0.25">
      <c r="A1786" t="s">
        <v>3152</v>
      </c>
      <c r="B1786" s="8">
        <v>42165</v>
      </c>
      <c r="C1786">
        <v>57</v>
      </c>
      <c r="D1786">
        <v>22.35</v>
      </c>
      <c r="E1786">
        <v>31.255554989299998</v>
      </c>
      <c r="F1786">
        <v>-1.25187864914</v>
      </c>
      <c r="G1786">
        <v>9.1</v>
      </c>
    </row>
    <row r="1787" spans="1:7" x14ac:dyDescent="0.25">
      <c r="A1787" t="s">
        <v>3153</v>
      </c>
      <c r="B1787" s="8">
        <v>42166</v>
      </c>
      <c r="C1787">
        <v>106</v>
      </c>
      <c r="D1787">
        <v>27.75</v>
      </c>
      <c r="E1787">
        <v>36.399188199299999</v>
      </c>
      <c r="F1787">
        <v>-2.6536204651699999</v>
      </c>
      <c r="G1787">
        <v>2</v>
      </c>
    </row>
    <row r="1788" spans="1:7" x14ac:dyDescent="0.25">
      <c r="A1788" t="s">
        <v>3154</v>
      </c>
      <c r="B1788" s="8">
        <v>42166</v>
      </c>
      <c r="C1788">
        <v>33</v>
      </c>
      <c r="D1788">
        <v>22.95</v>
      </c>
      <c r="E1788">
        <v>29.5877718636</v>
      </c>
      <c r="F1788">
        <v>-9.8141560390499993</v>
      </c>
      <c r="G1788">
        <v>-0.75</v>
      </c>
    </row>
    <row r="1789" spans="1:7" x14ac:dyDescent="0.25">
      <c r="A1789" t="s">
        <v>3155</v>
      </c>
      <c r="B1789" s="8">
        <v>42167</v>
      </c>
      <c r="C1789">
        <v>277</v>
      </c>
      <c r="D1789">
        <v>22.35</v>
      </c>
      <c r="E1789">
        <v>43.023911337199998</v>
      </c>
      <c r="F1789">
        <v>-3.3459190476899998</v>
      </c>
      <c r="G1789">
        <v>1.1000000000000001</v>
      </c>
    </row>
    <row r="1790" spans="1:7" x14ac:dyDescent="0.25">
      <c r="A1790" t="s">
        <v>3155</v>
      </c>
      <c r="B1790" s="8">
        <v>42167</v>
      </c>
      <c r="C1790">
        <v>261</v>
      </c>
      <c r="D1790">
        <v>22.35</v>
      </c>
      <c r="E1790">
        <v>43.023911337199998</v>
      </c>
      <c r="F1790">
        <v>-3.3459190476899998</v>
      </c>
      <c r="G1790">
        <v>1.1000000000000001</v>
      </c>
    </row>
    <row r="1795" spans="1:12" ht="15.75" thickBot="1" x14ac:dyDescent="0.3"/>
    <row r="1796" spans="1:12" ht="30" x14ac:dyDescent="0.25">
      <c r="A1796" s="37" t="s">
        <v>3157</v>
      </c>
      <c r="B1796" s="38" t="s">
        <v>311</v>
      </c>
      <c r="C1796" s="38" t="s">
        <v>1545</v>
      </c>
      <c r="D1796" s="38" t="s">
        <v>1527</v>
      </c>
      <c r="E1796" s="38" t="s">
        <v>1546</v>
      </c>
      <c r="F1796" s="38" t="s">
        <v>1547</v>
      </c>
      <c r="G1796" s="40" t="s">
        <v>1861</v>
      </c>
      <c r="H1796" s="38" t="s">
        <v>1862</v>
      </c>
      <c r="I1796" s="38"/>
      <c r="J1796" s="65" t="s">
        <v>1989</v>
      </c>
      <c r="K1796" s="66" t="s">
        <v>1990</v>
      </c>
      <c r="L1796" s="67" t="s">
        <v>1991</v>
      </c>
    </row>
    <row r="1797" spans="1:12" x14ac:dyDescent="0.25">
      <c r="A1797" s="30" t="s">
        <v>3177</v>
      </c>
      <c r="B1797" s="8">
        <v>42135</v>
      </c>
      <c r="C1797" s="30">
        <v>184</v>
      </c>
      <c r="D1797" s="30">
        <v>34.5</v>
      </c>
      <c r="E1797" s="30">
        <v>40.720245122000001</v>
      </c>
      <c r="F1797" s="30">
        <v>-2.12226714604</v>
      </c>
      <c r="G1797" s="30">
        <v>11</v>
      </c>
      <c r="H1797" s="30"/>
      <c r="I1797" s="30"/>
      <c r="J1797" s="68">
        <f>AVERAGE(D1797:D1934)</f>
        <v>30.167028985507226</v>
      </c>
      <c r="K1797" s="68">
        <f>_xlfn.STDEV.P(D1797:D1934)</f>
        <v>11.505168177660948</v>
      </c>
      <c r="L1797" s="68">
        <f>MEDIAN(D1797:D1934)</f>
        <v>30.125</v>
      </c>
    </row>
    <row r="1798" spans="1:12" x14ac:dyDescent="0.25">
      <c r="A1798" t="s">
        <v>3178</v>
      </c>
      <c r="B1798" s="8">
        <v>42135</v>
      </c>
      <c r="C1798">
        <v>55</v>
      </c>
      <c r="D1798">
        <v>24.25</v>
      </c>
      <c r="E1798">
        <v>36.518092463599999</v>
      </c>
      <c r="F1798">
        <v>-1.9058280139899999</v>
      </c>
      <c r="G1798">
        <v>11</v>
      </c>
    </row>
    <row r="1799" spans="1:12" x14ac:dyDescent="0.25">
      <c r="A1799" t="s">
        <v>3179</v>
      </c>
      <c r="B1799" s="8">
        <v>42135</v>
      </c>
      <c r="C1799">
        <v>37</v>
      </c>
      <c r="D1799">
        <v>32.5</v>
      </c>
      <c r="E1799">
        <v>32.582072349199997</v>
      </c>
      <c r="F1799">
        <v>-8.9772595190299995E-2</v>
      </c>
      <c r="G1799">
        <v>6</v>
      </c>
    </row>
    <row r="1800" spans="1:12" x14ac:dyDescent="0.25">
      <c r="A1800" t="s">
        <v>3173</v>
      </c>
      <c r="B1800" s="8">
        <v>42136</v>
      </c>
      <c r="C1800">
        <v>278</v>
      </c>
      <c r="D1800">
        <v>27.75</v>
      </c>
      <c r="E1800">
        <v>38.085499101899998</v>
      </c>
      <c r="F1800">
        <v>-0.50858338797699998</v>
      </c>
      <c r="G1800">
        <v>21</v>
      </c>
    </row>
    <row r="1801" spans="1:12" x14ac:dyDescent="0.25">
      <c r="A1801" t="s">
        <v>3173</v>
      </c>
      <c r="B1801" s="8">
        <v>42136</v>
      </c>
      <c r="C1801">
        <v>258</v>
      </c>
      <c r="D1801">
        <v>27.75</v>
      </c>
      <c r="E1801">
        <v>38.085499101899998</v>
      </c>
      <c r="F1801">
        <v>-0.50858338797699998</v>
      </c>
      <c r="G1801">
        <v>21</v>
      </c>
    </row>
    <row r="1802" spans="1:12" x14ac:dyDescent="0.25">
      <c r="A1802" t="s">
        <v>3174</v>
      </c>
      <c r="B1802" s="8">
        <v>42136</v>
      </c>
      <c r="C1802">
        <v>113</v>
      </c>
      <c r="D1802">
        <v>23.75</v>
      </c>
      <c r="E1802">
        <v>34.855122788499997</v>
      </c>
      <c r="F1802">
        <v>-0.14146468294199999</v>
      </c>
      <c r="G1802">
        <v>-0.5</v>
      </c>
    </row>
    <row r="1803" spans="1:12" x14ac:dyDescent="0.25">
      <c r="A1803" t="s">
        <v>3175</v>
      </c>
      <c r="B1803" s="8">
        <v>42136</v>
      </c>
      <c r="C1803">
        <v>92</v>
      </c>
      <c r="D1803">
        <v>26.5</v>
      </c>
      <c r="E1803">
        <v>34.500999069800002</v>
      </c>
      <c r="F1803">
        <v>-0.91569302217600002</v>
      </c>
      <c r="G1803">
        <v>16</v>
      </c>
    </row>
    <row r="1804" spans="1:12" x14ac:dyDescent="0.25">
      <c r="A1804" t="s">
        <v>3176</v>
      </c>
      <c r="B1804" s="8">
        <v>42136</v>
      </c>
      <c r="C1804">
        <v>73</v>
      </c>
      <c r="D1804">
        <v>36.25</v>
      </c>
      <c r="E1804">
        <v>35.015753973700001</v>
      </c>
      <c r="F1804">
        <v>-0.109026113029</v>
      </c>
      <c r="G1804">
        <v>21</v>
      </c>
    </row>
    <row r="1805" spans="1:12" x14ac:dyDescent="0.25">
      <c r="A1805" t="s">
        <v>3172</v>
      </c>
      <c r="B1805" s="8">
        <v>42137</v>
      </c>
      <c r="C1805">
        <v>39</v>
      </c>
      <c r="D1805">
        <v>25.25</v>
      </c>
      <c r="E1805">
        <v>32.723657355599997</v>
      </c>
      <c r="F1805">
        <v>-1.1319006522899999</v>
      </c>
      <c r="G1805">
        <v>18</v>
      </c>
    </row>
    <row r="1806" spans="1:12" x14ac:dyDescent="0.25">
      <c r="A1806" t="s">
        <v>3158</v>
      </c>
      <c r="B1806" s="8">
        <v>42138</v>
      </c>
      <c r="C1806">
        <v>207</v>
      </c>
      <c r="D1806">
        <v>36.75</v>
      </c>
      <c r="E1806">
        <v>41.997590498599997</v>
      </c>
      <c r="F1806">
        <v>-1.4287246661899999</v>
      </c>
      <c r="G1806">
        <v>14</v>
      </c>
    </row>
    <row r="1807" spans="1:12" x14ac:dyDescent="0.25">
      <c r="A1807" t="s">
        <v>3159</v>
      </c>
      <c r="B1807" s="8">
        <v>42138</v>
      </c>
      <c r="C1807">
        <v>94</v>
      </c>
      <c r="D1807">
        <v>32.35</v>
      </c>
      <c r="E1807">
        <v>34.810168266700003</v>
      </c>
      <c r="F1807">
        <v>-9.9397810027499993</v>
      </c>
      <c r="G1807">
        <v>-0.75</v>
      </c>
    </row>
    <row r="1808" spans="1:12" x14ac:dyDescent="0.25">
      <c r="A1808" t="s">
        <v>3160</v>
      </c>
      <c r="B1808" s="8">
        <v>42138</v>
      </c>
      <c r="C1808">
        <v>113</v>
      </c>
      <c r="D1808">
        <v>43</v>
      </c>
      <c r="E1808">
        <v>41.475685284299999</v>
      </c>
      <c r="F1808">
        <v>-1.0699956096100001</v>
      </c>
      <c r="G1808">
        <v>14</v>
      </c>
    </row>
    <row r="1809" spans="1:7" x14ac:dyDescent="0.25">
      <c r="A1809" t="s">
        <v>3161</v>
      </c>
      <c r="B1809" s="8">
        <v>42138</v>
      </c>
      <c r="C1809">
        <v>37</v>
      </c>
      <c r="D1809">
        <v>13.6</v>
      </c>
      <c r="E1809">
        <v>32.0959309944</v>
      </c>
      <c r="F1809">
        <v>-9.8487530811300008</v>
      </c>
      <c r="G1809">
        <v>-0.75</v>
      </c>
    </row>
    <row r="1810" spans="1:7" x14ac:dyDescent="0.25">
      <c r="A1810" t="s">
        <v>3162</v>
      </c>
      <c r="B1810" s="8">
        <v>42139</v>
      </c>
      <c r="C1810">
        <v>279</v>
      </c>
      <c r="D1810">
        <v>8.35</v>
      </c>
      <c r="E1810">
        <v>38.3860872395</v>
      </c>
      <c r="F1810">
        <v>-1.39813305598</v>
      </c>
      <c r="G1810">
        <v>1.1000000000000001</v>
      </c>
    </row>
    <row r="1811" spans="1:7" x14ac:dyDescent="0.25">
      <c r="A1811" t="s">
        <v>3162</v>
      </c>
      <c r="B1811" s="8">
        <v>42139</v>
      </c>
      <c r="C1811">
        <v>262</v>
      </c>
      <c r="D1811">
        <v>8.35</v>
      </c>
      <c r="E1811">
        <v>38.3860872395</v>
      </c>
      <c r="F1811">
        <v>-1.39813305598</v>
      </c>
      <c r="G1811">
        <v>1.1000000000000001</v>
      </c>
    </row>
    <row r="1812" spans="1:7" x14ac:dyDescent="0.25">
      <c r="A1812" t="s">
        <v>3163</v>
      </c>
      <c r="B1812" s="8">
        <v>42140</v>
      </c>
      <c r="C1812">
        <v>275</v>
      </c>
      <c r="D1812">
        <v>54</v>
      </c>
      <c r="E1812">
        <v>38.567160969299998</v>
      </c>
      <c r="F1812">
        <v>-0.949802326448</v>
      </c>
      <c r="G1812">
        <v>10</v>
      </c>
    </row>
    <row r="1813" spans="1:7" x14ac:dyDescent="0.25">
      <c r="A1813" t="s">
        <v>3164</v>
      </c>
      <c r="B1813" s="8">
        <v>42140</v>
      </c>
      <c r="C1813">
        <v>71</v>
      </c>
      <c r="D1813">
        <v>34.75</v>
      </c>
      <c r="E1813">
        <v>34.751004352499997</v>
      </c>
      <c r="F1813">
        <v>-0.92037086430000004</v>
      </c>
      <c r="G1813">
        <v>1</v>
      </c>
    </row>
    <row r="1814" spans="1:7" x14ac:dyDescent="0.25">
      <c r="A1814" t="s">
        <v>3165</v>
      </c>
      <c r="B1814" s="8">
        <v>42140</v>
      </c>
      <c r="C1814">
        <v>204</v>
      </c>
      <c r="D1814">
        <v>56.5</v>
      </c>
      <c r="E1814">
        <v>38.112940407700002</v>
      </c>
      <c r="F1814">
        <v>-0.35051749764200002</v>
      </c>
      <c r="G1814">
        <v>10</v>
      </c>
    </row>
    <row r="1815" spans="1:7" x14ac:dyDescent="0.25">
      <c r="A1815" t="s">
        <v>3166</v>
      </c>
      <c r="B1815" s="8">
        <v>42141</v>
      </c>
      <c r="C1815">
        <v>279</v>
      </c>
      <c r="D1815">
        <v>3.5</v>
      </c>
      <c r="E1815">
        <v>40.416987532900002</v>
      </c>
      <c r="F1815">
        <v>-1.3662703730500001</v>
      </c>
      <c r="G1815">
        <v>-0.5</v>
      </c>
    </row>
    <row r="1816" spans="1:7" x14ac:dyDescent="0.25">
      <c r="A1816" t="s">
        <v>3167</v>
      </c>
      <c r="B1816" s="8">
        <v>42141</v>
      </c>
      <c r="C1816">
        <v>97</v>
      </c>
      <c r="D1816">
        <v>26.5</v>
      </c>
      <c r="E1816">
        <v>39.473424749800003</v>
      </c>
      <c r="F1816">
        <v>-1.62329833169</v>
      </c>
      <c r="G1816">
        <v>18</v>
      </c>
    </row>
    <row r="1817" spans="1:7" x14ac:dyDescent="0.25">
      <c r="A1817" t="s">
        <v>3168</v>
      </c>
      <c r="B1817" s="8">
        <v>42141</v>
      </c>
      <c r="C1817">
        <v>187</v>
      </c>
      <c r="D1817">
        <v>7</v>
      </c>
      <c r="E1817">
        <v>40.135210552300002</v>
      </c>
      <c r="F1817">
        <v>-1.33050216865</v>
      </c>
      <c r="G1817">
        <v>-0.5</v>
      </c>
    </row>
    <row r="1818" spans="1:7" x14ac:dyDescent="0.25">
      <c r="A1818" t="s">
        <v>3169</v>
      </c>
      <c r="B1818" s="8">
        <v>42141</v>
      </c>
      <c r="C1818">
        <v>92</v>
      </c>
      <c r="D1818">
        <v>17.100000000000001</v>
      </c>
      <c r="E1818">
        <v>33.4473387488</v>
      </c>
      <c r="F1818">
        <v>-0.64449019839499999</v>
      </c>
      <c r="G1818">
        <v>7.1</v>
      </c>
    </row>
    <row r="1819" spans="1:7" x14ac:dyDescent="0.25">
      <c r="A1819" t="s">
        <v>3170</v>
      </c>
      <c r="B1819" s="8">
        <v>42142</v>
      </c>
      <c r="C1819">
        <v>130</v>
      </c>
      <c r="D1819">
        <v>29.25</v>
      </c>
      <c r="E1819">
        <v>35.238761277199998</v>
      </c>
      <c r="F1819">
        <v>-5.3958042002399997</v>
      </c>
      <c r="G1819">
        <v>14</v>
      </c>
    </row>
    <row r="1820" spans="1:7" x14ac:dyDescent="0.25">
      <c r="A1820" t="s">
        <v>3171</v>
      </c>
      <c r="B1820" s="8">
        <v>42142</v>
      </c>
      <c r="C1820">
        <v>110</v>
      </c>
      <c r="D1820">
        <v>22.75</v>
      </c>
      <c r="E1820">
        <v>35.020127840800001</v>
      </c>
      <c r="F1820">
        <v>-5.5844494388200001</v>
      </c>
      <c r="G1820">
        <v>14</v>
      </c>
    </row>
    <row r="1821" spans="1:7" x14ac:dyDescent="0.25">
      <c r="A1821" t="s">
        <v>3180</v>
      </c>
      <c r="B1821" s="8">
        <v>42134</v>
      </c>
      <c r="C1821">
        <v>280</v>
      </c>
      <c r="D1821">
        <v>21.45</v>
      </c>
      <c r="E1821">
        <v>38.135160408600001</v>
      </c>
      <c r="F1821">
        <v>-2.3148797017899998</v>
      </c>
      <c r="G1821">
        <v>-0.75</v>
      </c>
    </row>
    <row r="1822" spans="1:7" x14ac:dyDescent="0.25">
      <c r="A1822" t="s">
        <v>3181</v>
      </c>
      <c r="B1822" s="8">
        <v>42134</v>
      </c>
      <c r="C1822">
        <v>169</v>
      </c>
      <c r="D1822">
        <v>42.5</v>
      </c>
      <c r="E1822">
        <v>37.662706339800003</v>
      </c>
      <c r="F1822">
        <v>-2.2721702797400001</v>
      </c>
      <c r="G1822">
        <v>26</v>
      </c>
    </row>
    <row r="1823" spans="1:7" x14ac:dyDescent="0.25">
      <c r="A1823" t="s">
        <v>3182</v>
      </c>
      <c r="B1823" s="8">
        <v>42134</v>
      </c>
      <c r="C1823">
        <v>91</v>
      </c>
      <c r="D1823">
        <v>31.2</v>
      </c>
      <c r="E1823">
        <v>33.959249759899997</v>
      </c>
      <c r="F1823">
        <v>-1.15725204922</v>
      </c>
      <c r="G1823">
        <v>-0.75</v>
      </c>
    </row>
    <row r="1824" spans="1:7" x14ac:dyDescent="0.25">
      <c r="A1824" t="s">
        <v>3183</v>
      </c>
      <c r="B1824" s="8">
        <v>42133</v>
      </c>
      <c r="C1824">
        <v>158</v>
      </c>
      <c r="D1824">
        <v>51.85</v>
      </c>
      <c r="E1824">
        <v>36.945486077299996</v>
      </c>
      <c r="F1824">
        <v>-6.1561856489000002</v>
      </c>
      <c r="G1824">
        <v>15.1</v>
      </c>
    </row>
    <row r="1825" spans="1:7" x14ac:dyDescent="0.25">
      <c r="A1825" t="s">
        <v>3184</v>
      </c>
      <c r="B1825" s="8">
        <v>42133</v>
      </c>
      <c r="C1825">
        <v>57</v>
      </c>
      <c r="D1825">
        <v>35.450000000000003</v>
      </c>
      <c r="E1825">
        <v>32.558892092900003</v>
      </c>
      <c r="F1825">
        <v>-0.83705794178199999</v>
      </c>
      <c r="G1825">
        <v>6.2</v>
      </c>
    </row>
    <row r="1826" spans="1:7" x14ac:dyDescent="0.25">
      <c r="A1826" t="s">
        <v>3185</v>
      </c>
      <c r="B1826" s="8">
        <v>42132</v>
      </c>
      <c r="C1826">
        <v>263</v>
      </c>
      <c r="D1826">
        <v>32.5</v>
      </c>
      <c r="E1826">
        <v>39.929888241800001</v>
      </c>
      <c r="F1826">
        <v>-3.00752471279</v>
      </c>
      <c r="G1826">
        <v>-0.5</v>
      </c>
    </row>
    <row r="1827" spans="1:7" x14ac:dyDescent="0.25">
      <c r="A1827" t="s">
        <v>3186</v>
      </c>
      <c r="B1827" s="8">
        <v>42131</v>
      </c>
      <c r="C1827">
        <v>112</v>
      </c>
      <c r="D1827">
        <v>42.85</v>
      </c>
      <c r="E1827">
        <v>36.400814971999999</v>
      </c>
      <c r="F1827">
        <v>-9.5422913551900006</v>
      </c>
      <c r="G1827">
        <v>12.1</v>
      </c>
    </row>
    <row r="1828" spans="1:7" x14ac:dyDescent="0.25">
      <c r="A1828" t="s">
        <v>3187</v>
      </c>
      <c r="B1828" s="8">
        <v>42130</v>
      </c>
      <c r="C1828">
        <v>224</v>
      </c>
      <c r="D1828">
        <v>30.6</v>
      </c>
      <c r="E1828">
        <v>38.407092970800001</v>
      </c>
      <c r="F1828">
        <v>-6.4436404651099997</v>
      </c>
      <c r="G1828">
        <v>6.1</v>
      </c>
    </row>
    <row r="1829" spans="1:7" x14ac:dyDescent="0.25">
      <c r="A1829" t="s">
        <v>3188</v>
      </c>
      <c r="B1829" s="8">
        <v>42129</v>
      </c>
      <c r="C1829">
        <v>262</v>
      </c>
      <c r="D1829">
        <v>29.45</v>
      </c>
      <c r="E1829">
        <v>41.734546944000002</v>
      </c>
      <c r="F1829">
        <v>-0.68576046553000003</v>
      </c>
      <c r="G1829">
        <v>18.2</v>
      </c>
    </row>
    <row r="1830" spans="1:7" x14ac:dyDescent="0.25">
      <c r="A1830" t="s">
        <v>3189</v>
      </c>
      <c r="B1830" s="8">
        <v>42128</v>
      </c>
      <c r="C1830">
        <v>188</v>
      </c>
      <c r="D1830">
        <v>20.350000000000001</v>
      </c>
      <c r="E1830">
        <v>42.705178343299998</v>
      </c>
      <c r="F1830">
        <v>-3.3556338867300002</v>
      </c>
      <c r="G1830">
        <v>-1</v>
      </c>
    </row>
    <row r="1831" spans="1:7" x14ac:dyDescent="0.25">
      <c r="A1831" t="s">
        <v>3190</v>
      </c>
      <c r="B1831" s="8">
        <v>42128</v>
      </c>
      <c r="C1831">
        <v>58</v>
      </c>
      <c r="D1831">
        <v>35.75</v>
      </c>
      <c r="E1831">
        <v>32.450909997700002</v>
      </c>
      <c r="F1831">
        <v>-2.2287690821599999</v>
      </c>
      <c r="G1831">
        <v>7</v>
      </c>
    </row>
    <row r="1832" spans="1:7" x14ac:dyDescent="0.25">
      <c r="A1832" t="s">
        <v>3191</v>
      </c>
      <c r="B1832" s="8">
        <v>42128</v>
      </c>
      <c r="C1832">
        <v>38</v>
      </c>
      <c r="D1832">
        <v>24.6</v>
      </c>
      <c r="E1832">
        <v>32.286095875699999</v>
      </c>
      <c r="F1832">
        <v>-0.202390973728</v>
      </c>
      <c r="G1832">
        <v>0.5</v>
      </c>
    </row>
    <row r="1833" spans="1:7" x14ac:dyDescent="0.25">
      <c r="A1833" t="s">
        <v>3192</v>
      </c>
      <c r="B1833" s="8">
        <v>42127</v>
      </c>
      <c r="C1833">
        <v>73</v>
      </c>
      <c r="D1833">
        <v>23.35</v>
      </c>
      <c r="E1833">
        <v>32.863314686300001</v>
      </c>
      <c r="F1833">
        <v>-0.53962786509000005</v>
      </c>
      <c r="G1833">
        <v>11.1</v>
      </c>
    </row>
    <row r="1834" spans="1:7" x14ac:dyDescent="0.25">
      <c r="A1834" t="s">
        <v>3193</v>
      </c>
      <c r="B1834" s="8">
        <v>42126</v>
      </c>
      <c r="C1834">
        <v>279</v>
      </c>
      <c r="D1834">
        <v>22.75</v>
      </c>
      <c r="E1834">
        <v>44.746335287100003</v>
      </c>
      <c r="F1834">
        <v>-5.5117567765300004</v>
      </c>
      <c r="G1834">
        <v>10</v>
      </c>
    </row>
    <row r="1835" spans="1:7" x14ac:dyDescent="0.25">
      <c r="A1835" t="s">
        <v>3194</v>
      </c>
      <c r="B1835" s="8">
        <v>42126</v>
      </c>
      <c r="C1835">
        <v>129</v>
      </c>
      <c r="D1835">
        <v>27.25</v>
      </c>
      <c r="E1835">
        <v>41.001690726600003</v>
      </c>
      <c r="F1835">
        <v>-3.4453480539800001</v>
      </c>
      <c r="G1835">
        <v>11</v>
      </c>
    </row>
    <row r="1836" spans="1:7" x14ac:dyDescent="0.25">
      <c r="A1836" t="s">
        <v>3195</v>
      </c>
      <c r="B1836" s="8">
        <v>42126</v>
      </c>
      <c r="C1836">
        <v>150</v>
      </c>
      <c r="D1836">
        <v>32.25</v>
      </c>
      <c r="E1836">
        <v>37.6624534611</v>
      </c>
      <c r="F1836">
        <v>-2.8860164995000002</v>
      </c>
      <c r="G1836">
        <v>10</v>
      </c>
    </row>
    <row r="1837" spans="1:7" x14ac:dyDescent="0.25">
      <c r="A1837" t="s">
        <v>3196</v>
      </c>
      <c r="B1837" s="8">
        <v>42126</v>
      </c>
      <c r="C1837">
        <v>54</v>
      </c>
      <c r="D1837">
        <v>42.5</v>
      </c>
      <c r="E1837">
        <v>35.607902906</v>
      </c>
      <c r="F1837">
        <v>-2.2071604157500002</v>
      </c>
      <c r="G1837">
        <v>0.75</v>
      </c>
    </row>
    <row r="1838" spans="1:7" x14ac:dyDescent="0.25">
      <c r="A1838" t="s">
        <v>3197</v>
      </c>
      <c r="B1838" s="8">
        <v>42125</v>
      </c>
      <c r="C1838">
        <v>260</v>
      </c>
      <c r="D1838">
        <v>24</v>
      </c>
      <c r="E1838">
        <v>38.765039486299997</v>
      </c>
      <c r="F1838">
        <v>-3.7648863168100002</v>
      </c>
      <c r="G1838">
        <v>-0.25</v>
      </c>
    </row>
    <row r="1839" spans="1:7" x14ac:dyDescent="0.25">
      <c r="A1839" t="s">
        <v>3198</v>
      </c>
      <c r="B1839" s="8">
        <v>42125</v>
      </c>
      <c r="C1839">
        <v>98</v>
      </c>
      <c r="D1839">
        <v>17.75</v>
      </c>
      <c r="E1839">
        <v>33.889482770699999</v>
      </c>
      <c r="F1839">
        <v>-0.83988585105500002</v>
      </c>
      <c r="G1839">
        <v>9</v>
      </c>
    </row>
    <row r="1840" spans="1:7" x14ac:dyDescent="0.25">
      <c r="A1840" t="s">
        <v>3199</v>
      </c>
      <c r="B1840" s="8">
        <v>42123</v>
      </c>
      <c r="C1840">
        <v>146</v>
      </c>
      <c r="D1840">
        <v>32.25</v>
      </c>
      <c r="E1840">
        <v>37.094332404600003</v>
      </c>
      <c r="F1840">
        <v>-0.524249346916</v>
      </c>
      <c r="G1840">
        <v>13</v>
      </c>
    </row>
    <row r="1841" spans="1:7" x14ac:dyDescent="0.25">
      <c r="A1841" t="s">
        <v>3200</v>
      </c>
      <c r="B1841" s="8">
        <v>42123</v>
      </c>
      <c r="C1841">
        <v>58</v>
      </c>
      <c r="D1841">
        <v>9.85</v>
      </c>
      <c r="E1841">
        <v>35.325619178499998</v>
      </c>
      <c r="F1841">
        <v>-1.90006940273</v>
      </c>
      <c r="G1841">
        <v>1.1000000000000001</v>
      </c>
    </row>
    <row r="1842" spans="1:7" x14ac:dyDescent="0.25">
      <c r="A1842" t="s">
        <v>3201</v>
      </c>
      <c r="B1842" s="8">
        <v>42122</v>
      </c>
      <c r="C1842">
        <v>219</v>
      </c>
      <c r="D1842">
        <v>42.75</v>
      </c>
      <c r="E1842">
        <v>41.112957995499997</v>
      </c>
      <c r="F1842">
        <v>-0.40453927276500001</v>
      </c>
      <c r="G1842">
        <v>16</v>
      </c>
    </row>
    <row r="1843" spans="1:7" x14ac:dyDescent="0.25">
      <c r="A1843" t="s">
        <v>3202</v>
      </c>
      <c r="B1843" s="8">
        <v>42122</v>
      </c>
      <c r="C1843">
        <v>113</v>
      </c>
      <c r="D1843">
        <v>57.75</v>
      </c>
      <c r="E1843">
        <v>38.410759345000002</v>
      </c>
      <c r="F1843">
        <v>-0.98931542194400002</v>
      </c>
      <c r="G1843">
        <v>16</v>
      </c>
    </row>
    <row r="1844" spans="1:7" x14ac:dyDescent="0.25">
      <c r="A1844" t="s">
        <v>3203</v>
      </c>
      <c r="B1844" s="8">
        <v>42121</v>
      </c>
      <c r="C1844">
        <v>242</v>
      </c>
      <c r="D1844">
        <v>28.5</v>
      </c>
      <c r="E1844">
        <v>40.493051620999999</v>
      </c>
      <c r="F1844">
        <v>-1.92955557791</v>
      </c>
      <c r="G1844">
        <v>-0.5</v>
      </c>
    </row>
    <row r="1845" spans="1:7" x14ac:dyDescent="0.25">
      <c r="A1845" t="s">
        <v>3204</v>
      </c>
      <c r="B1845" s="8">
        <v>42121</v>
      </c>
      <c r="C1845">
        <v>203</v>
      </c>
      <c r="D1845">
        <v>20.25</v>
      </c>
      <c r="E1845">
        <v>38.0494514592</v>
      </c>
      <c r="F1845">
        <v>-1.1204715842699999</v>
      </c>
      <c r="G1845">
        <v>-0.5</v>
      </c>
    </row>
    <row r="1846" spans="1:7" x14ac:dyDescent="0.25">
      <c r="A1846" t="s">
        <v>3205</v>
      </c>
      <c r="B1846" s="8">
        <v>42121</v>
      </c>
      <c r="C1846">
        <v>113</v>
      </c>
      <c r="D1846">
        <v>21.7</v>
      </c>
      <c r="E1846">
        <v>36.3394287303</v>
      </c>
      <c r="F1846">
        <v>-1.4934088833600001</v>
      </c>
      <c r="G1846">
        <v>4.2</v>
      </c>
    </row>
    <row r="1847" spans="1:7" x14ac:dyDescent="0.25">
      <c r="A1847" t="s">
        <v>3206</v>
      </c>
      <c r="B1847" s="8">
        <v>42120</v>
      </c>
      <c r="C1847">
        <v>266</v>
      </c>
      <c r="D1847">
        <v>43.6</v>
      </c>
      <c r="E1847">
        <v>49.214572968399999</v>
      </c>
      <c r="F1847">
        <v>0.55650485167499997</v>
      </c>
      <c r="G1847">
        <v>17.100000000000001</v>
      </c>
    </row>
    <row r="1848" spans="1:7" x14ac:dyDescent="0.25">
      <c r="A1848" t="s">
        <v>3207</v>
      </c>
      <c r="B1848" s="8">
        <v>42120</v>
      </c>
      <c r="C1848">
        <v>96</v>
      </c>
      <c r="D1848">
        <v>43.35</v>
      </c>
      <c r="E1848">
        <v>34.918177775799997</v>
      </c>
      <c r="F1848">
        <v>-0.33026238588399998</v>
      </c>
      <c r="G1848">
        <v>17.100000000000001</v>
      </c>
    </row>
    <row r="1849" spans="1:7" x14ac:dyDescent="0.25">
      <c r="A1849" t="s">
        <v>3208</v>
      </c>
      <c r="B1849" s="8">
        <v>42119</v>
      </c>
      <c r="C1849">
        <v>147</v>
      </c>
      <c r="D1849">
        <v>32.25</v>
      </c>
      <c r="E1849">
        <v>36.2249076174</v>
      </c>
      <c r="F1849">
        <v>-0.31009872789499998</v>
      </c>
      <c r="G1849">
        <v>8</v>
      </c>
    </row>
    <row r="1850" spans="1:7" x14ac:dyDescent="0.25">
      <c r="A1850" t="s">
        <v>3209</v>
      </c>
      <c r="B1850" s="8">
        <v>42119</v>
      </c>
      <c r="C1850">
        <v>76</v>
      </c>
      <c r="D1850">
        <v>30.7</v>
      </c>
      <c r="E1850">
        <v>34.957808820799997</v>
      </c>
      <c r="F1850">
        <v>-0.68368349154100005</v>
      </c>
      <c r="G1850">
        <v>17.2</v>
      </c>
    </row>
    <row r="1851" spans="1:7" x14ac:dyDescent="0.25">
      <c r="A1851" t="s">
        <v>3210</v>
      </c>
      <c r="B1851" s="8">
        <v>42118</v>
      </c>
      <c r="C1851">
        <v>283</v>
      </c>
      <c r="D1851">
        <v>46.2</v>
      </c>
      <c r="E1851">
        <v>47.621283011099997</v>
      </c>
      <c r="F1851">
        <v>-4.2232089178800001</v>
      </c>
      <c r="G1851">
        <v>17.2</v>
      </c>
    </row>
    <row r="1852" spans="1:7" x14ac:dyDescent="0.25">
      <c r="A1852" t="s">
        <v>3211</v>
      </c>
      <c r="B1852" s="8">
        <v>42118</v>
      </c>
      <c r="C1852">
        <v>94</v>
      </c>
      <c r="D1852">
        <v>27.45</v>
      </c>
      <c r="E1852">
        <v>34.926506590899997</v>
      </c>
      <c r="F1852">
        <v>-1.9739235724899999</v>
      </c>
      <c r="G1852">
        <v>1.5</v>
      </c>
    </row>
    <row r="1853" spans="1:7" x14ac:dyDescent="0.25">
      <c r="A1853" t="s">
        <v>3212</v>
      </c>
      <c r="B1853" s="8">
        <v>42118</v>
      </c>
      <c r="C1853">
        <v>56</v>
      </c>
      <c r="D1853">
        <v>34</v>
      </c>
      <c r="E1853">
        <v>33.138196420299998</v>
      </c>
      <c r="F1853">
        <v>-0.46455824271000001</v>
      </c>
      <c r="G1853">
        <v>10</v>
      </c>
    </row>
    <row r="1854" spans="1:7" x14ac:dyDescent="0.25">
      <c r="A1854" t="s">
        <v>3213</v>
      </c>
      <c r="B1854" s="8">
        <v>42117</v>
      </c>
      <c r="C1854">
        <v>53</v>
      </c>
      <c r="D1854">
        <v>18.75</v>
      </c>
      <c r="E1854">
        <v>31.502053029300001</v>
      </c>
      <c r="F1854">
        <v>-1.0951052212100001</v>
      </c>
      <c r="G1854">
        <v>-0.5</v>
      </c>
    </row>
    <row r="1855" spans="1:7" x14ac:dyDescent="0.25">
      <c r="A1855" t="s">
        <v>3214</v>
      </c>
      <c r="B1855" s="8">
        <v>42117</v>
      </c>
      <c r="C1855">
        <v>79</v>
      </c>
      <c r="D1855">
        <v>17</v>
      </c>
      <c r="E1855">
        <v>34.876071682099997</v>
      </c>
      <c r="F1855">
        <v>-0.316392902634</v>
      </c>
      <c r="G1855">
        <v>7</v>
      </c>
    </row>
    <row r="1856" spans="1:7" x14ac:dyDescent="0.25">
      <c r="A1856" t="s">
        <v>3215</v>
      </c>
      <c r="B1856" s="8">
        <v>42116</v>
      </c>
      <c r="C1856">
        <v>281</v>
      </c>
      <c r="D1856">
        <v>33.5</v>
      </c>
      <c r="E1856">
        <v>37.342885131999999</v>
      </c>
      <c r="F1856">
        <v>-2.9346322789200001</v>
      </c>
      <c r="G1856">
        <v>19</v>
      </c>
    </row>
    <row r="1857" spans="1:7" x14ac:dyDescent="0.25">
      <c r="A1857" t="s">
        <v>3215</v>
      </c>
      <c r="B1857" s="8">
        <v>42116</v>
      </c>
      <c r="C1857">
        <v>261</v>
      </c>
      <c r="D1857">
        <v>33.5</v>
      </c>
      <c r="E1857">
        <v>37.342885131999999</v>
      </c>
      <c r="F1857">
        <v>-2.9346322789200001</v>
      </c>
      <c r="G1857">
        <v>19</v>
      </c>
    </row>
    <row r="1858" spans="1:7" x14ac:dyDescent="0.25">
      <c r="A1858" t="s">
        <v>3216</v>
      </c>
      <c r="B1858" s="8">
        <v>42116</v>
      </c>
      <c r="C1858">
        <v>74</v>
      </c>
      <c r="D1858">
        <v>35.75</v>
      </c>
      <c r="E1858">
        <v>34.472027532699997</v>
      </c>
      <c r="F1858">
        <v>-2.92516863622</v>
      </c>
      <c r="G1858">
        <v>-0.5</v>
      </c>
    </row>
    <row r="1859" spans="1:7" x14ac:dyDescent="0.25">
      <c r="A1859" t="s">
        <v>3217</v>
      </c>
      <c r="B1859" s="8">
        <v>42116</v>
      </c>
      <c r="C1859">
        <v>55</v>
      </c>
      <c r="D1859">
        <v>33.25</v>
      </c>
      <c r="E1859">
        <v>35.344340773299997</v>
      </c>
      <c r="F1859">
        <v>-1.1729125038499999</v>
      </c>
      <c r="G1859">
        <v>19</v>
      </c>
    </row>
    <row r="1860" spans="1:7" x14ac:dyDescent="0.25">
      <c r="A1860" t="s">
        <v>3218</v>
      </c>
      <c r="B1860" s="8">
        <v>42115</v>
      </c>
      <c r="C1860">
        <v>278</v>
      </c>
      <c r="D1860">
        <v>22.25</v>
      </c>
      <c r="E1860">
        <v>39.401493103299998</v>
      </c>
      <c r="F1860">
        <v>-1.8858067109700001</v>
      </c>
      <c r="G1860">
        <v>11</v>
      </c>
    </row>
    <row r="1861" spans="1:7" x14ac:dyDescent="0.25">
      <c r="A1861" t="s">
        <v>3219</v>
      </c>
      <c r="B1861" s="8">
        <v>42115</v>
      </c>
      <c r="C1861">
        <v>74</v>
      </c>
      <c r="D1861">
        <v>36.25</v>
      </c>
      <c r="E1861">
        <v>34.602054142299998</v>
      </c>
      <c r="F1861">
        <v>-6.0664435248200004</v>
      </c>
      <c r="G1861">
        <v>1.75</v>
      </c>
    </row>
    <row r="1862" spans="1:7" x14ac:dyDescent="0.25">
      <c r="A1862" t="s">
        <v>3220</v>
      </c>
      <c r="B1862" s="8">
        <v>42114</v>
      </c>
      <c r="C1862">
        <v>152</v>
      </c>
      <c r="D1862">
        <v>4</v>
      </c>
      <c r="E1862">
        <v>36.235746454800001</v>
      </c>
      <c r="F1862">
        <v>-4.0758368713999999</v>
      </c>
      <c r="G1862">
        <v>0</v>
      </c>
    </row>
    <row r="1863" spans="1:7" x14ac:dyDescent="0.25">
      <c r="A1863" t="s">
        <v>3221</v>
      </c>
      <c r="B1863" s="8">
        <v>42114</v>
      </c>
      <c r="C1863">
        <v>57</v>
      </c>
      <c r="D1863">
        <v>23.5</v>
      </c>
      <c r="E1863">
        <v>33.147874459100002</v>
      </c>
      <c r="F1863">
        <v>-1.2922763074400001</v>
      </c>
      <c r="G1863">
        <v>14</v>
      </c>
    </row>
    <row r="1864" spans="1:7" x14ac:dyDescent="0.25">
      <c r="A1864" t="s">
        <v>3222</v>
      </c>
      <c r="B1864" s="8">
        <v>42113</v>
      </c>
      <c r="C1864">
        <v>284</v>
      </c>
      <c r="D1864">
        <v>28.25</v>
      </c>
      <c r="E1864">
        <v>34.724551645399998</v>
      </c>
      <c r="F1864">
        <v>-6.9713490475700004</v>
      </c>
      <c r="G1864">
        <v>0.5</v>
      </c>
    </row>
    <row r="1865" spans="1:7" x14ac:dyDescent="0.25">
      <c r="A1865" t="s">
        <v>3223</v>
      </c>
      <c r="B1865" s="8">
        <v>42113</v>
      </c>
      <c r="C1865">
        <v>211</v>
      </c>
      <c r="D1865">
        <v>29</v>
      </c>
      <c r="E1865">
        <v>34.653503000199997</v>
      </c>
      <c r="F1865">
        <v>-6.4145293827599996</v>
      </c>
      <c r="G1865">
        <v>0.5</v>
      </c>
    </row>
    <row r="1866" spans="1:7" x14ac:dyDescent="0.25">
      <c r="A1866" t="s">
        <v>3224</v>
      </c>
      <c r="B1866" s="8">
        <v>42113</v>
      </c>
      <c r="C1866">
        <v>74</v>
      </c>
      <c r="D1866">
        <v>43.75</v>
      </c>
      <c r="E1866">
        <v>32.225151355000001</v>
      </c>
      <c r="F1866">
        <v>-6.6316032835899996</v>
      </c>
      <c r="G1866">
        <v>15</v>
      </c>
    </row>
    <row r="1867" spans="1:7" x14ac:dyDescent="0.25">
      <c r="A1867" t="s">
        <v>3225</v>
      </c>
      <c r="B1867" s="8">
        <v>42112</v>
      </c>
      <c r="C1867">
        <v>150</v>
      </c>
      <c r="D1867">
        <v>22.2</v>
      </c>
      <c r="E1867">
        <v>36.399175358299999</v>
      </c>
      <c r="F1867">
        <v>-1.01867083187</v>
      </c>
      <c r="G1867">
        <v>10.199999999999999</v>
      </c>
    </row>
    <row r="1868" spans="1:7" x14ac:dyDescent="0.25">
      <c r="A1868" t="s">
        <v>3226</v>
      </c>
      <c r="B1868" s="8">
        <v>42111</v>
      </c>
      <c r="C1868">
        <v>245</v>
      </c>
      <c r="D1868">
        <v>48.25</v>
      </c>
      <c r="E1868">
        <v>41.530698605399998</v>
      </c>
      <c r="F1868">
        <v>-1.09354966204</v>
      </c>
      <c r="G1868">
        <v>1.75</v>
      </c>
    </row>
    <row r="1869" spans="1:7" x14ac:dyDescent="0.25">
      <c r="A1869" t="s">
        <v>3227</v>
      </c>
      <c r="B1869" s="8">
        <v>42111</v>
      </c>
      <c r="C1869">
        <v>55</v>
      </c>
      <c r="D1869">
        <v>47</v>
      </c>
      <c r="E1869">
        <v>33.399063096600003</v>
      </c>
      <c r="F1869">
        <v>-2.51213665544</v>
      </c>
      <c r="G1869">
        <v>1.75</v>
      </c>
    </row>
    <row r="1870" spans="1:7" x14ac:dyDescent="0.25">
      <c r="A1870" t="s">
        <v>3228</v>
      </c>
      <c r="B1870" s="8">
        <v>42111</v>
      </c>
      <c r="C1870">
        <v>78</v>
      </c>
      <c r="D1870">
        <v>23</v>
      </c>
      <c r="E1870">
        <v>34.171837889499997</v>
      </c>
      <c r="F1870">
        <v>-0.67474437225100004</v>
      </c>
      <c r="G1870">
        <v>13</v>
      </c>
    </row>
    <row r="1871" spans="1:7" x14ac:dyDescent="0.25">
      <c r="A1871" t="s">
        <v>3229</v>
      </c>
      <c r="B1871" s="8">
        <v>42143</v>
      </c>
      <c r="C1871">
        <v>279</v>
      </c>
      <c r="D1871">
        <v>22.25</v>
      </c>
      <c r="E1871">
        <v>37.326401056000002</v>
      </c>
      <c r="F1871">
        <v>-0.58142865640499997</v>
      </c>
      <c r="G1871">
        <v>-3</v>
      </c>
    </row>
    <row r="1872" spans="1:7" x14ac:dyDescent="0.25">
      <c r="A1872" t="s">
        <v>3230</v>
      </c>
      <c r="B1872" s="8">
        <v>42144</v>
      </c>
      <c r="C1872">
        <v>277</v>
      </c>
      <c r="D1872">
        <v>24.7</v>
      </c>
      <c r="E1872">
        <v>34.709772254299999</v>
      </c>
      <c r="F1872">
        <v>-0.20786443627699999</v>
      </c>
      <c r="G1872">
        <v>14.2</v>
      </c>
    </row>
    <row r="1873" spans="1:7" x14ac:dyDescent="0.25">
      <c r="A1873" t="s">
        <v>3231</v>
      </c>
      <c r="B1873" s="8">
        <v>42144</v>
      </c>
      <c r="C1873">
        <v>257</v>
      </c>
      <c r="D1873">
        <v>24.7</v>
      </c>
      <c r="E1873">
        <v>34.703425181500002</v>
      </c>
      <c r="F1873">
        <v>-0.208713274122</v>
      </c>
      <c r="G1873">
        <v>14.2</v>
      </c>
    </row>
    <row r="1874" spans="1:7" x14ac:dyDescent="0.25">
      <c r="A1874" t="s">
        <v>3232</v>
      </c>
      <c r="B1874" s="8">
        <v>42145</v>
      </c>
      <c r="C1874">
        <v>223</v>
      </c>
      <c r="D1874">
        <v>35.35</v>
      </c>
      <c r="E1874">
        <v>37.496872221899999</v>
      </c>
      <c r="F1874">
        <v>-6.2445402190200001</v>
      </c>
      <c r="G1874">
        <v>-0.75</v>
      </c>
    </row>
    <row r="1875" spans="1:7" x14ac:dyDescent="0.25">
      <c r="A1875" t="s">
        <v>3233</v>
      </c>
      <c r="B1875" s="8">
        <v>42145</v>
      </c>
      <c r="C1875">
        <v>109</v>
      </c>
      <c r="D1875">
        <v>26.35</v>
      </c>
      <c r="E1875">
        <v>36.568454888600002</v>
      </c>
      <c r="F1875">
        <v>-6.5625511308500002</v>
      </c>
      <c r="G1875">
        <v>-0.75</v>
      </c>
    </row>
    <row r="1876" spans="1:7" x14ac:dyDescent="0.25">
      <c r="A1876" t="s">
        <v>3234</v>
      </c>
      <c r="B1876" s="8">
        <v>42145</v>
      </c>
      <c r="C1876">
        <v>34</v>
      </c>
      <c r="D1876">
        <v>38.85</v>
      </c>
      <c r="E1876">
        <v>33.952162702800003</v>
      </c>
      <c r="F1876">
        <v>-7.1308092156800003</v>
      </c>
      <c r="G1876">
        <v>-0.75</v>
      </c>
    </row>
    <row r="1877" spans="1:7" x14ac:dyDescent="0.25">
      <c r="A1877" t="s">
        <v>3235</v>
      </c>
      <c r="B1877" s="8">
        <v>42145</v>
      </c>
      <c r="C1877">
        <v>114</v>
      </c>
      <c r="D1877">
        <v>32</v>
      </c>
      <c r="E1877">
        <v>33.271919069299997</v>
      </c>
      <c r="F1877">
        <v>-0.21913131832999999</v>
      </c>
      <c r="G1877">
        <v>18</v>
      </c>
    </row>
    <row r="1878" spans="1:7" x14ac:dyDescent="0.25">
      <c r="A1878" t="s">
        <v>3236</v>
      </c>
      <c r="B1878" s="8">
        <v>42146</v>
      </c>
      <c r="C1878">
        <v>278</v>
      </c>
      <c r="D1878">
        <v>9.25</v>
      </c>
      <c r="E1878">
        <v>37.679578475</v>
      </c>
      <c r="F1878">
        <v>-9.9881669729699993</v>
      </c>
      <c r="G1878">
        <v>6</v>
      </c>
    </row>
    <row r="1879" spans="1:7" x14ac:dyDescent="0.25">
      <c r="A1879" t="s">
        <v>3237</v>
      </c>
      <c r="B1879" s="8">
        <v>42146</v>
      </c>
      <c r="C1879">
        <v>58</v>
      </c>
      <c r="D1879">
        <v>11.75</v>
      </c>
      <c r="E1879">
        <v>32.519467892400002</v>
      </c>
      <c r="F1879">
        <v>-0.48955815535800001</v>
      </c>
      <c r="G1879">
        <v>5</v>
      </c>
    </row>
    <row r="1880" spans="1:7" x14ac:dyDescent="0.25">
      <c r="A1880" t="s">
        <v>3238</v>
      </c>
      <c r="B1880" s="8">
        <v>42147</v>
      </c>
      <c r="C1880">
        <v>118</v>
      </c>
      <c r="D1880">
        <v>14</v>
      </c>
      <c r="E1880">
        <v>33.6802887168</v>
      </c>
      <c r="F1880">
        <v>-1.5969049762300001</v>
      </c>
      <c r="G1880">
        <v>12</v>
      </c>
    </row>
    <row r="1881" spans="1:7" x14ac:dyDescent="0.25">
      <c r="A1881" t="s">
        <v>3239</v>
      </c>
      <c r="B1881" s="8">
        <v>42147</v>
      </c>
      <c r="C1881">
        <v>61</v>
      </c>
      <c r="D1881">
        <v>12.75</v>
      </c>
      <c r="E1881">
        <v>31.859556939800001</v>
      </c>
      <c r="F1881">
        <v>-0.60841053966600001</v>
      </c>
      <c r="G1881">
        <v>10</v>
      </c>
    </row>
    <row r="1882" spans="1:7" x14ac:dyDescent="0.25">
      <c r="A1882" t="s">
        <v>3240</v>
      </c>
      <c r="B1882" s="8">
        <v>42147</v>
      </c>
      <c r="C1882">
        <v>34</v>
      </c>
      <c r="D1882">
        <v>20.75</v>
      </c>
      <c r="E1882">
        <v>30.3178157101</v>
      </c>
      <c r="F1882">
        <v>-0.79062859729799995</v>
      </c>
      <c r="G1882">
        <v>10</v>
      </c>
    </row>
    <row r="1883" spans="1:7" x14ac:dyDescent="0.25">
      <c r="A1883" t="s">
        <v>3241</v>
      </c>
      <c r="B1883" s="8">
        <v>42148</v>
      </c>
      <c r="C1883">
        <v>281</v>
      </c>
      <c r="D1883">
        <v>35.5</v>
      </c>
      <c r="E1883">
        <v>39.000754304399997</v>
      </c>
      <c r="F1883">
        <v>-3.6862750506999999</v>
      </c>
      <c r="G1883">
        <v>13</v>
      </c>
    </row>
    <row r="1884" spans="1:7" x14ac:dyDescent="0.25">
      <c r="A1884" t="s">
        <v>3242</v>
      </c>
      <c r="B1884" s="8">
        <v>42148</v>
      </c>
      <c r="C1884">
        <v>209</v>
      </c>
      <c r="D1884">
        <v>32.25</v>
      </c>
      <c r="E1884">
        <v>36.842397256300004</v>
      </c>
      <c r="F1884">
        <v>-0.65187752511099994</v>
      </c>
      <c r="G1884">
        <v>13</v>
      </c>
    </row>
    <row r="1885" spans="1:7" x14ac:dyDescent="0.25">
      <c r="A1885" t="s">
        <v>3243</v>
      </c>
      <c r="B1885" s="8">
        <v>42148</v>
      </c>
      <c r="C1885">
        <v>72</v>
      </c>
      <c r="D1885">
        <v>34</v>
      </c>
      <c r="E1885">
        <v>33.6703777046</v>
      </c>
      <c r="F1885">
        <v>-3.18039024682</v>
      </c>
      <c r="G1885">
        <v>15</v>
      </c>
    </row>
    <row r="1886" spans="1:7" x14ac:dyDescent="0.25">
      <c r="A1886" t="s">
        <v>3244</v>
      </c>
      <c r="B1886" s="8">
        <v>42149</v>
      </c>
      <c r="C1886">
        <v>280</v>
      </c>
      <c r="D1886">
        <v>32.700000000000003</v>
      </c>
      <c r="E1886">
        <v>35.032614271600004</v>
      </c>
      <c r="F1886">
        <v>-6.8607436559200004</v>
      </c>
      <c r="G1886">
        <v>5.2</v>
      </c>
    </row>
    <row r="1887" spans="1:7" x14ac:dyDescent="0.25">
      <c r="A1887" t="s">
        <v>3245</v>
      </c>
      <c r="B1887" s="8">
        <v>42149</v>
      </c>
      <c r="C1887">
        <v>96</v>
      </c>
      <c r="D1887">
        <v>44.25</v>
      </c>
      <c r="E1887">
        <v>33.551982582100003</v>
      </c>
      <c r="F1887">
        <v>-0.312244058873</v>
      </c>
      <c r="G1887">
        <v>15</v>
      </c>
    </row>
    <row r="1888" spans="1:7" x14ac:dyDescent="0.25">
      <c r="A1888" t="s">
        <v>3246</v>
      </c>
      <c r="B1888" s="8">
        <v>42149</v>
      </c>
      <c r="C1888">
        <v>184</v>
      </c>
      <c r="D1888">
        <v>34.200000000000003</v>
      </c>
      <c r="E1888">
        <v>34.181509491</v>
      </c>
      <c r="F1888">
        <v>-6.7830952949799999</v>
      </c>
      <c r="G1888">
        <v>5.2</v>
      </c>
    </row>
    <row r="1889" spans="1:7" x14ac:dyDescent="0.25">
      <c r="A1889" t="s">
        <v>3247</v>
      </c>
      <c r="B1889" s="8">
        <v>42150</v>
      </c>
      <c r="C1889">
        <v>279</v>
      </c>
      <c r="D1889">
        <v>39.25</v>
      </c>
      <c r="E1889">
        <v>39.267214437200003</v>
      </c>
      <c r="F1889">
        <v>-0.98596138424400004</v>
      </c>
      <c r="G1889">
        <v>1.5</v>
      </c>
    </row>
    <row r="1890" spans="1:7" x14ac:dyDescent="0.25">
      <c r="A1890" t="s">
        <v>3248</v>
      </c>
      <c r="B1890" s="8">
        <v>42151</v>
      </c>
      <c r="C1890">
        <v>279</v>
      </c>
      <c r="D1890">
        <v>55.75</v>
      </c>
      <c r="E1890">
        <v>37.646726073899998</v>
      </c>
      <c r="F1890">
        <v>-1.0880226293599999</v>
      </c>
      <c r="G1890">
        <v>14</v>
      </c>
    </row>
    <row r="1891" spans="1:7" x14ac:dyDescent="0.25">
      <c r="A1891" t="s">
        <v>3249</v>
      </c>
      <c r="B1891" s="8">
        <v>42151</v>
      </c>
      <c r="C1891">
        <v>166</v>
      </c>
      <c r="D1891">
        <v>54.2</v>
      </c>
      <c r="E1891">
        <v>37.312386694200001</v>
      </c>
      <c r="F1891">
        <v>-3.4913446974800002</v>
      </c>
      <c r="G1891">
        <v>17.2</v>
      </c>
    </row>
    <row r="1892" spans="1:7" x14ac:dyDescent="0.25">
      <c r="A1892" t="s">
        <v>3250</v>
      </c>
      <c r="B1892" s="8">
        <v>42151</v>
      </c>
      <c r="C1892">
        <v>73</v>
      </c>
      <c r="D1892">
        <v>20</v>
      </c>
      <c r="E1892">
        <v>34.6743314637</v>
      </c>
      <c r="F1892">
        <v>-0.30034105826800001</v>
      </c>
      <c r="G1892">
        <v>14</v>
      </c>
    </row>
    <row r="1893" spans="1:7" x14ac:dyDescent="0.25">
      <c r="A1893" t="s">
        <v>3251</v>
      </c>
      <c r="B1893" s="8">
        <v>42151</v>
      </c>
      <c r="C1893">
        <v>93</v>
      </c>
      <c r="D1893">
        <v>34.450000000000003</v>
      </c>
      <c r="E1893">
        <v>35.5518787667</v>
      </c>
      <c r="F1893">
        <v>-2.6590613861999999</v>
      </c>
      <c r="G1893">
        <v>17.2</v>
      </c>
    </row>
    <row r="1894" spans="1:7" x14ac:dyDescent="0.25">
      <c r="A1894" t="s">
        <v>3252</v>
      </c>
      <c r="B1894" s="8">
        <v>42152</v>
      </c>
      <c r="C1894">
        <v>140</v>
      </c>
      <c r="D1894">
        <v>40.450000000000003</v>
      </c>
      <c r="E1894">
        <v>36.255494440500001</v>
      </c>
      <c r="F1894">
        <v>-0.94524329571099996</v>
      </c>
      <c r="G1894">
        <v>23.2</v>
      </c>
    </row>
    <row r="1895" spans="1:7" x14ac:dyDescent="0.25">
      <c r="A1895" t="s">
        <v>3253</v>
      </c>
      <c r="B1895" s="8">
        <v>42152</v>
      </c>
      <c r="C1895">
        <v>140</v>
      </c>
      <c r="D1895">
        <v>40.450000000000003</v>
      </c>
      <c r="E1895">
        <v>36.255494440500001</v>
      </c>
      <c r="F1895">
        <v>-0.94524329571099996</v>
      </c>
      <c r="G1895">
        <v>23.2</v>
      </c>
    </row>
    <row r="1896" spans="1:7" x14ac:dyDescent="0.25">
      <c r="A1896" t="s">
        <v>3254</v>
      </c>
      <c r="B1896" s="8">
        <v>42152</v>
      </c>
      <c r="C1896">
        <v>93</v>
      </c>
      <c r="D1896">
        <v>43</v>
      </c>
      <c r="E1896">
        <v>33.636845065300001</v>
      </c>
      <c r="F1896">
        <v>-0.78748518947299995</v>
      </c>
      <c r="G1896">
        <v>16</v>
      </c>
    </row>
    <row r="1897" spans="1:7" x14ac:dyDescent="0.25">
      <c r="A1897" t="s">
        <v>3255</v>
      </c>
      <c r="B1897" s="8">
        <v>42152</v>
      </c>
      <c r="C1897">
        <v>113</v>
      </c>
      <c r="D1897">
        <v>37.25</v>
      </c>
      <c r="E1897">
        <v>33.820679901699997</v>
      </c>
      <c r="F1897">
        <v>-0.847874161563</v>
      </c>
      <c r="G1897">
        <v>16</v>
      </c>
    </row>
    <row r="1898" spans="1:7" x14ac:dyDescent="0.25">
      <c r="A1898" t="s">
        <v>3256</v>
      </c>
      <c r="B1898" s="8">
        <v>42153</v>
      </c>
      <c r="C1898">
        <v>281</v>
      </c>
      <c r="D1898">
        <v>45</v>
      </c>
      <c r="E1898">
        <v>36.576727042100003</v>
      </c>
      <c r="F1898">
        <v>-1.2963331520500001</v>
      </c>
      <c r="G1898">
        <v>-0.5</v>
      </c>
    </row>
    <row r="1899" spans="1:7" x14ac:dyDescent="0.25">
      <c r="A1899" t="s">
        <v>3256</v>
      </c>
      <c r="B1899" s="8">
        <v>42153</v>
      </c>
      <c r="C1899">
        <v>263</v>
      </c>
      <c r="D1899">
        <v>45</v>
      </c>
      <c r="E1899">
        <v>36.576727042100003</v>
      </c>
      <c r="F1899">
        <v>-1.2963331520500001</v>
      </c>
      <c r="G1899">
        <v>-0.5</v>
      </c>
    </row>
    <row r="1900" spans="1:7" x14ac:dyDescent="0.25">
      <c r="A1900" t="s">
        <v>3257</v>
      </c>
      <c r="B1900" s="8">
        <v>42154</v>
      </c>
      <c r="C1900">
        <v>262</v>
      </c>
      <c r="D1900">
        <v>27.25</v>
      </c>
      <c r="E1900">
        <v>37.460930933500002</v>
      </c>
      <c r="F1900">
        <v>-0.30681701071799999</v>
      </c>
      <c r="G1900">
        <v>1</v>
      </c>
    </row>
    <row r="1901" spans="1:7" x14ac:dyDescent="0.25">
      <c r="A1901" t="s">
        <v>3258</v>
      </c>
      <c r="B1901" s="8">
        <v>42154</v>
      </c>
      <c r="C1901">
        <v>130</v>
      </c>
      <c r="D1901">
        <v>25.75</v>
      </c>
      <c r="E1901">
        <v>36.122029444699997</v>
      </c>
      <c r="F1901">
        <v>-0.51567539092799997</v>
      </c>
      <c r="G1901">
        <v>1</v>
      </c>
    </row>
    <row r="1902" spans="1:7" x14ac:dyDescent="0.25">
      <c r="A1902" t="s">
        <v>3259</v>
      </c>
      <c r="B1902" s="8">
        <v>42154</v>
      </c>
      <c r="C1902">
        <v>132</v>
      </c>
      <c r="D1902">
        <v>11.35</v>
      </c>
      <c r="E1902">
        <v>34.576777685400003</v>
      </c>
      <c r="F1902">
        <v>-0.17150982924700001</v>
      </c>
      <c r="G1902">
        <v>7.1</v>
      </c>
    </row>
    <row r="1903" spans="1:7" x14ac:dyDescent="0.25">
      <c r="A1903" t="s">
        <v>3260</v>
      </c>
      <c r="B1903" s="8">
        <v>42154</v>
      </c>
      <c r="C1903">
        <v>130</v>
      </c>
      <c r="D1903">
        <v>32.25</v>
      </c>
      <c r="E1903">
        <v>35.673161983999996</v>
      </c>
      <c r="F1903">
        <v>-9.7277548346800007</v>
      </c>
      <c r="G1903">
        <v>1</v>
      </c>
    </row>
    <row r="1904" spans="1:7" x14ac:dyDescent="0.25">
      <c r="A1904" t="s">
        <v>3261</v>
      </c>
      <c r="B1904" s="8">
        <v>42155</v>
      </c>
      <c r="C1904">
        <v>280</v>
      </c>
      <c r="D1904">
        <v>18.850000000000001</v>
      </c>
      <c r="E1904">
        <v>36.831178429200001</v>
      </c>
      <c r="F1904">
        <v>-0.234822528078</v>
      </c>
      <c r="G1904">
        <v>-0.5</v>
      </c>
    </row>
    <row r="1905" spans="1:7" x14ac:dyDescent="0.25">
      <c r="A1905" t="s">
        <v>3262</v>
      </c>
      <c r="B1905" s="8">
        <v>42155</v>
      </c>
      <c r="C1905">
        <v>94</v>
      </c>
      <c r="D1905">
        <v>15.35</v>
      </c>
      <c r="E1905">
        <v>35.033874218199998</v>
      </c>
      <c r="F1905">
        <v>-0.29328888103900003</v>
      </c>
      <c r="G1905">
        <v>-0.5</v>
      </c>
    </row>
    <row r="1906" spans="1:7" x14ac:dyDescent="0.25">
      <c r="A1906" t="s">
        <v>3263</v>
      </c>
      <c r="B1906" s="8">
        <v>42155</v>
      </c>
      <c r="C1906">
        <v>186</v>
      </c>
      <c r="D1906">
        <v>27.2</v>
      </c>
      <c r="E1906">
        <v>33.872221898900001</v>
      </c>
      <c r="F1906">
        <v>-1.79994681829</v>
      </c>
      <c r="G1906">
        <v>6.2</v>
      </c>
    </row>
    <row r="1907" spans="1:7" x14ac:dyDescent="0.25">
      <c r="A1907" t="s">
        <v>3264</v>
      </c>
      <c r="B1907" s="8">
        <v>42155</v>
      </c>
      <c r="C1907">
        <v>112</v>
      </c>
      <c r="D1907">
        <v>28.7</v>
      </c>
      <c r="E1907">
        <v>33.084080887299997</v>
      </c>
      <c r="F1907">
        <v>-2.3771857220200001</v>
      </c>
      <c r="G1907">
        <v>8.1999999999999993</v>
      </c>
    </row>
    <row r="1908" spans="1:7" x14ac:dyDescent="0.25">
      <c r="A1908" t="s">
        <v>3265</v>
      </c>
      <c r="B1908" s="8">
        <v>42156</v>
      </c>
      <c r="C1908">
        <v>163</v>
      </c>
      <c r="D1908">
        <v>38.5</v>
      </c>
      <c r="E1908">
        <v>37.543764874200001</v>
      </c>
      <c r="F1908">
        <v>-1.1153144907000001</v>
      </c>
      <c r="G1908">
        <v>5.75</v>
      </c>
    </row>
    <row r="1909" spans="1:7" x14ac:dyDescent="0.25">
      <c r="A1909" t="s">
        <v>3266</v>
      </c>
      <c r="B1909" s="8">
        <v>42157</v>
      </c>
      <c r="C1909">
        <v>293</v>
      </c>
      <c r="D1909">
        <v>26.95</v>
      </c>
      <c r="E1909">
        <v>44.542533522100001</v>
      </c>
      <c r="F1909">
        <v>-3.29163697638</v>
      </c>
      <c r="G1909">
        <v>-0.25</v>
      </c>
    </row>
    <row r="1910" spans="1:7" x14ac:dyDescent="0.25">
      <c r="A1910" t="s">
        <v>3266</v>
      </c>
      <c r="B1910" s="8">
        <v>42157</v>
      </c>
      <c r="C1910">
        <v>293</v>
      </c>
      <c r="D1910">
        <v>26.95</v>
      </c>
      <c r="E1910">
        <v>44.542533522100001</v>
      </c>
      <c r="F1910">
        <v>-3.29163697638</v>
      </c>
      <c r="G1910">
        <v>-0.25</v>
      </c>
    </row>
    <row r="1911" spans="1:7" x14ac:dyDescent="0.25">
      <c r="A1911" t="s">
        <v>3267</v>
      </c>
      <c r="B1911" s="8">
        <v>42157</v>
      </c>
      <c r="C1911">
        <v>99</v>
      </c>
      <c r="D1911">
        <v>16.5</v>
      </c>
      <c r="E1911">
        <v>35.865923542399997</v>
      </c>
      <c r="F1911">
        <v>-1.59772272403</v>
      </c>
      <c r="G1911">
        <v>3</v>
      </c>
    </row>
    <row r="1912" spans="1:7" x14ac:dyDescent="0.25">
      <c r="A1912" t="s">
        <v>3268</v>
      </c>
      <c r="B1912" s="8">
        <v>42158</v>
      </c>
      <c r="C1912">
        <v>287</v>
      </c>
      <c r="D1912">
        <v>33</v>
      </c>
      <c r="E1912">
        <v>37.115325543099999</v>
      </c>
      <c r="F1912">
        <v>-6.9010956067300002</v>
      </c>
      <c r="G1912">
        <v>24</v>
      </c>
    </row>
    <row r="1913" spans="1:7" x14ac:dyDescent="0.25">
      <c r="A1913" t="s">
        <v>3269</v>
      </c>
      <c r="B1913" s="8">
        <v>42158</v>
      </c>
      <c r="C1913">
        <v>98</v>
      </c>
      <c r="D1913">
        <v>35</v>
      </c>
      <c r="E1913">
        <v>34.298468537200002</v>
      </c>
      <c r="F1913">
        <v>-0.51955236500599999</v>
      </c>
      <c r="G1913">
        <v>16</v>
      </c>
    </row>
    <row r="1914" spans="1:7" x14ac:dyDescent="0.25">
      <c r="A1914" t="s">
        <v>3270</v>
      </c>
      <c r="B1914" s="8">
        <v>42158</v>
      </c>
      <c r="C1914">
        <v>55</v>
      </c>
      <c r="D1914">
        <v>23.75</v>
      </c>
      <c r="E1914">
        <v>32.9638886392</v>
      </c>
      <c r="F1914">
        <v>-0.37982509719599999</v>
      </c>
      <c r="G1914">
        <v>16</v>
      </c>
    </row>
    <row r="1915" spans="1:7" x14ac:dyDescent="0.25">
      <c r="A1915" t="s">
        <v>3271</v>
      </c>
      <c r="B1915" s="8">
        <v>42158</v>
      </c>
      <c r="C1915">
        <v>215</v>
      </c>
      <c r="D1915">
        <v>53.5</v>
      </c>
      <c r="E1915">
        <v>36.5969613173</v>
      </c>
      <c r="F1915">
        <v>-7.9531547312599997</v>
      </c>
      <c r="G1915">
        <v>24</v>
      </c>
    </row>
    <row r="1916" spans="1:7" x14ac:dyDescent="0.25">
      <c r="A1916" t="s">
        <v>3272</v>
      </c>
      <c r="B1916" s="8">
        <v>42159</v>
      </c>
      <c r="C1916">
        <v>190</v>
      </c>
      <c r="D1916">
        <v>29</v>
      </c>
      <c r="E1916">
        <v>34.982618373599998</v>
      </c>
      <c r="F1916">
        <v>-1.12401369575</v>
      </c>
      <c r="G1916">
        <v>0.5</v>
      </c>
    </row>
    <row r="1917" spans="1:7" x14ac:dyDescent="0.25">
      <c r="A1917" t="s">
        <v>3273</v>
      </c>
      <c r="B1917" s="8">
        <v>42159</v>
      </c>
      <c r="C1917">
        <v>130</v>
      </c>
      <c r="D1917">
        <v>30.5</v>
      </c>
      <c r="E1917">
        <v>34.786956461499997</v>
      </c>
      <c r="F1917">
        <v>-0.97879941511900004</v>
      </c>
      <c r="G1917">
        <v>0.5</v>
      </c>
    </row>
    <row r="1918" spans="1:7" x14ac:dyDescent="0.25">
      <c r="A1918" t="s">
        <v>3274</v>
      </c>
      <c r="B1918" s="8">
        <v>42159</v>
      </c>
      <c r="C1918">
        <v>60</v>
      </c>
      <c r="D1918">
        <v>33.5</v>
      </c>
      <c r="E1918">
        <v>31.004659448799998</v>
      </c>
      <c r="F1918">
        <v>-0.83064843491700002</v>
      </c>
      <c r="G1918">
        <v>11</v>
      </c>
    </row>
    <row r="1919" spans="1:7" x14ac:dyDescent="0.25">
      <c r="A1919" t="s">
        <v>3275</v>
      </c>
      <c r="B1919" s="8">
        <v>42160</v>
      </c>
      <c r="C1919">
        <v>280</v>
      </c>
      <c r="D1919">
        <v>43.1</v>
      </c>
      <c r="E1919">
        <v>36.217918296699999</v>
      </c>
      <c r="F1919">
        <v>-0.35158587168400002</v>
      </c>
      <c r="G1919">
        <v>15.1</v>
      </c>
    </row>
    <row r="1920" spans="1:7" x14ac:dyDescent="0.25">
      <c r="A1920" t="s">
        <v>3276</v>
      </c>
      <c r="B1920" s="8">
        <v>42160</v>
      </c>
      <c r="C1920">
        <v>54</v>
      </c>
      <c r="D1920">
        <v>25.5</v>
      </c>
      <c r="E1920">
        <v>31.399835685799999</v>
      </c>
      <c r="F1920">
        <v>-0.63326704582299997</v>
      </c>
      <c r="G1920">
        <v>0.75</v>
      </c>
    </row>
    <row r="1921" spans="1:12" x14ac:dyDescent="0.25">
      <c r="A1921" t="s">
        <v>3277</v>
      </c>
      <c r="B1921" s="8">
        <v>42160</v>
      </c>
      <c r="C1921">
        <v>77</v>
      </c>
      <c r="D1921">
        <v>36.75</v>
      </c>
      <c r="E1921">
        <v>33.396324299600003</v>
      </c>
      <c r="F1921">
        <v>-0.39501011617300003</v>
      </c>
      <c r="G1921">
        <v>8</v>
      </c>
    </row>
    <row r="1922" spans="1:12" x14ac:dyDescent="0.25">
      <c r="A1922" t="s">
        <v>3278</v>
      </c>
      <c r="B1922" s="8">
        <v>42161</v>
      </c>
      <c r="C1922">
        <v>134</v>
      </c>
      <c r="D1922">
        <v>38</v>
      </c>
      <c r="E1922">
        <v>34.3554973854</v>
      </c>
      <c r="F1922">
        <v>-3.71997501886</v>
      </c>
      <c r="G1922">
        <v>23</v>
      </c>
    </row>
    <row r="1923" spans="1:12" x14ac:dyDescent="0.25">
      <c r="A1923" t="s">
        <v>3279</v>
      </c>
      <c r="B1923" s="8">
        <v>42161</v>
      </c>
      <c r="C1923">
        <v>110</v>
      </c>
      <c r="D1923">
        <v>29.75</v>
      </c>
      <c r="E1923">
        <v>36.823784586400002</v>
      </c>
      <c r="F1923">
        <v>-3.62728989861</v>
      </c>
      <c r="G1923">
        <v>-0.5</v>
      </c>
    </row>
    <row r="1924" spans="1:12" x14ac:dyDescent="0.25">
      <c r="A1924" t="s">
        <v>3280</v>
      </c>
      <c r="B1924" s="8">
        <v>42161</v>
      </c>
      <c r="C1924">
        <v>153</v>
      </c>
      <c r="D1924">
        <v>45.25</v>
      </c>
      <c r="E1924">
        <v>35.7522535998</v>
      </c>
      <c r="F1924">
        <v>-9.9848788277500002</v>
      </c>
      <c r="G1924">
        <v>2.5</v>
      </c>
    </row>
    <row r="1925" spans="1:12" x14ac:dyDescent="0.25">
      <c r="A1925" t="s">
        <v>3281</v>
      </c>
      <c r="B1925" s="8">
        <v>42162</v>
      </c>
      <c r="C1925">
        <v>90</v>
      </c>
      <c r="D1925">
        <v>36.25</v>
      </c>
      <c r="E1925">
        <v>34.736311499199999</v>
      </c>
      <c r="F1925">
        <v>-1.9495825816300001</v>
      </c>
      <c r="G1925">
        <v>19</v>
      </c>
    </row>
    <row r="1926" spans="1:12" x14ac:dyDescent="0.25">
      <c r="A1926" t="s">
        <v>3282</v>
      </c>
      <c r="B1926" s="8">
        <v>42163</v>
      </c>
      <c r="C1926">
        <v>146</v>
      </c>
      <c r="D1926">
        <v>54.75</v>
      </c>
      <c r="E1926">
        <v>36.553871221999998</v>
      </c>
      <c r="F1926">
        <v>-3.0365487132700002</v>
      </c>
      <c r="G1926">
        <v>25</v>
      </c>
    </row>
    <row r="1927" spans="1:12" x14ac:dyDescent="0.25">
      <c r="A1927" t="s">
        <v>3283</v>
      </c>
      <c r="B1927" s="8">
        <v>42164</v>
      </c>
      <c r="C1927">
        <v>281</v>
      </c>
      <c r="D1927">
        <v>34.950000000000003</v>
      </c>
      <c r="E1927">
        <v>38.478407245600003</v>
      </c>
      <c r="F1927">
        <v>-1.1117118215399999</v>
      </c>
      <c r="G1927">
        <v>9.1999999999999993</v>
      </c>
    </row>
    <row r="1928" spans="1:12" x14ac:dyDescent="0.25">
      <c r="A1928" t="s">
        <v>3284</v>
      </c>
      <c r="B1928" s="8">
        <v>42165</v>
      </c>
      <c r="C1928">
        <v>280</v>
      </c>
      <c r="D1928">
        <v>11.25</v>
      </c>
      <c r="E1928">
        <v>37.121891205600001</v>
      </c>
      <c r="F1928">
        <v>-0.82755639960100003</v>
      </c>
      <c r="G1928">
        <v>-0.5</v>
      </c>
    </row>
    <row r="1929" spans="1:12" x14ac:dyDescent="0.25">
      <c r="A1929" t="s">
        <v>3285</v>
      </c>
      <c r="B1929" s="8">
        <v>42165</v>
      </c>
      <c r="C1929">
        <v>205</v>
      </c>
      <c r="D1929">
        <v>17.5</v>
      </c>
      <c r="E1929">
        <v>36.050073067200003</v>
      </c>
      <c r="F1929">
        <v>-0.52147236810300002</v>
      </c>
      <c r="G1929">
        <v>-0.5</v>
      </c>
    </row>
    <row r="1930" spans="1:12" x14ac:dyDescent="0.25">
      <c r="A1930" t="s">
        <v>3286</v>
      </c>
      <c r="B1930" s="8">
        <v>42165</v>
      </c>
      <c r="C1930">
        <v>57</v>
      </c>
      <c r="D1930">
        <v>19.600000000000001</v>
      </c>
      <c r="E1930">
        <v>33.026818550800002</v>
      </c>
      <c r="F1930">
        <v>-1.5038968774100001</v>
      </c>
      <c r="G1930">
        <v>9.1</v>
      </c>
    </row>
    <row r="1931" spans="1:12" x14ac:dyDescent="0.25">
      <c r="A1931" t="s">
        <v>3287</v>
      </c>
      <c r="B1931" s="8">
        <v>42166</v>
      </c>
      <c r="C1931">
        <v>106</v>
      </c>
      <c r="D1931">
        <v>17.25</v>
      </c>
      <c r="E1931">
        <v>36.236996000399998</v>
      </c>
      <c r="F1931">
        <v>-1.6574761734200001</v>
      </c>
      <c r="G1931">
        <v>2</v>
      </c>
    </row>
    <row r="1932" spans="1:12" x14ac:dyDescent="0.25">
      <c r="A1932" t="s">
        <v>3288</v>
      </c>
      <c r="B1932" s="8">
        <v>42166</v>
      </c>
      <c r="C1932">
        <v>33</v>
      </c>
      <c r="D1932">
        <v>29.25</v>
      </c>
      <c r="E1932">
        <v>31.0145538632</v>
      </c>
      <c r="F1932">
        <v>-4.6841398169900001</v>
      </c>
      <c r="G1932">
        <v>11</v>
      </c>
    </row>
    <row r="1933" spans="1:12" x14ac:dyDescent="0.25">
      <c r="A1933" t="s">
        <v>3289</v>
      </c>
      <c r="B1933" s="8">
        <v>42167</v>
      </c>
      <c r="C1933">
        <v>277</v>
      </c>
      <c r="D1933">
        <v>19.600000000000001</v>
      </c>
      <c r="E1933">
        <v>37.647416117799999</v>
      </c>
      <c r="F1933">
        <v>-1.2323720379800001</v>
      </c>
      <c r="G1933">
        <v>1.1000000000000001</v>
      </c>
    </row>
    <row r="1934" spans="1:12" x14ac:dyDescent="0.25">
      <c r="A1934" t="s">
        <v>3289</v>
      </c>
      <c r="B1934" s="8">
        <v>42167</v>
      </c>
      <c r="C1934">
        <v>261</v>
      </c>
      <c r="D1934">
        <v>19.600000000000001</v>
      </c>
      <c r="E1934">
        <v>37.647416117799999</v>
      </c>
      <c r="F1934">
        <v>-1.2323720379800001</v>
      </c>
      <c r="G1934">
        <v>1.1000000000000001</v>
      </c>
    </row>
    <row r="1935" spans="1:12" ht="15.75" thickBot="1" x14ac:dyDescent="0.3"/>
    <row r="1936" spans="1:12" ht="30" x14ac:dyDescent="0.25">
      <c r="A1936" s="37" t="s">
        <v>3290</v>
      </c>
      <c r="B1936" s="38" t="s">
        <v>311</v>
      </c>
      <c r="C1936" s="38" t="s">
        <v>1545</v>
      </c>
      <c r="D1936" s="38" t="s">
        <v>1527</v>
      </c>
      <c r="E1936" s="38" t="s">
        <v>1546</v>
      </c>
      <c r="F1936" s="38" t="s">
        <v>1547</v>
      </c>
      <c r="G1936" s="40" t="s">
        <v>1861</v>
      </c>
      <c r="H1936" s="38" t="s">
        <v>1862</v>
      </c>
      <c r="I1936" s="38"/>
      <c r="J1936" s="65" t="s">
        <v>1989</v>
      </c>
      <c r="K1936" s="66" t="s">
        <v>1990</v>
      </c>
      <c r="L1936" s="67" t="s">
        <v>1991</v>
      </c>
    </row>
    <row r="1937" spans="1:12" x14ac:dyDescent="0.25">
      <c r="A1937" s="30" t="s">
        <v>3348</v>
      </c>
      <c r="B1937" s="8">
        <v>42111</v>
      </c>
      <c r="C1937" s="30">
        <v>245</v>
      </c>
      <c r="D1937" s="30">
        <v>29.75</v>
      </c>
      <c r="E1937" s="30">
        <v>42.483918503300004</v>
      </c>
      <c r="F1937" s="30">
        <v>-0.82583343175000001</v>
      </c>
      <c r="G1937" s="30">
        <v>13</v>
      </c>
      <c r="H1937" s="30"/>
      <c r="I1937" s="30"/>
      <c r="J1937" s="68">
        <f>AVERAGE(D1937:D2074)</f>
        <v>30.489855072463758</v>
      </c>
      <c r="K1937" s="68">
        <f>_xlfn.STDEV.P(D1937:D2074)</f>
        <v>11.038150508380614</v>
      </c>
      <c r="L1937" s="68">
        <f>MEDIAN(D1937:D2074)</f>
        <v>30.5</v>
      </c>
    </row>
    <row r="1938" spans="1:12" x14ac:dyDescent="0.25">
      <c r="A1938" t="s">
        <v>3227</v>
      </c>
      <c r="B1938" s="8">
        <v>42111</v>
      </c>
      <c r="C1938">
        <v>55</v>
      </c>
      <c r="D1938">
        <v>47</v>
      </c>
      <c r="E1938">
        <v>33.399063096600003</v>
      </c>
      <c r="F1938">
        <v>-2.51213665544</v>
      </c>
      <c r="G1938">
        <v>1.75</v>
      </c>
    </row>
    <row r="1939" spans="1:12" x14ac:dyDescent="0.25">
      <c r="A1939" t="s">
        <v>3349</v>
      </c>
      <c r="B1939" s="8">
        <v>42111</v>
      </c>
      <c r="C1939">
        <v>78</v>
      </c>
      <c r="D1939">
        <v>23</v>
      </c>
      <c r="E1939">
        <v>35.783245542099998</v>
      </c>
      <c r="F1939">
        <v>-0.89112274123799995</v>
      </c>
      <c r="G1939">
        <v>13</v>
      </c>
    </row>
    <row r="1940" spans="1:12" x14ac:dyDescent="0.25">
      <c r="A1940" t="s">
        <v>3347</v>
      </c>
      <c r="B1940" s="8">
        <v>42112</v>
      </c>
      <c r="C1940">
        <v>150</v>
      </c>
      <c r="D1940">
        <v>22.2</v>
      </c>
      <c r="E1940">
        <v>36.450056819399997</v>
      </c>
      <c r="F1940">
        <v>-1.0326368267799999</v>
      </c>
      <c r="G1940">
        <v>10.199999999999999</v>
      </c>
    </row>
    <row r="1941" spans="1:12" x14ac:dyDescent="0.25">
      <c r="A1941" t="s">
        <v>3344</v>
      </c>
      <c r="B1941" s="8">
        <v>42113</v>
      </c>
      <c r="C1941">
        <v>284</v>
      </c>
      <c r="D1941">
        <v>30.5</v>
      </c>
      <c r="E1941">
        <v>35.9252797057</v>
      </c>
      <c r="F1941">
        <v>-0.47044374914999998</v>
      </c>
      <c r="G1941">
        <v>13</v>
      </c>
    </row>
    <row r="1942" spans="1:12" x14ac:dyDescent="0.25">
      <c r="A1942" t="s">
        <v>3345</v>
      </c>
      <c r="B1942" s="8">
        <v>42113</v>
      </c>
      <c r="C1942">
        <v>211</v>
      </c>
      <c r="D1942">
        <v>31.25</v>
      </c>
      <c r="E1942">
        <v>35.493068406900001</v>
      </c>
      <c r="F1942">
        <v>-6.1360200014300004</v>
      </c>
      <c r="G1942">
        <v>13</v>
      </c>
    </row>
    <row r="1943" spans="1:12" x14ac:dyDescent="0.25">
      <c r="A1943" t="s">
        <v>3346</v>
      </c>
      <c r="B1943" s="8">
        <v>42113</v>
      </c>
      <c r="C1943">
        <v>74</v>
      </c>
      <c r="D1943">
        <v>43.75</v>
      </c>
      <c r="E1943">
        <v>32.246893010999997</v>
      </c>
      <c r="F1943">
        <v>-6.6344924154399996</v>
      </c>
      <c r="G1943">
        <v>15</v>
      </c>
    </row>
    <row r="1944" spans="1:12" x14ac:dyDescent="0.25">
      <c r="A1944" t="s">
        <v>3342</v>
      </c>
      <c r="B1944" s="8">
        <v>42114</v>
      </c>
      <c r="C1944">
        <v>152</v>
      </c>
      <c r="D1944">
        <v>4</v>
      </c>
      <c r="E1944">
        <v>36.0642277058</v>
      </c>
      <c r="F1944">
        <v>-3.7736313895500002</v>
      </c>
      <c r="G1944">
        <v>0</v>
      </c>
    </row>
    <row r="1945" spans="1:12" x14ac:dyDescent="0.25">
      <c r="A1945" t="s">
        <v>3343</v>
      </c>
      <c r="B1945" s="8">
        <v>42114</v>
      </c>
      <c r="C1945">
        <v>57</v>
      </c>
      <c r="D1945">
        <v>23.5</v>
      </c>
      <c r="E1945">
        <v>32.902673806199999</v>
      </c>
      <c r="F1945">
        <v>-1.2272256959900001</v>
      </c>
      <c r="G1945">
        <v>14</v>
      </c>
    </row>
    <row r="1946" spans="1:12" x14ac:dyDescent="0.25">
      <c r="A1946" t="s">
        <v>3340</v>
      </c>
      <c r="B1946" s="8">
        <v>42115</v>
      </c>
      <c r="C1946">
        <v>278</v>
      </c>
      <c r="D1946">
        <v>19.25</v>
      </c>
      <c r="E1946">
        <v>38.468815253199999</v>
      </c>
      <c r="F1946">
        <v>-1.88926247512</v>
      </c>
      <c r="G1946">
        <v>11</v>
      </c>
    </row>
    <row r="1947" spans="1:12" x14ac:dyDescent="0.25">
      <c r="A1947" t="s">
        <v>3341</v>
      </c>
      <c r="B1947" s="8">
        <v>42115</v>
      </c>
      <c r="C1947">
        <v>74</v>
      </c>
      <c r="D1947">
        <v>45.5</v>
      </c>
      <c r="E1947">
        <v>34.4094422935</v>
      </c>
      <c r="F1947">
        <v>-6.0662972610399999</v>
      </c>
      <c r="G1947">
        <v>1.75</v>
      </c>
    </row>
    <row r="1948" spans="1:12" x14ac:dyDescent="0.25">
      <c r="A1948" t="s">
        <v>3338</v>
      </c>
      <c r="B1948" s="8">
        <v>42116</v>
      </c>
      <c r="C1948">
        <v>281</v>
      </c>
      <c r="D1948">
        <v>33.5</v>
      </c>
      <c r="E1948">
        <v>37.864274179799999</v>
      </c>
      <c r="F1948">
        <v>-1.8529319844200001</v>
      </c>
      <c r="G1948">
        <v>19</v>
      </c>
    </row>
    <row r="1949" spans="1:12" x14ac:dyDescent="0.25">
      <c r="A1949" t="s">
        <v>3338</v>
      </c>
      <c r="B1949" s="8">
        <v>42116</v>
      </c>
      <c r="C1949">
        <v>261</v>
      </c>
      <c r="D1949">
        <v>33.5</v>
      </c>
      <c r="E1949">
        <v>37.864274179799999</v>
      </c>
      <c r="F1949">
        <v>-1.8529319844200001</v>
      </c>
      <c r="G1949">
        <v>19</v>
      </c>
    </row>
    <row r="1950" spans="1:12" x14ac:dyDescent="0.25">
      <c r="A1950" t="s">
        <v>3216</v>
      </c>
      <c r="B1950" s="8">
        <v>42116</v>
      </c>
      <c r="C1950">
        <v>74</v>
      </c>
      <c r="D1950">
        <v>35.75</v>
      </c>
      <c r="E1950">
        <v>34.472027532699997</v>
      </c>
      <c r="F1950">
        <v>-2.92516863622</v>
      </c>
      <c r="G1950">
        <v>-0.5</v>
      </c>
    </row>
    <row r="1951" spans="1:12" x14ac:dyDescent="0.25">
      <c r="A1951" t="s">
        <v>3339</v>
      </c>
      <c r="B1951" s="8">
        <v>42116</v>
      </c>
      <c r="C1951">
        <v>55</v>
      </c>
      <c r="D1951">
        <v>33.25</v>
      </c>
      <c r="E1951">
        <v>35.007770188099997</v>
      </c>
      <c r="F1951">
        <v>-0.33567089474900003</v>
      </c>
      <c r="G1951">
        <v>19</v>
      </c>
    </row>
    <row r="1952" spans="1:12" x14ac:dyDescent="0.25">
      <c r="A1952" t="s">
        <v>3213</v>
      </c>
      <c r="B1952" s="8">
        <v>42117</v>
      </c>
      <c r="C1952">
        <v>53</v>
      </c>
      <c r="D1952">
        <v>18.75</v>
      </c>
      <c r="E1952">
        <v>31.502053029300001</v>
      </c>
      <c r="F1952">
        <v>-1.0951052212100001</v>
      </c>
      <c r="G1952">
        <v>-0.5</v>
      </c>
    </row>
    <row r="1953" spans="1:7" x14ac:dyDescent="0.25">
      <c r="A1953" t="s">
        <v>3214</v>
      </c>
      <c r="B1953" s="8">
        <v>42117</v>
      </c>
      <c r="C1953">
        <v>79</v>
      </c>
      <c r="D1953">
        <v>17</v>
      </c>
      <c r="E1953">
        <v>34.876071682099997</v>
      </c>
      <c r="F1953">
        <v>-0.316392902634</v>
      </c>
      <c r="G1953">
        <v>7</v>
      </c>
    </row>
    <row r="1954" spans="1:7" x14ac:dyDescent="0.25">
      <c r="A1954" t="s">
        <v>3335</v>
      </c>
      <c r="B1954" s="8">
        <v>42118</v>
      </c>
      <c r="C1954">
        <v>283</v>
      </c>
      <c r="D1954">
        <v>46.2</v>
      </c>
      <c r="E1954">
        <v>47.558661008000001</v>
      </c>
      <c r="F1954">
        <v>-4.2138449556799999</v>
      </c>
      <c r="G1954">
        <v>17.2</v>
      </c>
    </row>
    <row r="1955" spans="1:7" x14ac:dyDescent="0.25">
      <c r="A1955" t="s">
        <v>3336</v>
      </c>
      <c r="B1955" s="8">
        <v>42118</v>
      </c>
      <c r="C1955">
        <v>94</v>
      </c>
      <c r="D1955">
        <v>24.95</v>
      </c>
      <c r="E1955">
        <v>34.575853312500001</v>
      </c>
      <c r="F1955">
        <v>-1.93390817466</v>
      </c>
      <c r="G1955">
        <v>1.5</v>
      </c>
    </row>
    <row r="1956" spans="1:7" x14ac:dyDescent="0.25">
      <c r="A1956" t="s">
        <v>3337</v>
      </c>
      <c r="B1956" s="8">
        <v>42118</v>
      </c>
      <c r="C1956">
        <v>56</v>
      </c>
      <c r="D1956">
        <v>34</v>
      </c>
      <c r="E1956">
        <v>32.855106015399997</v>
      </c>
      <c r="F1956">
        <v>-0.270879391425</v>
      </c>
      <c r="G1956">
        <v>10</v>
      </c>
    </row>
    <row r="1957" spans="1:7" x14ac:dyDescent="0.25">
      <c r="A1957" t="s">
        <v>3333</v>
      </c>
      <c r="B1957" s="8">
        <v>42119</v>
      </c>
      <c r="C1957">
        <v>147</v>
      </c>
      <c r="D1957">
        <v>32.25</v>
      </c>
      <c r="E1957">
        <v>36.154323799499998</v>
      </c>
      <c r="F1957">
        <v>-0.33052414082300002</v>
      </c>
      <c r="G1957">
        <v>8</v>
      </c>
    </row>
    <row r="1958" spans="1:7" x14ac:dyDescent="0.25">
      <c r="A1958" t="s">
        <v>3334</v>
      </c>
      <c r="B1958" s="8">
        <v>42119</v>
      </c>
      <c r="C1958">
        <v>76</v>
      </c>
      <c r="D1958">
        <v>30.7</v>
      </c>
      <c r="E1958">
        <v>34.554571777500001</v>
      </c>
      <c r="F1958">
        <v>-1.0967908101799999</v>
      </c>
      <c r="G1958">
        <v>17.2</v>
      </c>
    </row>
    <row r="1959" spans="1:7" x14ac:dyDescent="0.25">
      <c r="A1959" t="s">
        <v>3331</v>
      </c>
      <c r="B1959" s="8">
        <v>42120</v>
      </c>
      <c r="C1959">
        <v>266</v>
      </c>
      <c r="D1959">
        <v>43.6</v>
      </c>
      <c r="E1959">
        <v>49.141104135500001</v>
      </c>
      <c r="F1959">
        <v>0.58041014635499999</v>
      </c>
      <c r="G1959">
        <v>17.100000000000001</v>
      </c>
    </row>
    <row r="1960" spans="1:7" x14ac:dyDescent="0.25">
      <c r="A1960" t="s">
        <v>3332</v>
      </c>
      <c r="B1960" s="8">
        <v>42120</v>
      </c>
      <c r="C1960">
        <v>96</v>
      </c>
      <c r="D1960">
        <v>43.35</v>
      </c>
      <c r="E1960">
        <v>34.938537977300001</v>
      </c>
      <c r="F1960">
        <v>-0.30635709120299998</v>
      </c>
      <c r="G1960">
        <v>17.100000000000001</v>
      </c>
    </row>
    <row r="1961" spans="1:7" x14ac:dyDescent="0.25">
      <c r="A1961" t="s">
        <v>3328</v>
      </c>
      <c r="B1961" s="8">
        <v>42121</v>
      </c>
      <c r="C1961">
        <v>242</v>
      </c>
      <c r="D1961">
        <v>27.45</v>
      </c>
      <c r="E1961">
        <v>40.719419093500001</v>
      </c>
      <c r="F1961">
        <v>-1.4129206689</v>
      </c>
      <c r="G1961">
        <v>8.1999999999999993</v>
      </c>
    </row>
    <row r="1962" spans="1:7" x14ac:dyDescent="0.25">
      <c r="A1962" t="s">
        <v>3329</v>
      </c>
      <c r="B1962" s="8">
        <v>42121</v>
      </c>
      <c r="C1962">
        <v>203</v>
      </c>
      <c r="D1962">
        <v>15.45</v>
      </c>
      <c r="E1962">
        <v>38.276516474799998</v>
      </c>
      <c r="F1962">
        <v>-0.77553157230400005</v>
      </c>
      <c r="G1962">
        <v>8.1999999999999993</v>
      </c>
    </row>
    <row r="1963" spans="1:7" x14ac:dyDescent="0.25">
      <c r="A1963" t="s">
        <v>3330</v>
      </c>
      <c r="B1963" s="8">
        <v>42121</v>
      </c>
      <c r="C1963">
        <v>113</v>
      </c>
      <c r="D1963">
        <v>25.95</v>
      </c>
      <c r="E1963">
        <v>39.1282871943</v>
      </c>
      <c r="F1963">
        <v>-1.5461237033899999</v>
      </c>
      <c r="G1963">
        <v>8.1999999999999993</v>
      </c>
    </row>
    <row r="1964" spans="1:7" x14ac:dyDescent="0.25">
      <c r="A1964" t="s">
        <v>3326</v>
      </c>
      <c r="B1964" s="8">
        <v>42122</v>
      </c>
      <c r="C1964">
        <v>219</v>
      </c>
      <c r="D1964">
        <v>46.75</v>
      </c>
      <c r="E1964">
        <v>38.770307729899997</v>
      </c>
      <c r="F1964">
        <v>-0.86114578061699998</v>
      </c>
      <c r="G1964">
        <v>16</v>
      </c>
    </row>
    <row r="1965" spans="1:7" x14ac:dyDescent="0.25">
      <c r="A1965" t="s">
        <v>3327</v>
      </c>
      <c r="B1965" s="8">
        <v>42122</v>
      </c>
      <c r="C1965">
        <v>113</v>
      </c>
      <c r="D1965">
        <v>57.75</v>
      </c>
      <c r="E1965">
        <v>35.770502010400001</v>
      </c>
      <c r="F1965">
        <v>-0.500069066758</v>
      </c>
      <c r="G1965">
        <v>16</v>
      </c>
    </row>
    <row r="1966" spans="1:7" x14ac:dyDescent="0.25">
      <c r="A1966" t="s">
        <v>3325</v>
      </c>
      <c r="B1966" s="8">
        <v>42123</v>
      </c>
      <c r="C1966">
        <v>146</v>
      </c>
      <c r="D1966">
        <v>29.75</v>
      </c>
      <c r="E1966">
        <v>36.625198371800003</v>
      </c>
      <c r="F1966">
        <v>-1.20471394276</v>
      </c>
      <c r="G1966">
        <v>13</v>
      </c>
    </row>
    <row r="1967" spans="1:7" x14ac:dyDescent="0.25">
      <c r="A1967" t="s">
        <v>3200</v>
      </c>
      <c r="B1967" s="8">
        <v>42123</v>
      </c>
      <c r="C1967">
        <v>58</v>
      </c>
      <c r="D1967">
        <v>9.85</v>
      </c>
      <c r="E1967">
        <v>35.325619178499998</v>
      </c>
      <c r="F1967">
        <v>-1.90006940273</v>
      </c>
      <c r="G1967">
        <v>1.1000000000000001</v>
      </c>
    </row>
    <row r="1968" spans="1:7" x14ac:dyDescent="0.25">
      <c r="A1968" t="s">
        <v>3323</v>
      </c>
      <c r="B1968" s="8">
        <v>42125</v>
      </c>
      <c r="C1968">
        <v>260</v>
      </c>
      <c r="D1968">
        <v>27.5</v>
      </c>
      <c r="E1968">
        <v>37.646327982499997</v>
      </c>
      <c r="F1968">
        <v>-0.98238529286800003</v>
      </c>
      <c r="G1968">
        <v>-0.25</v>
      </c>
    </row>
    <row r="1969" spans="1:7" x14ac:dyDescent="0.25">
      <c r="A1969" t="s">
        <v>3324</v>
      </c>
      <c r="B1969" s="8">
        <v>42125</v>
      </c>
      <c r="C1969">
        <v>98</v>
      </c>
      <c r="D1969">
        <v>24</v>
      </c>
      <c r="E1969">
        <v>33.9990028223</v>
      </c>
      <c r="F1969">
        <v>-0.48054051614799997</v>
      </c>
      <c r="G1969">
        <v>-0.5</v>
      </c>
    </row>
    <row r="1970" spans="1:7" x14ac:dyDescent="0.25">
      <c r="A1970" t="s">
        <v>3319</v>
      </c>
      <c r="B1970" s="8">
        <v>42126</v>
      </c>
      <c r="C1970">
        <v>279</v>
      </c>
      <c r="D1970">
        <v>25</v>
      </c>
      <c r="E1970">
        <v>44.0816888413</v>
      </c>
      <c r="F1970">
        <v>-4.6672835486400004</v>
      </c>
      <c r="G1970">
        <v>10</v>
      </c>
    </row>
    <row r="1971" spans="1:7" x14ac:dyDescent="0.25">
      <c r="A1971" t="s">
        <v>3320</v>
      </c>
      <c r="B1971" s="8">
        <v>42126</v>
      </c>
      <c r="C1971">
        <v>129</v>
      </c>
      <c r="D1971">
        <v>27.25</v>
      </c>
      <c r="E1971">
        <v>39.922139663899998</v>
      </c>
      <c r="F1971">
        <v>-2.8637135656599999</v>
      </c>
      <c r="G1971">
        <v>11</v>
      </c>
    </row>
    <row r="1972" spans="1:7" x14ac:dyDescent="0.25">
      <c r="A1972" t="s">
        <v>3321</v>
      </c>
      <c r="B1972" s="8">
        <v>42126</v>
      </c>
      <c r="C1972">
        <v>150</v>
      </c>
      <c r="D1972">
        <v>24.5</v>
      </c>
      <c r="E1972">
        <v>37.829518158799999</v>
      </c>
      <c r="F1972">
        <v>-2.9820450117299999</v>
      </c>
      <c r="G1972">
        <v>10</v>
      </c>
    </row>
    <row r="1973" spans="1:7" x14ac:dyDescent="0.25">
      <c r="A1973" t="s">
        <v>3322</v>
      </c>
      <c r="B1973" s="8">
        <v>42126</v>
      </c>
      <c r="C1973">
        <v>54</v>
      </c>
      <c r="D1973">
        <v>42.5</v>
      </c>
      <c r="E1973">
        <v>33.821767439299997</v>
      </c>
      <c r="F1973">
        <v>-1.5860611018999999</v>
      </c>
      <c r="G1973">
        <v>0.75</v>
      </c>
    </row>
    <row r="1974" spans="1:7" x14ac:dyDescent="0.25">
      <c r="A1974" t="s">
        <v>3318</v>
      </c>
      <c r="B1974" s="8">
        <v>42127</v>
      </c>
      <c r="C1974">
        <v>73</v>
      </c>
      <c r="D1974">
        <v>23.35</v>
      </c>
      <c r="E1974">
        <v>32.841521532599998</v>
      </c>
      <c r="F1974">
        <v>-0.38466736375299998</v>
      </c>
      <c r="G1974">
        <v>11.1</v>
      </c>
    </row>
    <row r="1975" spans="1:7" x14ac:dyDescent="0.25">
      <c r="A1975" t="s">
        <v>3316</v>
      </c>
      <c r="B1975" s="8">
        <v>42128</v>
      </c>
      <c r="C1975">
        <v>188</v>
      </c>
      <c r="D1975">
        <v>23.85</v>
      </c>
      <c r="E1975">
        <v>42.361674807699998</v>
      </c>
      <c r="F1975">
        <v>-2.2617803100299998</v>
      </c>
      <c r="G1975">
        <v>-1</v>
      </c>
    </row>
    <row r="1976" spans="1:7" x14ac:dyDescent="0.25">
      <c r="A1976" t="s">
        <v>3317</v>
      </c>
      <c r="B1976" s="8">
        <v>42128</v>
      </c>
      <c r="C1976">
        <v>58</v>
      </c>
      <c r="D1976">
        <v>43.75</v>
      </c>
      <c r="E1976">
        <v>32.104338649100001</v>
      </c>
      <c r="F1976">
        <v>-2.14719439429</v>
      </c>
      <c r="G1976">
        <v>15</v>
      </c>
    </row>
    <row r="1977" spans="1:7" x14ac:dyDescent="0.25">
      <c r="A1977" t="s">
        <v>3191</v>
      </c>
      <c r="B1977" s="8">
        <v>42128</v>
      </c>
      <c r="C1977">
        <v>38</v>
      </c>
      <c r="D1977">
        <v>24.6</v>
      </c>
      <c r="E1977">
        <v>32.286095875699999</v>
      </c>
      <c r="F1977">
        <v>-0.202390973728</v>
      </c>
      <c r="G1977">
        <v>0.5</v>
      </c>
    </row>
    <row r="1978" spans="1:7" x14ac:dyDescent="0.25">
      <c r="A1978" t="s">
        <v>3315</v>
      </c>
      <c r="B1978" s="8">
        <v>42129</v>
      </c>
      <c r="C1978">
        <v>262</v>
      </c>
      <c r="D1978">
        <v>27.45</v>
      </c>
      <c r="E1978">
        <v>39.463556584999999</v>
      </c>
      <c r="F1978">
        <v>-0.44939366170599998</v>
      </c>
      <c r="G1978">
        <v>18.2</v>
      </c>
    </row>
    <row r="1979" spans="1:7" x14ac:dyDescent="0.25">
      <c r="A1979" t="s">
        <v>3187</v>
      </c>
      <c r="B1979" s="8">
        <v>42130</v>
      </c>
      <c r="C1979">
        <v>224</v>
      </c>
      <c r="D1979">
        <v>30.6</v>
      </c>
      <c r="E1979">
        <v>38.407092970800001</v>
      </c>
      <c r="F1979">
        <v>-6.4436404651099997</v>
      </c>
      <c r="G1979">
        <v>6.1</v>
      </c>
    </row>
    <row r="1980" spans="1:7" x14ac:dyDescent="0.25">
      <c r="A1980" t="s">
        <v>3314</v>
      </c>
      <c r="B1980" s="8">
        <v>42131</v>
      </c>
      <c r="C1980">
        <v>112</v>
      </c>
      <c r="D1980">
        <v>42.85</v>
      </c>
      <c r="E1980">
        <v>36.394976351099999</v>
      </c>
      <c r="F1980">
        <v>-9.17899605669</v>
      </c>
      <c r="G1980">
        <v>12.1</v>
      </c>
    </row>
    <row r="1981" spans="1:7" x14ac:dyDescent="0.25">
      <c r="A1981" t="s">
        <v>3313</v>
      </c>
      <c r="B1981" s="8">
        <v>42132</v>
      </c>
      <c r="C1981">
        <v>263</v>
      </c>
      <c r="D1981">
        <v>32</v>
      </c>
      <c r="E1981">
        <v>37.348906487900003</v>
      </c>
      <c r="F1981">
        <v>-1.66596637495</v>
      </c>
      <c r="G1981">
        <v>-0.5</v>
      </c>
    </row>
    <row r="1982" spans="1:7" x14ac:dyDescent="0.25">
      <c r="A1982" t="s">
        <v>3311</v>
      </c>
      <c r="B1982" s="8">
        <v>42133</v>
      </c>
      <c r="C1982">
        <v>158</v>
      </c>
      <c r="D1982">
        <v>34.1</v>
      </c>
      <c r="E1982">
        <v>36.926565041700002</v>
      </c>
      <c r="F1982">
        <v>-1.4402617949800001</v>
      </c>
      <c r="G1982">
        <v>15.1</v>
      </c>
    </row>
    <row r="1983" spans="1:7" x14ac:dyDescent="0.25">
      <c r="A1983" t="s">
        <v>3312</v>
      </c>
      <c r="B1983" s="8">
        <v>42133</v>
      </c>
      <c r="C1983">
        <v>57</v>
      </c>
      <c r="D1983">
        <v>32.25</v>
      </c>
      <c r="E1983">
        <v>32.534292870500003</v>
      </c>
      <c r="F1983">
        <v>-0.97341857707599999</v>
      </c>
      <c r="G1983">
        <v>5</v>
      </c>
    </row>
    <row r="1984" spans="1:7" x14ac:dyDescent="0.25">
      <c r="A1984" t="s">
        <v>3309</v>
      </c>
      <c r="B1984" s="8">
        <v>42134</v>
      </c>
      <c r="C1984">
        <v>280</v>
      </c>
      <c r="D1984">
        <v>40.75</v>
      </c>
      <c r="E1984">
        <v>38.037336968600002</v>
      </c>
      <c r="F1984">
        <v>-2.66666599272</v>
      </c>
      <c r="G1984">
        <v>26</v>
      </c>
    </row>
    <row r="1985" spans="1:7" x14ac:dyDescent="0.25">
      <c r="A1985" t="s">
        <v>3310</v>
      </c>
      <c r="B1985" s="8">
        <v>42134</v>
      </c>
      <c r="C1985">
        <v>169</v>
      </c>
      <c r="D1985">
        <v>40.75</v>
      </c>
      <c r="E1985">
        <v>37.621046356900003</v>
      </c>
      <c r="F1985">
        <v>-2.22679020571</v>
      </c>
      <c r="G1985">
        <v>26</v>
      </c>
    </row>
    <row r="1986" spans="1:7" x14ac:dyDescent="0.25">
      <c r="A1986" t="s">
        <v>3182</v>
      </c>
      <c r="B1986" s="8">
        <v>42134</v>
      </c>
      <c r="C1986">
        <v>91</v>
      </c>
      <c r="D1986">
        <v>31.2</v>
      </c>
      <c r="E1986">
        <v>33.959249759899997</v>
      </c>
      <c r="F1986">
        <v>-1.15725204922</v>
      </c>
      <c r="G1986">
        <v>-0.75</v>
      </c>
    </row>
    <row r="1987" spans="1:7" x14ac:dyDescent="0.25">
      <c r="A1987" t="s">
        <v>3307</v>
      </c>
      <c r="B1987" s="8">
        <v>42135</v>
      </c>
      <c r="C1987">
        <v>184</v>
      </c>
      <c r="D1987">
        <v>34.5</v>
      </c>
      <c r="E1987">
        <v>40.415951853199999</v>
      </c>
      <c r="F1987">
        <v>-2.1525582142499999</v>
      </c>
      <c r="G1987">
        <v>11</v>
      </c>
    </row>
    <row r="1988" spans="1:7" x14ac:dyDescent="0.25">
      <c r="A1988" t="s">
        <v>3178</v>
      </c>
      <c r="B1988" s="8">
        <v>42135</v>
      </c>
      <c r="C1988">
        <v>55</v>
      </c>
      <c r="D1988">
        <v>24.25</v>
      </c>
      <c r="E1988">
        <v>36.518092463599999</v>
      </c>
      <c r="F1988">
        <v>-1.9058280139899999</v>
      </c>
      <c r="G1988">
        <v>11</v>
      </c>
    </row>
    <row r="1989" spans="1:7" x14ac:dyDescent="0.25">
      <c r="A1989" t="s">
        <v>3308</v>
      </c>
      <c r="B1989" s="8">
        <v>42135</v>
      </c>
      <c r="C1989">
        <v>37</v>
      </c>
      <c r="D1989">
        <v>32.5</v>
      </c>
      <c r="E1989">
        <v>32.569823478300002</v>
      </c>
      <c r="F1989">
        <v>-9.1934068148300005E-2</v>
      </c>
      <c r="G1989">
        <v>6</v>
      </c>
    </row>
    <row r="1990" spans="1:7" x14ac:dyDescent="0.25">
      <c r="A1990" t="s">
        <v>3303</v>
      </c>
      <c r="B1990" s="8">
        <v>42136</v>
      </c>
      <c r="C1990">
        <v>278</v>
      </c>
      <c r="D1990">
        <v>27.75</v>
      </c>
      <c r="E1990">
        <v>38.270511974000001</v>
      </c>
      <c r="F1990">
        <v>-0.51044911133299997</v>
      </c>
      <c r="G1990">
        <v>21</v>
      </c>
    </row>
    <row r="1991" spans="1:7" x14ac:dyDescent="0.25">
      <c r="A1991" t="s">
        <v>3303</v>
      </c>
      <c r="B1991" s="8">
        <v>42136</v>
      </c>
      <c r="C1991">
        <v>258</v>
      </c>
      <c r="D1991">
        <v>27.75</v>
      </c>
      <c r="E1991">
        <v>38.270511974000001</v>
      </c>
      <c r="F1991">
        <v>-0.51044911133299997</v>
      </c>
      <c r="G1991">
        <v>21</v>
      </c>
    </row>
    <row r="1992" spans="1:7" x14ac:dyDescent="0.25">
      <c r="A1992" t="s">
        <v>3304</v>
      </c>
      <c r="B1992" s="8">
        <v>42136</v>
      </c>
      <c r="C1992">
        <v>113</v>
      </c>
      <c r="D1992">
        <v>40</v>
      </c>
      <c r="E1992">
        <v>34.259004547899998</v>
      </c>
      <c r="F1992">
        <v>-1.16550498684</v>
      </c>
      <c r="G1992">
        <v>19</v>
      </c>
    </row>
    <row r="1993" spans="1:7" x14ac:dyDescent="0.25">
      <c r="A1993" t="s">
        <v>3305</v>
      </c>
      <c r="B1993" s="8">
        <v>42136</v>
      </c>
      <c r="C1993">
        <v>92</v>
      </c>
      <c r="D1993">
        <v>24.25</v>
      </c>
      <c r="E1993">
        <v>34.7509333713</v>
      </c>
      <c r="F1993">
        <v>-1.0068139517200001</v>
      </c>
      <c r="G1993">
        <v>16</v>
      </c>
    </row>
    <row r="1994" spans="1:7" x14ac:dyDescent="0.25">
      <c r="A1994" t="s">
        <v>3306</v>
      </c>
      <c r="B1994" s="8">
        <v>42136</v>
      </c>
      <c r="C1994">
        <v>73</v>
      </c>
      <c r="D1994">
        <v>46.75</v>
      </c>
      <c r="E1994">
        <v>35.305014153899997</v>
      </c>
      <c r="F1994">
        <v>-8.1946278051700003E-2</v>
      </c>
      <c r="G1994">
        <v>21</v>
      </c>
    </row>
    <row r="1995" spans="1:7" x14ac:dyDescent="0.25">
      <c r="A1995" t="s">
        <v>3302</v>
      </c>
      <c r="B1995" s="8">
        <v>42137</v>
      </c>
      <c r="C1995">
        <v>39</v>
      </c>
      <c r="D1995">
        <v>25.25</v>
      </c>
      <c r="E1995">
        <v>33.254494383199997</v>
      </c>
      <c r="F1995">
        <v>-1.31056821269</v>
      </c>
      <c r="G1995">
        <v>18</v>
      </c>
    </row>
    <row r="1996" spans="1:7" x14ac:dyDescent="0.25">
      <c r="A1996" t="s">
        <v>3291</v>
      </c>
      <c r="B1996" s="8">
        <v>42138</v>
      </c>
      <c r="C1996">
        <v>207</v>
      </c>
      <c r="D1996">
        <v>42.75</v>
      </c>
      <c r="E1996">
        <v>38.686469127000002</v>
      </c>
      <c r="F1996">
        <v>-1.1946498775600001</v>
      </c>
      <c r="G1996">
        <v>14</v>
      </c>
    </row>
    <row r="1997" spans="1:7" x14ac:dyDescent="0.25">
      <c r="A1997" t="s">
        <v>3292</v>
      </c>
      <c r="B1997" s="8">
        <v>42138</v>
      </c>
      <c r="C1997">
        <v>94</v>
      </c>
      <c r="D1997">
        <v>37.1</v>
      </c>
      <c r="E1997">
        <v>33.869473554599999</v>
      </c>
      <c r="F1997">
        <v>-1.1376083635900001</v>
      </c>
      <c r="G1997">
        <v>-0.75</v>
      </c>
    </row>
    <row r="1998" spans="1:7" x14ac:dyDescent="0.25">
      <c r="A1998" t="s">
        <v>3293</v>
      </c>
      <c r="B1998" s="8">
        <v>42138</v>
      </c>
      <c r="C1998">
        <v>113</v>
      </c>
      <c r="D1998">
        <v>46</v>
      </c>
      <c r="E1998">
        <v>38.347112617800001</v>
      </c>
      <c r="F1998">
        <v>-1.16904087069</v>
      </c>
      <c r="G1998">
        <v>14</v>
      </c>
    </row>
    <row r="1999" spans="1:7" x14ac:dyDescent="0.25">
      <c r="A1999" t="s">
        <v>3294</v>
      </c>
      <c r="B1999" s="8">
        <v>42138</v>
      </c>
      <c r="C1999">
        <v>37</v>
      </c>
      <c r="D1999">
        <v>16.350000000000001</v>
      </c>
      <c r="E1999">
        <v>31.276594232899999</v>
      </c>
      <c r="F1999">
        <v>-1.0838881681000001</v>
      </c>
      <c r="G1999">
        <v>-0.75</v>
      </c>
    </row>
    <row r="2000" spans="1:7" x14ac:dyDescent="0.25">
      <c r="A2000" t="s">
        <v>3295</v>
      </c>
      <c r="B2000" s="8">
        <v>42139</v>
      </c>
      <c r="C2000">
        <v>279</v>
      </c>
      <c r="D2000">
        <v>8.35</v>
      </c>
      <c r="E2000">
        <v>38.423595486400004</v>
      </c>
      <c r="F2000">
        <v>-1.4292458286800001</v>
      </c>
      <c r="G2000">
        <v>1.1000000000000001</v>
      </c>
    </row>
    <row r="2001" spans="1:7" x14ac:dyDescent="0.25">
      <c r="A2001" t="s">
        <v>3295</v>
      </c>
      <c r="B2001" s="8">
        <v>42139</v>
      </c>
      <c r="C2001">
        <v>262</v>
      </c>
      <c r="D2001">
        <v>8.35</v>
      </c>
      <c r="E2001">
        <v>38.423595486400004</v>
      </c>
      <c r="F2001">
        <v>-1.4292458286800001</v>
      </c>
      <c r="G2001">
        <v>1.1000000000000001</v>
      </c>
    </row>
    <row r="2002" spans="1:7" x14ac:dyDescent="0.25">
      <c r="A2002" t="s">
        <v>3296</v>
      </c>
      <c r="B2002" s="8">
        <v>42140</v>
      </c>
      <c r="C2002">
        <v>275</v>
      </c>
      <c r="D2002">
        <v>54</v>
      </c>
      <c r="E2002">
        <v>38.689107769899998</v>
      </c>
      <c r="F2002">
        <v>-0.91543361434600001</v>
      </c>
      <c r="G2002">
        <v>10</v>
      </c>
    </row>
    <row r="2003" spans="1:7" x14ac:dyDescent="0.25">
      <c r="A2003" t="s">
        <v>3297</v>
      </c>
      <c r="B2003" s="8">
        <v>42140</v>
      </c>
      <c r="C2003">
        <v>71</v>
      </c>
      <c r="D2003">
        <v>34.75</v>
      </c>
      <c r="E2003">
        <v>34.853390709999999</v>
      </c>
      <c r="F2003">
        <v>-0.88593561993600001</v>
      </c>
      <c r="G2003">
        <v>1</v>
      </c>
    </row>
    <row r="2004" spans="1:7" x14ac:dyDescent="0.25">
      <c r="A2004" t="s">
        <v>3165</v>
      </c>
      <c r="B2004" s="8">
        <v>42140</v>
      </c>
      <c r="C2004">
        <v>204</v>
      </c>
      <c r="D2004">
        <v>56.5</v>
      </c>
      <c r="E2004">
        <v>38.112940407700002</v>
      </c>
      <c r="F2004">
        <v>-0.35051749764200002</v>
      </c>
      <c r="G2004">
        <v>10</v>
      </c>
    </row>
    <row r="2005" spans="1:7" x14ac:dyDescent="0.25">
      <c r="A2005" t="s">
        <v>3298</v>
      </c>
      <c r="B2005" s="8">
        <v>42141</v>
      </c>
      <c r="C2005">
        <v>279</v>
      </c>
      <c r="D2005">
        <v>3.5</v>
      </c>
      <c r="E2005">
        <v>41.7906729547</v>
      </c>
      <c r="F2005">
        <v>-1.3576781798899999</v>
      </c>
      <c r="G2005">
        <v>-0.5</v>
      </c>
    </row>
    <row r="2006" spans="1:7" x14ac:dyDescent="0.25">
      <c r="A2006" t="s">
        <v>3167</v>
      </c>
      <c r="B2006" s="8">
        <v>42141</v>
      </c>
      <c r="C2006">
        <v>97</v>
      </c>
      <c r="D2006">
        <v>26.5</v>
      </c>
      <c r="E2006">
        <v>39.473424749800003</v>
      </c>
      <c r="F2006">
        <v>-1.62329833169</v>
      </c>
      <c r="G2006">
        <v>18</v>
      </c>
    </row>
    <row r="2007" spans="1:7" x14ac:dyDescent="0.25">
      <c r="A2007" t="s">
        <v>3299</v>
      </c>
      <c r="B2007" s="8">
        <v>42141</v>
      </c>
      <c r="C2007">
        <v>187</v>
      </c>
      <c r="D2007">
        <v>7</v>
      </c>
      <c r="E2007">
        <v>41.472454001999999</v>
      </c>
      <c r="F2007">
        <v>-1.33050216865</v>
      </c>
      <c r="G2007">
        <v>-0.5</v>
      </c>
    </row>
    <row r="2008" spans="1:7" x14ac:dyDescent="0.25">
      <c r="A2008" t="s">
        <v>3300</v>
      </c>
      <c r="B2008" s="8">
        <v>42141</v>
      </c>
      <c r="C2008">
        <v>92</v>
      </c>
      <c r="D2008">
        <v>30.5</v>
      </c>
      <c r="E2008">
        <v>33.524417649100002</v>
      </c>
      <c r="F2008">
        <v>-0.55034047752899995</v>
      </c>
      <c r="G2008">
        <v>13</v>
      </c>
    </row>
    <row r="2009" spans="1:7" x14ac:dyDescent="0.25">
      <c r="A2009" t="s">
        <v>3301</v>
      </c>
      <c r="B2009" s="8">
        <v>42142</v>
      </c>
      <c r="C2009">
        <v>130</v>
      </c>
      <c r="D2009">
        <v>22.75</v>
      </c>
      <c r="E2009">
        <v>34.927445399299998</v>
      </c>
      <c r="F2009">
        <v>-5.6037164577</v>
      </c>
      <c r="G2009">
        <v>14</v>
      </c>
    </row>
    <row r="2010" spans="1:7" x14ac:dyDescent="0.25">
      <c r="A2010" t="s">
        <v>3301</v>
      </c>
      <c r="B2010" s="8">
        <v>42142</v>
      </c>
      <c r="C2010">
        <v>110</v>
      </c>
      <c r="D2010">
        <v>22.75</v>
      </c>
      <c r="E2010">
        <v>34.927445399299998</v>
      </c>
      <c r="F2010">
        <v>-5.6037164577</v>
      </c>
      <c r="G2010">
        <v>14</v>
      </c>
    </row>
    <row r="2011" spans="1:7" x14ac:dyDescent="0.25">
      <c r="A2011" t="s">
        <v>3350</v>
      </c>
      <c r="B2011" s="8">
        <v>42143</v>
      </c>
      <c r="C2011">
        <v>279</v>
      </c>
      <c r="D2011">
        <v>32.5</v>
      </c>
      <c r="E2011">
        <v>38.154371576499997</v>
      </c>
      <c r="F2011">
        <v>-0.49742703095599999</v>
      </c>
      <c r="G2011">
        <v>8</v>
      </c>
    </row>
    <row r="2012" spans="1:7" x14ac:dyDescent="0.25">
      <c r="A2012" t="s">
        <v>3351</v>
      </c>
      <c r="B2012" s="8">
        <v>42144</v>
      </c>
      <c r="C2012">
        <v>277</v>
      </c>
      <c r="D2012">
        <v>26</v>
      </c>
      <c r="E2012">
        <v>34.604046714900001</v>
      </c>
      <c r="F2012">
        <v>-0.65554775790700004</v>
      </c>
      <c r="G2012">
        <v>12</v>
      </c>
    </row>
    <row r="2013" spans="1:7" x14ac:dyDescent="0.25">
      <c r="A2013" t="s">
        <v>3352</v>
      </c>
      <c r="B2013" s="8">
        <v>42144</v>
      </c>
      <c r="C2013">
        <v>257</v>
      </c>
      <c r="D2013">
        <v>26</v>
      </c>
      <c r="E2013">
        <v>34.597699642099997</v>
      </c>
      <c r="F2013">
        <v>-0.65639659575200004</v>
      </c>
      <c r="G2013">
        <v>12</v>
      </c>
    </row>
    <row r="2014" spans="1:7" x14ac:dyDescent="0.25">
      <c r="A2014" t="s">
        <v>3353</v>
      </c>
      <c r="B2014" s="8">
        <v>42145</v>
      </c>
      <c r="C2014">
        <v>223</v>
      </c>
      <c r="D2014">
        <v>24.35</v>
      </c>
      <c r="E2014">
        <v>36.879875378599998</v>
      </c>
      <c r="F2014">
        <v>-8.1456833979300001</v>
      </c>
      <c r="G2014">
        <v>-0.75</v>
      </c>
    </row>
    <row r="2015" spans="1:7" x14ac:dyDescent="0.25">
      <c r="A2015" t="s">
        <v>3354</v>
      </c>
      <c r="B2015" s="8">
        <v>42145</v>
      </c>
      <c r="C2015">
        <v>109</v>
      </c>
      <c r="D2015">
        <v>26.35</v>
      </c>
      <c r="E2015">
        <v>36.358670597900002</v>
      </c>
      <c r="F2015">
        <v>-8.1435688850499997</v>
      </c>
      <c r="G2015">
        <v>-0.75</v>
      </c>
    </row>
    <row r="2016" spans="1:7" x14ac:dyDescent="0.25">
      <c r="A2016" t="s">
        <v>3355</v>
      </c>
      <c r="B2016" s="8">
        <v>42145</v>
      </c>
      <c r="C2016">
        <v>34</v>
      </c>
      <c r="D2016">
        <v>38.85</v>
      </c>
      <c r="E2016">
        <v>33.742378412100003</v>
      </c>
      <c r="F2016">
        <v>-8.7118269698800006</v>
      </c>
      <c r="G2016">
        <v>-0.75</v>
      </c>
    </row>
    <row r="2017" spans="1:7" x14ac:dyDescent="0.25">
      <c r="A2017" t="s">
        <v>3356</v>
      </c>
      <c r="B2017" s="8">
        <v>42145</v>
      </c>
      <c r="C2017">
        <v>114</v>
      </c>
      <c r="D2017">
        <v>28.75</v>
      </c>
      <c r="E2017">
        <v>33.100655224800001</v>
      </c>
      <c r="F2017">
        <v>-0.236578631589</v>
      </c>
      <c r="G2017">
        <v>18</v>
      </c>
    </row>
    <row r="2018" spans="1:7" x14ac:dyDescent="0.25">
      <c r="A2018" t="s">
        <v>3357</v>
      </c>
      <c r="B2018" s="8">
        <v>42146</v>
      </c>
      <c r="C2018">
        <v>278</v>
      </c>
      <c r="D2018">
        <v>12.75</v>
      </c>
      <c r="E2018">
        <v>37.657868295100002</v>
      </c>
      <c r="F2018">
        <v>-8.7001735224299992</v>
      </c>
      <c r="G2018">
        <v>6</v>
      </c>
    </row>
    <row r="2019" spans="1:7" x14ac:dyDescent="0.25">
      <c r="A2019" t="s">
        <v>3358</v>
      </c>
      <c r="B2019" s="8">
        <v>42146</v>
      </c>
      <c r="C2019">
        <v>58</v>
      </c>
      <c r="D2019">
        <v>11.75</v>
      </c>
      <c r="E2019">
        <v>32.663031611299999</v>
      </c>
      <c r="F2019">
        <v>-0.44891013206399999</v>
      </c>
      <c r="G2019">
        <v>5</v>
      </c>
    </row>
    <row r="2020" spans="1:7" x14ac:dyDescent="0.25">
      <c r="A2020" t="s">
        <v>3359</v>
      </c>
      <c r="B2020" s="8">
        <v>42147</v>
      </c>
      <c r="C2020">
        <v>118</v>
      </c>
      <c r="D2020">
        <v>14</v>
      </c>
      <c r="E2020">
        <v>33.569141316200003</v>
      </c>
      <c r="F2020">
        <v>-1.6204867490499999</v>
      </c>
      <c r="G2020">
        <v>12</v>
      </c>
    </row>
    <row r="2021" spans="1:7" x14ac:dyDescent="0.25">
      <c r="A2021" t="s">
        <v>3360</v>
      </c>
      <c r="B2021" s="8">
        <v>42147</v>
      </c>
      <c r="C2021">
        <v>61</v>
      </c>
      <c r="D2021">
        <v>12.75</v>
      </c>
      <c r="E2021">
        <v>31.748409539200001</v>
      </c>
      <c r="F2021">
        <v>-0.63199231248300003</v>
      </c>
      <c r="G2021">
        <v>10</v>
      </c>
    </row>
    <row r="2022" spans="1:7" x14ac:dyDescent="0.25">
      <c r="A2022" t="s">
        <v>3240</v>
      </c>
      <c r="B2022" s="8">
        <v>42147</v>
      </c>
      <c r="C2022">
        <v>34</v>
      </c>
      <c r="D2022">
        <v>20.75</v>
      </c>
      <c r="E2022">
        <v>30.3178157101</v>
      </c>
      <c r="F2022">
        <v>-0.79062859729799995</v>
      </c>
      <c r="G2022">
        <v>10</v>
      </c>
    </row>
    <row r="2023" spans="1:7" x14ac:dyDescent="0.25">
      <c r="A2023" t="s">
        <v>3361</v>
      </c>
      <c r="B2023" s="8">
        <v>42148</v>
      </c>
      <c r="C2023">
        <v>281</v>
      </c>
      <c r="D2023">
        <v>22.5</v>
      </c>
      <c r="E2023">
        <v>38.151294282199999</v>
      </c>
      <c r="F2023">
        <v>-1.5264884703999999</v>
      </c>
      <c r="G2023">
        <v>13</v>
      </c>
    </row>
    <row r="2024" spans="1:7" x14ac:dyDescent="0.25">
      <c r="A2024" t="s">
        <v>3362</v>
      </c>
      <c r="B2024" s="8">
        <v>42148</v>
      </c>
      <c r="C2024">
        <v>209</v>
      </c>
      <c r="D2024">
        <v>38.75</v>
      </c>
      <c r="E2024">
        <v>36.4650857217</v>
      </c>
      <c r="F2024">
        <v>-0.51823175848500003</v>
      </c>
      <c r="G2024">
        <v>13</v>
      </c>
    </row>
    <row r="2025" spans="1:7" x14ac:dyDescent="0.25">
      <c r="A2025" t="s">
        <v>3363</v>
      </c>
      <c r="B2025" s="8">
        <v>42148</v>
      </c>
      <c r="C2025">
        <v>72</v>
      </c>
      <c r="D2025">
        <v>34</v>
      </c>
      <c r="E2025">
        <v>33.119557311599998</v>
      </c>
      <c r="F2025">
        <v>-1.4504796155999999</v>
      </c>
      <c r="G2025">
        <v>15</v>
      </c>
    </row>
    <row r="2026" spans="1:7" x14ac:dyDescent="0.25">
      <c r="A2026" t="s">
        <v>3244</v>
      </c>
      <c r="B2026" s="8">
        <v>42149</v>
      </c>
      <c r="C2026">
        <v>280</v>
      </c>
      <c r="D2026">
        <v>32.700000000000003</v>
      </c>
      <c r="E2026">
        <v>35.032614271600004</v>
      </c>
      <c r="F2026">
        <v>-6.8607436559200004</v>
      </c>
      <c r="G2026">
        <v>5.2</v>
      </c>
    </row>
    <row r="2027" spans="1:7" x14ac:dyDescent="0.25">
      <c r="A2027" t="s">
        <v>3364</v>
      </c>
      <c r="B2027" s="8">
        <v>42149</v>
      </c>
      <c r="C2027">
        <v>96</v>
      </c>
      <c r="D2027">
        <v>39</v>
      </c>
      <c r="E2027">
        <v>33.146695169600001</v>
      </c>
      <c r="F2027">
        <v>-0.446476353765</v>
      </c>
      <c r="G2027">
        <v>15</v>
      </c>
    </row>
    <row r="2028" spans="1:7" x14ac:dyDescent="0.25">
      <c r="A2028" t="s">
        <v>3246</v>
      </c>
      <c r="B2028" s="8">
        <v>42149</v>
      </c>
      <c r="C2028">
        <v>184</v>
      </c>
      <c r="D2028">
        <v>34.200000000000003</v>
      </c>
      <c r="E2028">
        <v>34.181509491</v>
      </c>
      <c r="F2028">
        <v>-6.7830952949799999</v>
      </c>
      <c r="G2028">
        <v>5.2</v>
      </c>
    </row>
    <row r="2029" spans="1:7" x14ac:dyDescent="0.25">
      <c r="A2029" t="s">
        <v>3247</v>
      </c>
      <c r="B2029" s="8">
        <v>42150</v>
      </c>
      <c r="C2029">
        <v>279</v>
      </c>
      <c r="D2029">
        <v>39.25</v>
      </c>
      <c r="E2029">
        <v>39.267214437200003</v>
      </c>
      <c r="F2029">
        <v>-0.98596138424400004</v>
      </c>
      <c r="G2029">
        <v>1.5</v>
      </c>
    </row>
    <row r="2030" spans="1:7" x14ac:dyDescent="0.25">
      <c r="A2030" t="s">
        <v>3365</v>
      </c>
      <c r="B2030" s="8">
        <v>42151</v>
      </c>
      <c r="C2030">
        <v>279</v>
      </c>
      <c r="D2030">
        <v>55.75</v>
      </c>
      <c r="E2030">
        <v>37.636191770300002</v>
      </c>
      <c r="F2030">
        <v>-1.08883161605</v>
      </c>
      <c r="G2030">
        <v>14</v>
      </c>
    </row>
    <row r="2031" spans="1:7" x14ac:dyDescent="0.25">
      <c r="A2031" t="s">
        <v>3366</v>
      </c>
      <c r="B2031" s="8">
        <v>42151</v>
      </c>
      <c r="C2031">
        <v>166</v>
      </c>
      <c r="D2031">
        <v>54.2</v>
      </c>
      <c r="E2031">
        <v>36.922528013300003</v>
      </c>
      <c r="F2031">
        <v>-3.00038473609</v>
      </c>
      <c r="G2031">
        <v>17.2</v>
      </c>
    </row>
    <row r="2032" spans="1:7" x14ac:dyDescent="0.25">
      <c r="A2032" t="s">
        <v>3367</v>
      </c>
      <c r="B2032" s="8">
        <v>42151</v>
      </c>
      <c r="C2032">
        <v>73</v>
      </c>
      <c r="D2032">
        <v>20</v>
      </c>
      <c r="E2032">
        <v>34.7624565367</v>
      </c>
      <c r="F2032">
        <v>-0.266288665797</v>
      </c>
      <c r="G2032">
        <v>14</v>
      </c>
    </row>
    <row r="2033" spans="1:7" x14ac:dyDescent="0.25">
      <c r="A2033" t="s">
        <v>3368</v>
      </c>
      <c r="B2033" s="8">
        <v>42151</v>
      </c>
      <c r="C2033">
        <v>93</v>
      </c>
      <c r="D2033">
        <v>38.25</v>
      </c>
      <c r="E2033">
        <v>35.309139668</v>
      </c>
      <c r="F2033">
        <v>-0.13664721549600001</v>
      </c>
      <c r="G2033">
        <v>21</v>
      </c>
    </row>
    <row r="2034" spans="1:7" x14ac:dyDescent="0.25">
      <c r="A2034" t="s">
        <v>3369</v>
      </c>
      <c r="B2034" s="8">
        <v>42152</v>
      </c>
      <c r="C2034">
        <v>140</v>
      </c>
      <c r="D2034">
        <v>40.450000000000003</v>
      </c>
      <c r="E2034">
        <v>36.2418425742</v>
      </c>
      <c r="F2034">
        <v>-0.94455810325900003</v>
      </c>
      <c r="G2034">
        <v>23.2</v>
      </c>
    </row>
    <row r="2035" spans="1:7" x14ac:dyDescent="0.25">
      <c r="A2035" t="s">
        <v>3370</v>
      </c>
      <c r="B2035" s="8">
        <v>42152</v>
      </c>
      <c r="C2035">
        <v>140</v>
      </c>
      <c r="D2035">
        <v>40.450000000000003</v>
      </c>
      <c r="E2035">
        <v>36.2418425742</v>
      </c>
      <c r="F2035">
        <v>-0.94455810325900003</v>
      </c>
      <c r="G2035">
        <v>23.2</v>
      </c>
    </row>
    <row r="2036" spans="1:7" x14ac:dyDescent="0.25">
      <c r="A2036" t="s">
        <v>3254</v>
      </c>
      <c r="B2036" s="8">
        <v>42152</v>
      </c>
      <c r="C2036">
        <v>93</v>
      </c>
      <c r="D2036">
        <v>43</v>
      </c>
      <c r="E2036">
        <v>33.636845065300001</v>
      </c>
      <c r="F2036">
        <v>-0.78748518947299995</v>
      </c>
      <c r="G2036">
        <v>16</v>
      </c>
    </row>
    <row r="2037" spans="1:7" x14ac:dyDescent="0.25">
      <c r="A2037" t="s">
        <v>3255</v>
      </c>
      <c r="B2037" s="8">
        <v>42152</v>
      </c>
      <c r="C2037">
        <v>113</v>
      </c>
      <c r="D2037">
        <v>37.25</v>
      </c>
      <c r="E2037">
        <v>33.820679901699997</v>
      </c>
      <c r="F2037">
        <v>-0.847874161563</v>
      </c>
      <c r="G2037">
        <v>16</v>
      </c>
    </row>
    <row r="2038" spans="1:7" x14ac:dyDescent="0.25">
      <c r="A2038" t="s">
        <v>3371</v>
      </c>
      <c r="B2038" s="8">
        <v>42153</v>
      </c>
      <c r="C2038">
        <v>281</v>
      </c>
      <c r="D2038">
        <v>45</v>
      </c>
      <c r="E2038">
        <v>36.3803095695</v>
      </c>
      <c r="F2038">
        <v>-1.29098422402</v>
      </c>
      <c r="G2038">
        <v>-0.5</v>
      </c>
    </row>
    <row r="2039" spans="1:7" x14ac:dyDescent="0.25">
      <c r="A2039" t="s">
        <v>3371</v>
      </c>
      <c r="B2039" s="8">
        <v>42153</v>
      </c>
      <c r="C2039">
        <v>263</v>
      </c>
      <c r="D2039">
        <v>45</v>
      </c>
      <c r="E2039">
        <v>36.3803095695</v>
      </c>
      <c r="F2039">
        <v>-1.29098422402</v>
      </c>
      <c r="G2039">
        <v>-0.5</v>
      </c>
    </row>
    <row r="2040" spans="1:7" x14ac:dyDescent="0.25">
      <c r="A2040" t="s">
        <v>3372</v>
      </c>
      <c r="B2040" s="8">
        <v>42154</v>
      </c>
      <c r="C2040">
        <v>262</v>
      </c>
      <c r="D2040">
        <v>27.25</v>
      </c>
      <c r="E2040">
        <v>37.186718602299997</v>
      </c>
      <c r="F2040">
        <v>-0.32352581372599998</v>
      </c>
      <c r="G2040">
        <v>1</v>
      </c>
    </row>
    <row r="2041" spans="1:7" x14ac:dyDescent="0.25">
      <c r="A2041" t="s">
        <v>3373</v>
      </c>
      <c r="B2041" s="8">
        <v>42154</v>
      </c>
      <c r="C2041">
        <v>130</v>
      </c>
      <c r="D2041">
        <v>25.75</v>
      </c>
      <c r="E2041">
        <v>36.076682265599999</v>
      </c>
      <c r="F2041">
        <v>-0.51355032458399996</v>
      </c>
      <c r="G2041">
        <v>1</v>
      </c>
    </row>
    <row r="2042" spans="1:7" x14ac:dyDescent="0.25">
      <c r="A2042" t="s">
        <v>3374</v>
      </c>
      <c r="B2042" s="8">
        <v>42154</v>
      </c>
      <c r="C2042">
        <v>132</v>
      </c>
      <c r="D2042">
        <v>30.6</v>
      </c>
      <c r="E2042">
        <v>33.235481493499996</v>
      </c>
      <c r="F2042">
        <v>-9.9384537344999995</v>
      </c>
      <c r="G2042">
        <v>12.1</v>
      </c>
    </row>
    <row r="2043" spans="1:7" x14ac:dyDescent="0.25">
      <c r="A2043" t="s">
        <v>3375</v>
      </c>
      <c r="B2043" s="8">
        <v>42154</v>
      </c>
      <c r="C2043">
        <v>130</v>
      </c>
      <c r="D2043">
        <v>32.25</v>
      </c>
      <c r="E2043">
        <v>35.684370857700003</v>
      </c>
      <c r="F2043">
        <v>-9.7502765561700002</v>
      </c>
      <c r="G2043">
        <v>1</v>
      </c>
    </row>
    <row r="2044" spans="1:7" x14ac:dyDescent="0.25">
      <c r="A2044" t="s">
        <v>3376</v>
      </c>
      <c r="B2044" s="8">
        <v>42155</v>
      </c>
      <c r="C2044">
        <v>280</v>
      </c>
      <c r="D2044">
        <v>18.850000000000001</v>
      </c>
      <c r="E2044">
        <v>36.573646701800001</v>
      </c>
      <c r="F2044">
        <v>-0.19113956546899999</v>
      </c>
      <c r="G2044">
        <v>-0.5</v>
      </c>
    </row>
    <row r="2045" spans="1:7" x14ac:dyDescent="0.25">
      <c r="A2045" t="s">
        <v>3262</v>
      </c>
      <c r="B2045" s="8">
        <v>42155</v>
      </c>
      <c r="C2045">
        <v>94</v>
      </c>
      <c r="D2045">
        <v>15.35</v>
      </c>
      <c r="E2045">
        <v>35.033874218199998</v>
      </c>
      <c r="F2045">
        <v>-0.29328888103900003</v>
      </c>
      <c r="G2045">
        <v>-0.5</v>
      </c>
    </row>
    <row r="2046" spans="1:7" x14ac:dyDescent="0.25">
      <c r="A2046" t="s">
        <v>3377</v>
      </c>
      <c r="B2046" s="8">
        <v>42155</v>
      </c>
      <c r="C2046">
        <v>186</v>
      </c>
      <c r="D2046">
        <v>27.2</v>
      </c>
      <c r="E2046">
        <v>33.614690171399999</v>
      </c>
      <c r="F2046">
        <v>-1.7562638556800001</v>
      </c>
      <c r="G2046">
        <v>6.2</v>
      </c>
    </row>
    <row r="2047" spans="1:7" x14ac:dyDescent="0.25">
      <c r="A2047" t="s">
        <v>3378</v>
      </c>
      <c r="B2047" s="8">
        <v>42155</v>
      </c>
      <c r="C2047">
        <v>112</v>
      </c>
      <c r="D2047">
        <v>28.7</v>
      </c>
      <c r="E2047">
        <v>33.083265422899998</v>
      </c>
      <c r="F2047">
        <v>-2.3989505577000001</v>
      </c>
      <c r="G2047">
        <v>8.1999999999999993</v>
      </c>
    </row>
    <row r="2048" spans="1:7" x14ac:dyDescent="0.25">
      <c r="A2048" t="s">
        <v>3379</v>
      </c>
      <c r="B2048" s="8">
        <v>42156</v>
      </c>
      <c r="C2048">
        <v>163</v>
      </c>
      <c r="D2048">
        <v>38.5</v>
      </c>
      <c r="E2048">
        <v>37.4617578485</v>
      </c>
      <c r="F2048">
        <v>-1.1330708646500001</v>
      </c>
      <c r="G2048">
        <v>5.75</v>
      </c>
    </row>
    <row r="2049" spans="1:7" x14ac:dyDescent="0.25">
      <c r="A2049" t="s">
        <v>3380</v>
      </c>
      <c r="B2049" s="8">
        <v>42157</v>
      </c>
      <c r="C2049">
        <v>293</v>
      </c>
      <c r="D2049">
        <v>26.95</v>
      </c>
      <c r="E2049">
        <v>39.924860513500001</v>
      </c>
      <c r="F2049">
        <v>-3.9347803586299999</v>
      </c>
      <c r="G2049">
        <v>-0.25</v>
      </c>
    </row>
    <row r="2050" spans="1:7" x14ac:dyDescent="0.25">
      <c r="A2050" t="s">
        <v>3380</v>
      </c>
      <c r="B2050" s="8">
        <v>42157</v>
      </c>
      <c r="C2050">
        <v>293</v>
      </c>
      <c r="D2050">
        <v>26.95</v>
      </c>
      <c r="E2050">
        <v>39.924860513500001</v>
      </c>
      <c r="F2050">
        <v>-3.9347803586299999</v>
      </c>
      <c r="G2050">
        <v>-0.25</v>
      </c>
    </row>
    <row r="2051" spans="1:7" x14ac:dyDescent="0.25">
      <c r="A2051" t="s">
        <v>3381</v>
      </c>
      <c r="B2051" s="8">
        <v>42157</v>
      </c>
      <c r="C2051">
        <v>99</v>
      </c>
      <c r="D2051">
        <v>16.5</v>
      </c>
      <c r="E2051">
        <v>35.801478314699999</v>
      </c>
      <c r="F2051">
        <v>-1.61502381964</v>
      </c>
      <c r="G2051">
        <v>3</v>
      </c>
    </row>
    <row r="2052" spans="1:7" x14ac:dyDescent="0.25">
      <c r="A2052" t="s">
        <v>3268</v>
      </c>
      <c r="B2052" s="8">
        <v>42158</v>
      </c>
      <c r="C2052">
        <v>287</v>
      </c>
      <c r="D2052">
        <v>33</v>
      </c>
      <c r="E2052">
        <v>37.115325543099999</v>
      </c>
      <c r="F2052">
        <v>-6.9010956067300002</v>
      </c>
      <c r="G2052">
        <v>24</v>
      </c>
    </row>
    <row r="2053" spans="1:7" x14ac:dyDescent="0.25">
      <c r="A2053" t="s">
        <v>3269</v>
      </c>
      <c r="B2053" s="8">
        <v>42158</v>
      </c>
      <c r="C2053">
        <v>98</v>
      </c>
      <c r="D2053">
        <v>35</v>
      </c>
      <c r="E2053">
        <v>34.298468537200002</v>
      </c>
      <c r="F2053">
        <v>-0.51955236500599999</v>
      </c>
      <c r="G2053">
        <v>16</v>
      </c>
    </row>
    <row r="2054" spans="1:7" x14ac:dyDescent="0.25">
      <c r="A2054" t="s">
        <v>3270</v>
      </c>
      <c r="B2054" s="8">
        <v>42158</v>
      </c>
      <c r="C2054">
        <v>55</v>
      </c>
      <c r="D2054">
        <v>23.75</v>
      </c>
      <c r="E2054">
        <v>32.9638886392</v>
      </c>
      <c r="F2054">
        <v>-0.37982509719599999</v>
      </c>
      <c r="G2054">
        <v>16</v>
      </c>
    </row>
    <row r="2055" spans="1:7" x14ac:dyDescent="0.25">
      <c r="A2055" t="s">
        <v>3382</v>
      </c>
      <c r="B2055" s="8">
        <v>42158</v>
      </c>
      <c r="C2055">
        <v>215</v>
      </c>
      <c r="D2055">
        <v>33</v>
      </c>
      <c r="E2055">
        <v>36.570971391599997</v>
      </c>
      <c r="F2055">
        <v>-7.0456172292800003</v>
      </c>
      <c r="G2055">
        <v>24</v>
      </c>
    </row>
    <row r="2056" spans="1:7" x14ac:dyDescent="0.25">
      <c r="A2056" t="s">
        <v>3383</v>
      </c>
      <c r="B2056" s="8">
        <v>42159</v>
      </c>
      <c r="C2056">
        <v>190</v>
      </c>
      <c r="D2056">
        <v>29</v>
      </c>
      <c r="E2056">
        <v>35.293373762000002</v>
      </c>
      <c r="F2056">
        <v>-1.1750703602399999</v>
      </c>
      <c r="G2056">
        <v>0.5</v>
      </c>
    </row>
    <row r="2057" spans="1:7" x14ac:dyDescent="0.25">
      <c r="A2057" t="s">
        <v>3384</v>
      </c>
      <c r="B2057" s="8">
        <v>42159</v>
      </c>
      <c r="C2057">
        <v>130</v>
      </c>
      <c r="D2057">
        <v>30.5</v>
      </c>
      <c r="E2057">
        <v>35.0977118498</v>
      </c>
      <c r="F2057">
        <v>-1.0298560796</v>
      </c>
      <c r="G2057">
        <v>0.5</v>
      </c>
    </row>
    <row r="2058" spans="1:7" x14ac:dyDescent="0.25">
      <c r="A2058" t="s">
        <v>3274</v>
      </c>
      <c r="B2058" s="8">
        <v>42159</v>
      </c>
      <c r="C2058">
        <v>60</v>
      </c>
      <c r="D2058">
        <v>33.5</v>
      </c>
      <c r="E2058">
        <v>31.004659448799998</v>
      </c>
      <c r="F2058">
        <v>-0.83064843491700002</v>
      </c>
      <c r="G2058">
        <v>11</v>
      </c>
    </row>
    <row r="2059" spans="1:7" x14ac:dyDescent="0.25">
      <c r="A2059" t="s">
        <v>3385</v>
      </c>
      <c r="B2059" s="8">
        <v>42160</v>
      </c>
      <c r="C2059">
        <v>280</v>
      </c>
      <c r="D2059">
        <v>43.1</v>
      </c>
      <c r="E2059">
        <v>36.0937167059</v>
      </c>
      <c r="F2059">
        <v>-0.36270070474499999</v>
      </c>
      <c r="G2059">
        <v>15.1</v>
      </c>
    </row>
    <row r="2060" spans="1:7" x14ac:dyDescent="0.25">
      <c r="A2060" t="s">
        <v>3386</v>
      </c>
      <c r="B2060" s="8">
        <v>42160</v>
      </c>
      <c r="C2060">
        <v>54</v>
      </c>
      <c r="D2060">
        <v>25.5</v>
      </c>
      <c r="E2060">
        <v>31.638243215500001</v>
      </c>
      <c r="F2060">
        <v>-0.59171324116099999</v>
      </c>
      <c r="G2060">
        <v>0.75</v>
      </c>
    </row>
    <row r="2061" spans="1:7" x14ac:dyDescent="0.25">
      <c r="A2061" t="s">
        <v>3387</v>
      </c>
      <c r="B2061" s="8">
        <v>42160</v>
      </c>
      <c r="C2061">
        <v>77</v>
      </c>
      <c r="D2061">
        <v>36.75</v>
      </c>
      <c r="E2061">
        <v>33.0448115039</v>
      </c>
      <c r="F2061">
        <v>-0.41451726551599999</v>
      </c>
      <c r="G2061">
        <v>8</v>
      </c>
    </row>
    <row r="2062" spans="1:7" x14ac:dyDescent="0.25">
      <c r="A2062" t="s">
        <v>3278</v>
      </c>
      <c r="B2062" s="8">
        <v>42161</v>
      </c>
      <c r="C2062">
        <v>134</v>
      </c>
      <c r="D2062">
        <v>38</v>
      </c>
      <c r="E2062">
        <v>34.3554973854</v>
      </c>
      <c r="F2062">
        <v>-3.71997501886</v>
      </c>
      <c r="G2062">
        <v>23</v>
      </c>
    </row>
    <row r="2063" spans="1:7" x14ac:dyDescent="0.25">
      <c r="A2063" t="s">
        <v>3279</v>
      </c>
      <c r="B2063" s="8">
        <v>42161</v>
      </c>
      <c r="C2063">
        <v>110</v>
      </c>
      <c r="D2063">
        <v>29.75</v>
      </c>
      <c r="E2063">
        <v>36.823784586400002</v>
      </c>
      <c r="F2063">
        <v>-3.62728989861</v>
      </c>
      <c r="G2063">
        <v>-0.5</v>
      </c>
    </row>
    <row r="2064" spans="1:7" x14ac:dyDescent="0.25">
      <c r="A2064" t="s">
        <v>3388</v>
      </c>
      <c r="B2064" s="8">
        <v>42161</v>
      </c>
      <c r="C2064">
        <v>153</v>
      </c>
      <c r="D2064">
        <v>41.25</v>
      </c>
      <c r="E2064">
        <v>35.507544685600003</v>
      </c>
      <c r="F2064">
        <v>-9.2764049248300005</v>
      </c>
      <c r="G2064">
        <v>2.5</v>
      </c>
    </row>
    <row r="2065" spans="1:12" x14ac:dyDescent="0.25">
      <c r="A2065" t="s">
        <v>3389</v>
      </c>
      <c r="B2065" s="8">
        <v>42162</v>
      </c>
      <c r="C2065">
        <v>90</v>
      </c>
      <c r="D2065">
        <v>36.25</v>
      </c>
      <c r="E2065">
        <v>34.6127515011</v>
      </c>
      <c r="F2065">
        <v>-1.8912856797099999</v>
      </c>
      <c r="G2065">
        <v>19</v>
      </c>
    </row>
    <row r="2066" spans="1:12" x14ac:dyDescent="0.25">
      <c r="A2066" t="s">
        <v>3390</v>
      </c>
      <c r="B2066" s="8">
        <v>42163</v>
      </c>
      <c r="C2066">
        <v>146</v>
      </c>
      <c r="D2066">
        <v>55</v>
      </c>
      <c r="E2066">
        <v>35.583458561699999</v>
      </c>
      <c r="F2066">
        <v>-2.7910098194500002</v>
      </c>
      <c r="G2066">
        <v>25</v>
      </c>
    </row>
    <row r="2067" spans="1:12" x14ac:dyDescent="0.25">
      <c r="A2067" t="s">
        <v>3391</v>
      </c>
      <c r="B2067" s="8">
        <v>42164</v>
      </c>
      <c r="C2067">
        <v>281</v>
      </c>
      <c r="D2067">
        <v>34.950000000000003</v>
      </c>
      <c r="E2067">
        <v>37.963322259500003</v>
      </c>
      <c r="F2067">
        <v>-1.8650001541200001</v>
      </c>
      <c r="G2067">
        <v>9.1999999999999993</v>
      </c>
    </row>
    <row r="2068" spans="1:12" x14ac:dyDescent="0.25">
      <c r="A2068" t="s">
        <v>3392</v>
      </c>
      <c r="B2068" s="8">
        <v>42165</v>
      </c>
      <c r="C2068">
        <v>280</v>
      </c>
      <c r="D2068">
        <v>19</v>
      </c>
      <c r="E2068">
        <v>36.742717600399999</v>
      </c>
      <c r="F2068">
        <v>-1.4163246951499999</v>
      </c>
      <c r="G2068">
        <v>-0.5</v>
      </c>
    </row>
    <row r="2069" spans="1:12" x14ac:dyDescent="0.25">
      <c r="A2069" t="s">
        <v>3393</v>
      </c>
      <c r="B2069" s="8">
        <v>42165</v>
      </c>
      <c r="C2069">
        <v>205</v>
      </c>
      <c r="D2069">
        <v>17.5</v>
      </c>
      <c r="E2069">
        <v>35.873655979699997</v>
      </c>
      <c r="F2069">
        <v>-0.52036285106199998</v>
      </c>
      <c r="G2069">
        <v>-0.5</v>
      </c>
    </row>
    <row r="2070" spans="1:12" x14ac:dyDescent="0.25">
      <c r="A2070" t="s">
        <v>3394</v>
      </c>
      <c r="B2070" s="8">
        <v>42165</v>
      </c>
      <c r="C2070">
        <v>57</v>
      </c>
      <c r="D2070">
        <v>22.35</v>
      </c>
      <c r="E2070">
        <v>32.333504483200002</v>
      </c>
      <c r="F2070">
        <v>-2.2467548759199998</v>
      </c>
      <c r="G2070">
        <v>9.1</v>
      </c>
    </row>
    <row r="2071" spans="1:12" x14ac:dyDescent="0.25">
      <c r="A2071" t="s">
        <v>3395</v>
      </c>
      <c r="B2071" s="8">
        <v>42166</v>
      </c>
      <c r="C2071">
        <v>106</v>
      </c>
      <c r="D2071">
        <v>17.25</v>
      </c>
      <c r="E2071">
        <v>36.938922620200003</v>
      </c>
      <c r="F2071">
        <v>-1.64487107266</v>
      </c>
      <c r="G2071">
        <v>2</v>
      </c>
    </row>
    <row r="2072" spans="1:12" x14ac:dyDescent="0.25">
      <c r="A2072" t="s">
        <v>3396</v>
      </c>
      <c r="B2072" s="8">
        <v>42166</v>
      </c>
      <c r="C2072">
        <v>33</v>
      </c>
      <c r="D2072">
        <v>29.25</v>
      </c>
      <c r="E2072">
        <v>29.931480716999999</v>
      </c>
      <c r="F2072">
        <v>-4.2573520015200002</v>
      </c>
      <c r="G2072">
        <v>11</v>
      </c>
    </row>
    <row r="2073" spans="1:12" x14ac:dyDescent="0.25">
      <c r="A2073" t="s">
        <v>3397</v>
      </c>
      <c r="B2073" s="8">
        <v>42167</v>
      </c>
      <c r="C2073">
        <v>277</v>
      </c>
      <c r="D2073">
        <v>18.350000000000001</v>
      </c>
      <c r="E2073">
        <v>37.967456453200001</v>
      </c>
      <c r="F2073">
        <v>-0.75820689917799999</v>
      </c>
      <c r="G2073">
        <v>1.1000000000000001</v>
      </c>
    </row>
    <row r="2074" spans="1:12" x14ac:dyDescent="0.25">
      <c r="A2074" t="s">
        <v>3397</v>
      </c>
      <c r="B2074" s="8">
        <v>42167</v>
      </c>
      <c r="C2074">
        <v>261</v>
      </c>
      <c r="D2074">
        <v>18.350000000000001</v>
      </c>
      <c r="E2074">
        <v>37.967456453200001</v>
      </c>
      <c r="F2074">
        <v>-0.75820689917799999</v>
      </c>
      <c r="G2074">
        <v>1.1000000000000001</v>
      </c>
    </row>
    <row r="2077" spans="1:12" ht="15.75" thickBot="1" x14ac:dyDescent="0.3"/>
    <row r="2078" spans="1:12" ht="32.25" customHeight="1" x14ac:dyDescent="0.25">
      <c r="A2078" s="37" t="s">
        <v>3398</v>
      </c>
      <c r="B2078" s="38" t="s">
        <v>311</v>
      </c>
      <c r="C2078" s="38" t="s">
        <v>1545</v>
      </c>
      <c r="D2078" s="38" t="s">
        <v>1527</v>
      </c>
      <c r="E2078" s="38" t="s">
        <v>1546</v>
      </c>
      <c r="F2078" s="38" t="s">
        <v>1547</v>
      </c>
      <c r="G2078" s="40" t="s">
        <v>1861</v>
      </c>
      <c r="H2078" s="38" t="s">
        <v>1862</v>
      </c>
      <c r="I2078" s="38"/>
      <c r="J2078" s="65" t="s">
        <v>1989</v>
      </c>
      <c r="K2078" s="66" t="s">
        <v>1990</v>
      </c>
      <c r="L2078" s="67" t="s">
        <v>1991</v>
      </c>
    </row>
    <row r="2079" spans="1:12" x14ac:dyDescent="0.25">
      <c r="A2079" s="30" t="s">
        <v>3399</v>
      </c>
      <c r="B2079" s="8">
        <v>42143</v>
      </c>
      <c r="C2079" s="30">
        <v>279</v>
      </c>
      <c r="D2079" s="30">
        <v>28.5</v>
      </c>
      <c r="E2079" s="30">
        <v>43.520889157600003</v>
      </c>
      <c r="F2079" s="30">
        <v>-0.59445077538400004</v>
      </c>
      <c r="G2079" s="30">
        <v>8</v>
      </c>
      <c r="H2079" s="30"/>
      <c r="I2079" s="30"/>
      <c r="J2079" s="68">
        <f>AVERAGE(D2079:D2216)</f>
        <v>29.356296296296275</v>
      </c>
      <c r="K2079" s="68">
        <f>_xlfn.STDEV.P(D2079:D2216)</f>
        <v>10.617177607851067</v>
      </c>
      <c r="L2079" s="68">
        <f>MEDIAN(D2079:D2216)</f>
        <v>28.95</v>
      </c>
    </row>
    <row r="2080" spans="1:12" x14ac:dyDescent="0.25">
      <c r="A2080" t="s">
        <v>3400</v>
      </c>
      <c r="B2080" s="8">
        <v>42144</v>
      </c>
      <c r="C2080">
        <v>277</v>
      </c>
      <c r="D2080">
        <v>22.6</v>
      </c>
      <c r="E2080">
        <v>43.159177509800003</v>
      </c>
      <c r="F2080">
        <v>-8.0642207777999992</v>
      </c>
      <c r="G2080">
        <v>8.1</v>
      </c>
    </row>
    <row r="2081" spans="1:7" x14ac:dyDescent="0.25">
      <c r="A2081" t="s">
        <v>3400</v>
      </c>
      <c r="B2081" s="8">
        <v>42144</v>
      </c>
      <c r="C2081">
        <v>257</v>
      </c>
      <c r="D2081">
        <v>22.6</v>
      </c>
      <c r="E2081">
        <v>43.159177509800003</v>
      </c>
      <c r="F2081">
        <v>-8.0642207777999992</v>
      </c>
      <c r="G2081">
        <v>8.1</v>
      </c>
    </row>
    <row r="2082" spans="1:7" x14ac:dyDescent="0.25">
      <c r="A2082" t="s">
        <v>3401</v>
      </c>
      <c r="B2082" s="8">
        <v>42145</v>
      </c>
      <c r="C2082">
        <v>223</v>
      </c>
      <c r="D2082">
        <v>23.6</v>
      </c>
      <c r="E2082">
        <v>37.641998134600001</v>
      </c>
      <c r="F2082">
        <v>-2.15334654185</v>
      </c>
      <c r="G2082">
        <v>-0.75</v>
      </c>
    </row>
    <row r="2083" spans="1:7" x14ac:dyDescent="0.25">
      <c r="A2083" t="s">
        <v>3402</v>
      </c>
      <c r="B2083" s="8">
        <v>42145</v>
      </c>
      <c r="C2083">
        <v>109</v>
      </c>
      <c r="D2083">
        <v>28.1</v>
      </c>
      <c r="E2083">
        <v>36.704494696899999</v>
      </c>
      <c r="F2083">
        <v>-1.8782391035799999</v>
      </c>
      <c r="G2083">
        <v>-0.75</v>
      </c>
    </row>
    <row r="2084" spans="1:7" x14ac:dyDescent="0.25">
      <c r="A2084" t="s">
        <v>3403</v>
      </c>
      <c r="B2084" s="8">
        <v>42145</v>
      </c>
      <c r="C2084">
        <v>34</v>
      </c>
      <c r="D2084">
        <v>24.1</v>
      </c>
      <c r="E2084">
        <v>35.1654235544</v>
      </c>
      <c r="F2084">
        <v>-9.3347102710899996</v>
      </c>
      <c r="G2084">
        <v>-0.75</v>
      </c>
    </row>
    <row r="2085" spans="1:7" x14ac:dyDescent="0.25">
      <c r="A2085" t="s">
        <v>3404</v>
      </c>
      <c r="B2085" s="8">
        <v>42145</v>
      </c>
      <c r="C2085">
        <v>114</v>
      </c>
      <c r="D2085">
        <v>21.25</v>
      </c>
      <c r="E2085">
        <v>33.947694208400002</v>
      </c>
      <c r="F2085">
        <v>-1.7294779519700001</v>
      </c>
      <c r="G2085">
        <v>3</v>
      </c>
    </row>
    <row r="2086" spans="1:7" x14ac:dyDescent="0.25">
      <c r="A2086" t="s">
        <v>3405</v>
      </c>
      <c r="B2086" s="8">
        <v>42146</v>
      </c>
      <c r="C2086">
        <v>278</v>
      </c>
      <c r="D2086">
        <v>29</v>
      </c>
      <c r="E2086">
        <v>51.422773176500002</v>
      </c>
      <c r="F2086">
        <v>-8.6024735774399996</v>
      </c>
      <c r="G2086">
        <v>6</v>
      </c>
    </row>
    <row r="2087" spans="1:7" x14ac:dyDescent="0.25">
      <c r="A2087" t="s">
        <v>3406</v>
      </c>
      <c r="B2087" s="8">
        <v>42146</v>
      </c>
      <c r="C2087">
        <v>58</v>
      </c>
      <c r="D2087">
        <v>18.25</v>
      </c>
      <c r="E2087">
        <v>33.3583072968</v>
      </c>
      <c r="F2087">
        <v>-0.72443558326799995</v>
      </c>
      <c r="G2087">
        <v>5</v>
      </c>
    </row>
    <row r="2088" spans="1:7" x14ac:dyDescent="0.25">
      <c r="A2088" t="s">
        <v>3407</v>
      </c>
      <c r="B2088" s="8">
        <v>42147</v>
      </c>
      <c r="C2088">
        <v>118</v>
      </c>
      <c r="D2088">
        <v>24.45</v>
      </c>
      <c r="E2088">
        <v>41.595223229299997</v>
      </c>
      <c r="F2088">
        <v>-0.67571694999800003</v>
      </c>
      <c r="G2088">
        <v>-0.75</v>
      </c>
    </row>
    <row r="2089" spans="1:7" x14ac:dyDescent="0.25">
      <c r="A2089" t="s">
        <v>3408</v>
      </c>
      <c r="B2089" s="8">
        <v>42147</v>
      </c>
      <c r="C2089">
        <v>61</v>
      </c>
      <c r="D2089">
        <v>28.95</v>
      </c>
      <c r="E2089">
        <v>40.482134772499997</v>
      </c>
      <c r="F2089">
        <v>-1.1880199867300001</v>
      </c>
      <c r="G2089">
        <v>-0.75</v>
      </c>
    </row>
    <row r="2090" spans="1:7" x14ac:dyDescent="0.25">
      <c r="A2090" t="s">
        <v>3409</v>
      </c>
      <c r="B2090" s="8">
        <v>42147</v>
      </c>
      <c r="C2090">
        <v>34</v>
      </c>
      <c r="D2090">
        <v>29.25</v>
      </c>
      <c r="E2090">
        <v>32.517300134800003</v>
      </c>
      <c r="F2090">
        <v>-1.4585381997</v>
      </c>
      <c r="G2090">
        <v>10</v>
      </c>
    </row>
    <row r="2091" spans="1:7" x14ac:dyDescent="0.25">
      <c r="A2091" t="s">
        <v>3410</v>
      </c>
      <c r="B2091" s="8">
        <v>42148</v>
      </c>
      <c r="C2091">
        <v>281</v>
      </c>
      <c r="D2091">
        <v>21.25</v>
      </c>
      <c r="E2091">
        <v>40.784982936600002</v>
      </c>
      <c r="F2091">
        <v>-1.36391979017</v>
      </c>
      <c r="G2091">
        <v>13</v>
      </c>
    </row>
    <row r="2092" spans="1:7" x14ac:dyDescent="0.25">
      <c r="A2092" t="s">
        <v>3411</v>
      </c>
      <c r="B2092" s="8">
        <v>42148</v>
      </c>
      <c r="C2092">
        <v>209</v>
      </c>
      <c r="D2092">
        <v>26.5</v>
      </c>
      <c r="E2092">
        <v>36.688411026700003</v>
      </c>
      <c r="F2092">
        <v>-0.37477766794700001</v>
      </c>
      <c r="G2092">
        <v>13</v>
      </c>
    </row>
    <row r="2093" spans="1:7" x14ac:dyDescent="0.25">
      <c r="A2093" t="s">
        <v>3412</v>
      </c>
      <c r="B2093" s="8">
        <v>42148</v>
      </c>
      <c r="C2093">
        <v>72</v>
      </c>
      <c r="D2093">
        <v>34</v>
      </c>
      <c r="E2093">
        <v>36.747437608799999</v>
      </c>
      <c r="F2093">
        <v>-4.21421536224</v>
      </c>
      <c r="G2093">
        <v>15</v>
      </c>
    </row>
    <row r="2094" spans="1:7" x14ac:dyDescent="0.25">
      <c r="A2094" t="s">
        <v>3413</v>
      </c>
      <c r="B2094" s="8">
        <v>42149</v>
      </c>
      <c r="C2094">
        <v>280</v>
      </c>
      <c r="D2094">
        <v>45.75</v>
      </c>
      <c r="E2094">
        <v>35.606320135600001</v>
      </c>
      <c r="F2094">
        <v>-4.7429779249999999</v>
      </c>
      <c r="G2094">
        <v>11</v>
      </c>
    </row>
    <row r="2095" spans="1:7" x14ac:dyDescent="0.25">
      <c r="A2095" t="s">
        <v>3414</v>
      </c>
      <c r="B2095" s="8">
        <v>42149</v>
      </c>
      <c r="C2095">
        <v>96</v>
      </c>
      <c r="D2095">
        <v>20</v>
      </c>
      <c r="E2095">
        <v>33.811173606899999</v>
      </c>
      <c r="F2095">
        <v>-1.4781038667399999</v>
      </c>
      <c r="G2095">
        <v>11</v>
      </c>
    </row>
    <row r="2096" spans="1:7" x14ac:dyDescent="0.25">
      <c r="A2096" t="s">
        <v>3415</v>
      </c>
      <c r="B2096" s="8">
        <v>42149</v>
      </c>
      <c r="C2096">
        <v>184</v>
      </c>
      <c r="D2096">
        <v>45.75</v>
      </c>
      <c r="E2096">
        <v>34.892273345500001</v>
      </c>
      <c r="F2096">
        <v>-7.7704036030600001</v>
      </c>
      <c r="G2096">
        <v>0.75</v>
      </c>
    </row>
    <row r="2097" spans="1:7" x14ac:dyDescent="0.25">
      <c r="A2097" t="s">
        <v>3416</v>
      </c>
      <c r="B2097" s="8">
        <v>42150</v>
      </c>
      <c r="C2097">
        <v>279</v>
      </c>
      <c r="D2097">
        <v>42.75</v>
      </c>
      <c r="E2097">
        <v>40.306387598999997</v>
      </c>
      <c r="F2097">
        <v>-0.816993655752</v>
      </c>
      <c r="G2097">
        <v>1.5</v>
      </c>
    </row>
    <row r="2098" spans="1:7" x14ac:dyDescent="0.25">
      <c r="A2098" t="s">
        <v>3417</v>
      </c>
      <c r="B2098" s="8">
        <v>42151</v>
      </c>
      <c r="C2098">
        <v>279</v>
      </c>
      <c r="D2098">
        <v>39.75</v>
      </c>
      <c r="E2098">
        <v>39.054148162899999</v>
      </c>
      <c r="F2098">
        <v>5.3218412940299997E-2</v>
      </c>
      <c r="G2098">
        <v>14</v>
      </c>
    </row>
    <row r="2099" spans="1:7" x14ac:dyDescent="0.25">
      <c r="A2099" t="s">
        <v>3418</v>
      </c>
      <c r="B2099" s="8">
        <v>42151</v>
      </c>
      <c r="C2099">
        <v>166</v>
      </c>
      <c r="D2099">
        <v>47.7</v>
      </c>
      <c r="E2099">
        <v>37.704925633099997</v>
      </c>
      <c r="F2099">
        <v>-2.0725281132800002</v>
      </c>
      <c r="G2099">
        <v>17.2</v>
      </c>
    </row>
    <row r="2100" spans="1:7" x14ac:dyDescent="0.25">
      <c r="A2100" t="s">
        <v>3419</v>
      </c>
      <c r="B2100" s="8">
        <v>42151</v>
      </c>
      <c r="C2100">
        <v>73</v>
      </c>
      <c r="D2100">
        <v>19.25</v>
      </c>
      <c r="E2100">
        <v>35.508412366999998</v>
      </c>
      <c r="F2100">
        <v>-7.8546259609899999E-2</v>
      </c>
      <c r="G2100">
        <v>14</v>
      </c>
    </row>
    <row r="2101" spans="1:7" x14ac:dyDescent="0.25">
      <c r="A2101" t="s">
        <v>3420</v>
      </c>
      <c r="B2101" s="8">
        <v>42151</v>
      </c>
      <c r="C2101">
        <v>93</v>
      </c>
      <c r="D2101">
        <v>24.95</v>
      </c>
      <c r="E2101">
        <v>36.034971776100001</v>
      </c>
      <c r="F2101">
        <v>-2.4707616112199999</v>
      </c>
      <c r="G2101">
        <v>17.2</v>
      </c>
    </row>
    <row r="2102" spans="1:7" x14ac:dyDescent="0.25">
      <c r="A2102" t="s">
        <v>3421</v>
      </c>
      <c r="B2102" s="8">
        <v>42152</v>
      </c>
      <c r="C2102">
        <v>140</v>
      </c>
      <c r="D2102">
        <v>44.2</v>
      </c>
      <c r="E2102">
        <v>36.577694059300001</v>
      </c>
      <c r="F2102">
        <v>-0.74224185475000004</v>
      </c>
      <c r="G2102">
        <v>23.2</v>
      </c>
    </row>
    <row r="2103" spans="1:7" x14ac:dyDescent="0.25">
      <c r="A2103" t="s">
        <v>3421</v>
      </c>
      <c r="B2103" s="8">
        <v>42152</v>
      </c>
      <c r="C2103">
        <v>140</v>
      </c>
      <c r="D2103">
        <v>44.2</v>
      </c>
      <c r="E2103">
        <v>36.577694059300001</v>
      </c>
      <c r="F2103">
        <v>-0.74224185475000004</v>
      </c>
      <c r="G2103">
        <v>23.2</v>
      </c>
    </row>
    <row r="2104" spans="1:7" x14ac:dyDescent="0.25">
      <c r="A2104" t="s">
        <v>3422</v>
      </c>
      <c r="B2104" s="8">
        <v>42152</v>
      </c>
      <c r="C2104">
        <v>93</v>
      </c>
      <c r="D2104">
        <v>39.5</v>
      </c>
      <c r="E2104">
        <v>33.875167149399999</v>
      </c>
      <c r="F2104">
        <v>-0.87595494418499997</v>
      </c>
      <c r="G2104">
        <v>21</v>
      </c>
    </row>
    <row r="2105" spans="1:7" x14ac:dyDescent="0.25">
      <c r="A2105" t="s">
        <v>3423</v>
      </c>
      <c r="B2105" s="8">
        <v>42152</v>
      </c>
      <c r="C2105">
        <v>113</v>
      </c>
      <c r="D2105">
        <v>43.5</v>
      </c>
      <c r="E2105">
        <v>34.444106799399997</v>
      </c>
      <c r="F2105">
        <v>-0.87934964931899995</v>
      </c>
      <c r="G2105">
        <v>21</v>
      </c>
    </row>
    <row r="2106" spans="1:7" x14ac:dyDescent="0.25">
      <c r="A2106" t="s">
        <v>3424</v>
      </c>
      <c r="B2106" s="8">
        <v>42153</v>
      </c>
      <c r="C2106">
        <v>281</v>
      </c>
      <c r="D2106">
        <v>34.450000000000003</v>
      </c>
      <c r="E2106">
        <v>49.849261350900001</v>
      </c>
      <c r="F2106">
        <v>-0.37518472803500003</v>
      </c>
      <c r="G2106">
        <v>12.2</v>
      </c>
    </row>
    <row r="2107" spans="1:7" x14ac:dyDescent="0.25">
      <c r="A2107" t="s">
        <v>3424</v>
      </c>
      <c r="B2107" s="8">
        <v>42153</v>
      </c>
      <c r="C2107">
        <v>263</v>
      </c>
      <c r="D2107">
        <v>34.450000000000003</v>
      </c>
      <c r="E2107">
        <v>49.849261350900001</v>
      </c>
      <c r="F2107">
        <v>-0.37518472803500003</v>
      </c>
      <c r="G2107">
        <v>12.2</v>
      </c>
    </row>
    <row r="2108" spans="1:7" x14ac:dyDescent="0.25">
      <c r="A2108" t="s">
        <v>3425</v>
      </c>
      <c r="B2108" s="8">
        <v>42154</v>
      </c>
      <c r="C2108">
        <v>262</v>
      </c>
      <c r="D2108">
        <v>31</v>
      </c>
      <c r="E2108">
        <v>42.4412211052</v>
      </c>
      <c r="F2108">
        <v>-7.38592178706</v>
      </c>
      <c r="G2108">
        <v>1</v>
      </c>
    </row>
    <row r="2109" spans="1:7" x14ac:dyDescent="0.25">
      <c r="A2109" t="s">
        <v>3426</v>
      </c>
      <c r="B2109" s="8">
        <v>42154</v>
      </c>
      <c r="C2109">
        <v>130</v>
      </c>
      <c r="D2109">
        <v>26.25</v>
      </c>
      <c r="E2109">
        <v>37.027548307099998</v>
      </c>
      <c r="F2109">
        <v>-1.6311258155599999</v>
      </c>
      <c r="G2109">
        <v>1</v>
      </c>
    </row>
    <row r="2110" spans="1:7" x14ac:dyDescent="0.25">
      <c r="A2110" t="s">
        <v>3427</v>
      </c>
      <c r="B2110" s="8">
        <v>42154</v>
      </c>
      <c r="C2110">
        <v>132</v>
      </c>
      <c r="D2110">
        <v>27.6</v>
      </c>
      <c r="E2110">
        <v>38.664404177999998</v>
      </c>
      <c r="F2110">
        <v>-6.2724741812699998</v>
      </c>
      <c r="G2110">
        <v>7.1</v>
      </c>
    </row>
    <row r="2111" spans="1:7" x14ac:dyDescent="0.25">
      <c r="A2111" t="s">
        <v>3428</v>
      </c>
      <c r="B2111" s="8">
        <v>42154</v>
      </c>
      <c r="C2111">
        <v>130</v>
      </c>
      <c r="D2111">
        <v>32.5</v>
      </c>
      <c r="E2111">
        <v>39.449165788599998</v>
      </c>
      <c r="F2111">
        <v>-6.2707236580499996</v>
      </c>
      <c r="G2111">
        <v>1</v>
      </c>
    </row>
    <row r="2112" spans="1:7" x14ac:dyDescent="0.25">
      <c r="A2112" t="s">
        <v>3429</v>
      </c>
      <c r="B2112" s="8">
        <v>42155</v>
      </c>
      <c r="C2112">
        <v>280</v>
      </c>
      <c r="D2112">
        <v>22.35</v>
      </c>
      <c r="E2112">
        <v>36.8085620787</v>
      </c>
      <c r="F2112">
        <v>-2.0287273452100001</v>
      </c>
      <c r="G2112">
        <v>-0.5</v>
      </c>
    </row>
    <row r="2113" spans="1:7" x14ac:dyDescent="0.25">
      <c r="A2113" t="s">
        <v>3430</v>
      </c>
      <c r="B2113" s="8">
        <v>42155</v>
      </c>
      <c r="C2113">
        <v>94</v>
      </c>
      <c r="D2113">
        <v>22.35</v>
      </c>
      <c r="E2113">
        <v>35.034022243199999</v>
      </c>
      <c r="F2113">
        <v>-0.42686377025400002</v>
      </c>
      <c r="G2113">
        <v>-0.5</v>
      </c>
    </row>
    <row r="2114" spans="1:7" x14ac:dyDescent="0.25">
      <c r="A2114" t="s">
        <v>3431</v>
      </c>
      <c r="B2114" s="8">
        <v>42155</v>
      </c>
      <c r="C2114">
        <v>186</v>
      </c>
      <c r="D2114">
        <v>33.75</v>
      </c>
      <c r="E2114">
        <v>35.166388726500003</v>
      </c>
      <c r="F2114">
        <v>-2.0925725777599999</v>
      </c>
      <c r="G2114">
        <v>1.75</v>
      </c>
    </row>
    <row r="2115" spans="1:7" x14ac:dyDescent="0.25">
      <c r="A2115" t="s">
        <v>3432</v>
      </c>
      <c r="B2115" s="8">
        <v>42155</v>
      </c>
      <c r="C2115">
        <v>112</v>
      </c>
      <c r="D2115">
        <v>42.95</v>
      </c>
      <c r="E2115">
        <v>34.218586479499997</v>
      </c>
      <c r="F2115">
        <v>-8.1615580588099998</v>
      </c>
      <c r="G2115">
        <v>8.1999999999999993</v>
      </c>
    </row>
    <row r="2116" spans="1:7" x14ac:dyDescent="0.25">
      <c r="A2116" t="s">
        <v>3433</v>
      </c>
      <c r="B2116" s="8">
        <v>42156</v>
      </c>
      <c r="C2116">
        <v>163</v>
      </c>
      <c r="D2116">
        <v>37.75</v>
      </c>
      <c r="E2116">
        <v>39.592881513599998</v>
      </c>
      <c r="F2116">
        <v>-5.5251906403</v>
      </c>
      <c r="G2116">
        <v>5.75</v>
      </c>
    </row>
    <row r="2117" spans="1:7" x14ac:dyDescent="0.25">
      <c r="A2117" t="s">
        <v>3434</v>
      </c>
      <c r="B2117" s="8">
        <v>42157</v>
      </c>
      <c r="C2117">
        <v>293</v>
      </c>
      <c r="D2117">
        <v>38.5</v>
      </c>
      <c r="E2117">
        <v>51.287205919599998</v>
      </c>
      <c r="F2117">
        <v>-8.6925630942800005</v>
      </c>
      <c r="G2117">
        <v>8</v>
      </c>
    </row>
    <row r="2118" spans="1:7" x14ac:dyDescent="0.25">
      <c r="A2118" t="s">
        <v>3434</v>
      </c>
      <c r="B2118" s="8">
        <v>42157</v>
      </c>
      <c r="C2118">
        <v>293</v>
      </c>
      <c r="D2118">
        <v>38.5</v>
      </c>
      <c r="E2118">
        <v>51.287205919599998</v>
      </c>
      <c r="F2118">
        <v>-8.6925630942800005</v>
      </c>
      <c r="G2118">
        <v>8</v>
      </c>
    </row>
    <row r="2119" spans="1:7" x14ac:dyDescent="0.25">
      <c r="A2119" t="s">
        <v>3435</v>
      </c>
      <c r="B2119" s="8">
        <v>42157</v>
      </c>
      <c r="C2119">
        <v>99</v>
      </c>
      <c r="D2119">
        <v>28.5</v>
      </c>
      <c r="E2119">
        <v>36.884437202900003</v>
      </c>
      <c r="F2119">
        <v>-2.5023778061300002</v>
      </c>
      <c r="G2119">
        <v>3</v>
      </c>
    </row>
    <row r="2120" spans="1:7" x14ac:dyDescent="0.25">
      <c r="A2120" t="s">
        <v>3436</v>
      </c>
      <c r="B2120" s="8">
        <v>42158</v>
      </c>
      <c r="C2120">
        <v>287</v>
      </c>
      <c r="D2120">
        <v>44.25</v>
      </c>
      <c r="E2120">
        <v>38.699875192100002</v>
      </c>
      <c r="F2120">
        <v>-9.8988643426599996</v>
      </c>
      <c r="G2120">
        <v>24</v>
      </c>
    </row>
    <row r="2121" spans="1:7" x14ac:dyDescent="0.25">
      <c r="A2121" t="s">
        <v>3437</v>
      </c>
      <c r="B2121" s="8">
        <v>42158</v>
      </c>
      <c r="C2121">
        <v>98</v>
      </c>
      <c r="D2121">
        <v>19.75</v>
      </c>
      <c r="E2121">
        <v>36.652411049900003</v>
      </c>
      <c r="F2121">
        <v>-9.8980521855599992</v>
      </c>
      <c r="G2121">
        <v>16</v>
      </c>
    </row>
    <row r="2122" spans="1:7" x14ac:dyDescent="0.25">
      <c r="A2122" t="s">
        <v>3438</v>
      </c>
      <c r="B2122" s="8">
        <v>42158</v>
      </c>
      <c r="C2122">
        <v>55</v>
      </c>
      <c r="D2122">
        <v>13.95</v>
      </c>
      <c r="E2122">
        <v>35.254381351399999</v>
      </c>
      <c r="F2122">
        <v>-9.9722161439099999</v>
      </c>
      <c r="G2122">
        <v>6.2</v>
      </c>
    </row>
    <row r="2123" spans="1:7" x14ac:dyDescent="0.25">
      <c r="A2123" t="s">
        <v>3439</v>
      </c>
      <c r="B2123" s="8">
        <v>42158</v>
      </c>
      <c r="C2123">
        <v>215</v>
      </c>
      <c r="D2123">
        <v>45</v>
      </c>
      <c r="E2123">
        <v>36.8719257797</v>
      </c>
      <c r="F2123">
        <v>-1.4225933498100001</v>
      </c>
      <c r="G2123">
        <v>24</v>
      </c>
    </row>
    <row r="2124" spans="1:7" x14ac:dyDescent="0.25">
      <c r="A2124" t="s">
        <v>3440</v>
      </c>
      <c r="B2124" s="8">
        <v>42159</v>
      </c>
      <c r="C2124">
        <v>190</v>
      </c>
      <c r="D2124">
        <v>23.95</v>
      </c>
      <c r="E2124">
        <v>45.838010728199997</v>
      </c>
      <c r="F2124">
        <v>-0.36856830162600002</v>
      </c>
      <c r="G2124">
        <v>6.2</v>
      </c>
    </row>
    <row r="2125" spans="1:7" x14ac:dyDescent="0.25">
      <c r="A2125" t="s">
        <v>3441</v>
      </c>
      <c r="B2125" s="8">
        <v>42159</v>
      </c>
      <c r="C2125">
        <v>130</v>
      </c>
      <c r="D2125">
        <v>22.95</v>
      </c>
      <c r="E2125">
        <v>45.644046004400003</v>
      </c>
      <c r="F2125">
        <v>-0.34480300242400003</v>
      </c>
      <c r="G2125">
        <v>6.2</v>
      </c>
    </row>
    <row r="2126" spans="1:7" x14ac:dyDescent="0.25">
      <c r="A2126" t="s">
        <v>3442</v>
      </c>
      <c r="B2126" s="8">
        <v>42159</v>
      </c>
      <c r="C2126">
        <v>60</v>
      </c>
      <c r="D2126">
        <v>32.75</v>
      </c>
      <c r="E2126">
        <v>31.1615612483</v>
      </c>
      <c r="F2126">
        <v>-1.0609460587199999</v>
      </c>
      <c r="G2126">
        <v>11</v>
      </c>
    </row>
    <row r="2127" spans="1:7" x14ac:dyDescent="0.25">
      <c r="A2127" t="s">
        <v>3443</v>
      </c>
      <c r="B2127" s="8">
        <v>42160</v>
      </c>
      <c r="C2127">
        <v>280</v>
      </c>
      <c r="D2127">
        <v>53.35</v>
      </c>
      <c r="E2127">
        <v>38.206764268199997</v>
      </c>
      <c r="F2127">
        <v>-0.78621204327000005</v>
      </c>
      <c r="G2127">
        <v>15.1</v>
      </c>
    </row>
    <row r="2128" spans="1:7" x14ac:dyDescent="0.25">
      <c r="A2128" t="s">
        <v>3444</v>
      </c>
      <c r="B2128" s="8">
        <v>42160</v>
      </c>
      <c r="C2128">
        <v>54</v>
      </c>
      <c r="D2128">
        <v>20.350000000000001</v>
      </c>
      <c r="E2128">
        <v>32.366401974600002</v>
      </c>
      <c r="F2128">
        <v>-0.45638751298899999</v>
      </c>
      <c r="G2128">
        <v>8.1</v>
      </c>
    </row>
    <row r="2129" spans="1:7" x14ac:dyDescent="0.25">
      <c r="A2129" t="s">
        <v>3445</v>
      </c>
      <c r="B2129" s="8">
        <v>42160</v>
      </c>
      <c r="C2129">
        <v>77</v>
      </c>
      <c r="D2129">
        <v>29</v>
      </c>
      <c r="E2129">
        <v>33.635197287499999</v>
      </c>
      <c r="F2129">
        <v>-0.62791066743400004</v>
      </c>
      <c r="G2129">
        <v>8</v>
      </c>
    </row>
    <row r="2130" spans="1:7" x14ac:dyDescent="0.25">
      <c r="A2130" t="s">
        <v>3446</v>
      </c>
      <c r="B2130" s="8">
        <v>42161</v>
      </c>
      <c r="C2130">
        <v>134</v>
      </c>
      <c r="D2130">
        <v>37.700000000000003</v>
      </c>
      <c r="E2130">
        <v>42.410127995300002</v>
      </c>
      <c r="F2130">
        <v>-2.2256017671800001</v>
      </c>
      <c r="G2130">
        <v>10.199999999999999</v>
      </c>
    </row>
    <row r="2131" spans="1:7" x14ac:dyDescent="0.25">
      <c r="A2131" t="s">
        <v>3447</v>
      </c>
      <c r="B2131" s="8">
        <v>42161</v>
      </c>
      <c r="C2131">
        <v>110</v>
      </c>
      <c r="D2131">
        <v>28.2</v>
      </c>
      <c r="E2131">
        <v>42.542704976099998</v>
      </c>
      <c r="F2131">
        <v>-2.04546154796</v>
      </c>
      <c r="G2131">
        <v>10.199999999999999</v>
      </c>
    </row>
    <row r="2132" spans="1:7" x14ac:dyDescent="0.25">
      <c r="A2132" t="s">
        <v>3448</v>
      </c>
      <c r="B2132" s="8">
        <v>42161</v>
      </c>
      <c r="C2132">
        <v>153</v>
      </c>
      <c r="D2132">
        <v>42.5</v>
      </c>
      <c r="E2132">
        <v>35.252143740100003</v>
      </c>
      <c r="F2132">
        <v>-0.48618963114699998</v>
      </c>
      <c r="G2132">
        <v>2.5</v>
      </c>
    </row>
    <row r="2133" spans="1:7" x14ac:dyDescent="0.25">
      <c r="A2133" t="s">
        <v>3449</v>
      </c>
      <c r="B2133" s="8">
        <v>42162</v>
      </c>
      <c r="C2133">
        <v>90</v>
      </c>
      <c r="D2133">
        <v>31.75</v>
      </c>
      <c r="E2133">
        <v>36.625053731900003</v>
      </c>
      <c r="F2133">
        <v>-3.1441685420100001</v>
      </c>
      <c r="G2133">
        <v>19</v>
      </c>
    </row>
    <row r="2134" spans="1:7" x14ac:dyDescent="0.25">
      <c r="A2134" t="s">
        <v>3450</v>
      </c>
      <c r="B2134" s="8">
        <v>42163</v>
      </c>
      <c r="C2134">
        <v>146</v>
      </c>
      <c r="D2134">
        <v>50.75</v>
      </c>
      <c r="E2134">
        <v>35.755814377</v>
      </c>
      <c r="F2134">
        <v>-0.88096858820299995</v>
      </c>
      <c r="G2134">
        <v>25</v>
      </c>
    </row>
    <row r="2135" spans="1:7" x14ac:dyDescent="0.25">
      <c r="A2135" t="s">
        <v>3451</v>
      </c>
      <c r="B2135" s="8">
        <v>42164</v>
      </c>
      <c r="C2135">
        <v>281</v>
      </c>
      <c r="D2135">
        <v>37.700000000000003</v>
      </c>
      <c r="E2135">
        <v>37.648757746900003</v>
      </c>
      <c r="F2135">
        <v>-1.40350181454</v>
      </c>
      <c r="G2135">
        <v>9.1999999999999993</v>
      </c>
    </row>
    <row r="2136" spans="1:7" x14ac:dyDescent="0.25">
      <c r="A2136" t="s">
        <v>3452</v>
      </c>
      <c r="B2136" s="8">
        <v>42165</v>
      </c>
      <c r="C2136">
        <v>280</v>
      </c>
      <c r="D2136">
        <v>16.75</v>
      </c>
      <c r="E2136">
        <v>37.028095056600002</v>
      </c>
      <c r="F2136">
        <v>-0.621171852292</v>
      </c>
      <c r="G2136">
        <v>-0.5</v>
      </c>
    </row>
    <row r="2137" spans="1:7" x14ac:dyDescent="0.25">
      <c r="A2137" t="s">
        <v>3453</v>
      </c>
      <c r="B2137" s="8">
        <v>42165</v>
      </c>
      <c r="C2137">
        <v>205</v>
      </c>
      <c r="D2137">
        <v>22</v>
      </c>
      <c r="E2137">
        <v>36.277530509800002</v>
      </c>
      <c r="F2137">
        <v>-0.96509038611499998</v>
      </c>
      <c r="G2137">
        <v>-0.5</v>
      </c>
    </row>
    <row r="2138" spans="1:7" x14ac:dyDescent="0.25">
      <c r="A2138" t="s">
        <v>3454</v>
      </c>
      <c r="B2138" s="8">
        <v>42165</v>
      </c>
      <c r="C2138">
        <v>57</v>
      </c>
      <c r="D2138">
        <v>22.35</v>
      </c>
      <c r="E2138">
        <v>32.502229693499999</v>
      </c>
      <c r="F2138">
        <v>-1.34298950515</v>
      </c>
      <c r="G2138">
        <v>9.1</v>
      </c>
    </row>
    <row r="2139" spans="1:7" x14ac:dyDescent="0.25">
      <c r="A2139" t="s">
        <v>3455</v>
      </c>
      <c r="B2139" s="8">
        <v>42166</v>
      </c>
      <c r="C2139">
        <v>106</v>
      </c>
      <c r="D2139">
        <v>27.75</v>
      </c>
      <c r="E2139">
        <v>37.142496719100002</v>
      </c>
      <c r="F2139">
        <v>-2.3311875458000002</v>
      </c>
      <c r="G2139">
        <v>2</v>
      </c>
    </row>
    <row r="2140" spans="1:7" x14ac:dyDescent="0.25">
      <c r="A2140" t="s">
        <v>3456</v>
      </c>
      <c r="B2140" s="8">
        <v>42166</v>
      </c>
      <c r="C2140">
        <v>33</v>
      </c>
      <c r="D2140">
        <v>30.25</v>
      </c>
      <c r="E2140">
        <v>30.4313525295</v>
      </c>
      <c r="F2140">
        <v>-0.95035084482599996</v>
      </c>
      <c r="G2140">
        <v>11</v>
      </c>
    </row>
    <row r="2141" spans="1:7" x14ac:dyDescent="0.25">
      <c r="A2141" t="s">
        <v>3457</v>
      </c>
      <c r="B2141" s="8">
        <v>42167</v>
      </c>
      <c r="C2141">
        <v>277</v>
      </c>
      <c r="D2141">
        <v>22.35</v>
      </c>
      <c r="E2141">
        <v>40.313280151500003</v>
      </c>
      <c r="F2141">
        <v>-3.3666000974500001</v>
      </c>
      <c r="G2141">
        <v>1.1000000000000001</v>
      </c>
    </row>
    <row r="2142" spans="1:7" x14ac:dyDescent="0.25">
      <c r="A2142" t="s">
        <v>3457</v>
      </c>
      <c r="B2142" s="8">
        <v>42167</v>
      </c>
      <c r="C2142">
        <v>261</v>
      </c>
      <c r="D2142">
        <v>22.35</v>
      </c>
      <c r="E2142">
        <v>40.313280151500003</v>
      </c>
      <c r="F2142">
        <v>-3.3666000974500001</v>
      </c>
      <c r="G2142">
        <v>1.1000000000000001</v>
      </c>
    </row>
    <row r="2143" spans="1:7" x14ac:dyDescent="0.25">
      <c r="B2143" s="8"/>
    </row>
    <row r="2144" spans="1:7" ht="15.75" thickBot="1" x14ac:dyDescent="0.3">
      <c r="B2144" s="8"/>
    </row>
    <row r="2145" spans="1:12" ht="29.25" customHeight="1" x14ac:dyDescent="0.25">
      <c r="A2145" s="37" t="s">
        <v>3458</v>
      </c>
      <c r="B2145" s="38" t="s">
        <v>311</v>
      </c>
      <c r="C2145" s="38" t="s">
        <v>1545</v>
      </c>
      <c r="D2145" s="38" t="s">
        <v>1527</v>
      </c>
      <c r="E2145" s="38" t="s">
        <v>1546</v>
      </c>
      <c r="F2145" s="38" t="s">
        <v>1547</v>
      </c>
      <c r="G2145" s="40" t="s">
        <v>1861</v>
      </c>
      <c r="H2145" s="38" t="s">
        <v>1862</v>
      </c>
      <c r="I2145" s="38"/>
      <c r="J2145" s="65" t="s">
        <v>1989</v>
      </c>
      <c r="K2145" s="66" t="s">
        <v>1990</v>
      </c>
      <c r="L2145" s="67" t="s">
        <v>1991</v>
      </c>
    </row>
    <row r="2146" spans="1:12" x14ac:dyDescent="0.25">
      <c r="A2146" s="30" t="s">
        <v>3459</v>
      </c>
      <c r="B2146" s="8">
        <v>42138</v>
      </c>
      <c r="C2146" s="30">
        <v>207</v>
      </c>
      <c r="D2146" s="30">
        <v>40.25</v>
      </c>
      <c r="E2146" s="30">
        <v>44.390866985300001</v>
      </c>
      <c r="F2146" s="30">
        <v>-3.0989340104599998</v>
      </c>
      <c r="G2146" s="30">
        <v>14</v>
      </c>
      <c r="H2146" s="30"/>
      <c r="I2146" s="30"/>
      <c r="J2146" s="68">
        <f>AVERAGE(D2146:D2283)</f>
        <v>29.509057971014467</v>
      </c>
      <c r="K2146" s="68">
        <f>_xlfn.STDEV.P(D2146:D2283)</f>
        <v>10.762877752644961</v>
      </c>
      <c r="L2146" s="68">
        <f>MEDIAN(D2146:D2283)</f>
        <v>29</v>
      </c>
    </row>
    <row r="2147" spans="1:12" x14ac:dyDescent="0.25">
      <c r="A2147" s="30" t="s">
        <v>3460</v>
      </c>
      <c r="B2147" s="8">
        <v>42138</v>
      </c>
      <c r="C2147" s="30">
        <v>94</v>
      </c>
      <c r="D2147" s="30">
        <v>32.1</v>
      </c>
      <c r="E2147" s="30">
        <v>36.243912829400003</v>
      </c>
      <c r="F2147" s="30">
        <v>-9.9028127989900003</v>
      </c>
      <c r="G2147" s="30">
        <v>-0.75</v>
      </c>
    </row>
    <row r="2148" spans="1:12" x14ac:dyDescent="0.25">
      <c r="A2148" t="s">
        <v>3461</v>
      </c>
      <c r="B2148" s="8">
        <v>42138</v>
      </c>
      <c r="C2148">
        <v>113</v>
      </c>
      <c r="D2148">
        <v>44.5</v>
      </c>
      <c r="E2148">
        <v>43.337128333099997</v>
      </c>
      <c r="F2148">
        <v>-3.2363988151899998</v>
      </c>
      <c r="G2148">
        <v>14</v>
      </c>
    </row>
    <row r="2149" spans="1:12" x14ac:dyDescent="0.25">
      <c r="A2149" t="s">
        <v>3462</v>
      </c>
      <c r="B2149" s="8">
        <v>42138</v>
      </c>
      <c r="C2149">
        <v>37</v>
      </c>
      <c r="D2149">
        <v>20.6</v>
      </c>
      <c r="E2149">
        <v>33.848101492799998</v>
      </c>
      <c r="F2149">
        <v>-9.97306583642</v>
      </c>
      <c r="G2149">
        <v>-0.75</v>
      </c>
    </row>
    <row r="2150" spans="1:12" x14ac:dyDescent="0.25">
      <c r="A2150" t="s">
        <v>3463</v>
      </c>
      <c r="B2150" s="8">
        <v>42139</v>
      </c>
      <c r="C2150">
        <v>279</v>
      </c>
      <c r="D2150">
        <v>8.85</v>
      </c>
      <c r="E2150">
        <v>38.620081847599998</v>
      </c>
      <c r="F2150">
        <v>-1.11891855165</v>
      </c>
      <c r="G2150">
        <v>1.1000000000000001</v>
      </c>
    </row>
    <row r="2151" spans="1:12" x14ac:dyDescent="0.25">
      <c r="A2151" t="s">
        <v>3463</v>
      </c>
      <c r="B2151" s="8">
        <v>42139</v>
      </c>
      <c r="C2151">
        <v>262</v>
      </c>
      <c r="D2151">
        <v>8.85</v>
      </c>
      <c r="E2151">
        <v>38.620081847599998</v>
      </c>
      <c r="F2151">
        <v>-1.11891855165</v>
      </c>
      <c r="G2151">
        <v>1.1000000000000001</v>
      </c>
    </row>
    <row r="2152" spans="1:12" x14ac:dyDescent="0.25">
      <c r="A2152" t="s">
        <v>3464</v>
      </c>
      <c r="B2152" s="8">
        <v>42140</v>
      </c>
      <c r="C2152">
        <v>275</v>
      </c>
      <c r="D2152">
        <v>35.25</v>
      </c>
      <c r="E2152">
        <v>42.618126301799997</v>
      </c>
      <c r="F2152">
        <v>-6.0693107520199998</v>
      </c>
      <c r="G2152">
        <v>10</v>
      </c>
    </row>
    <row r="2153" spans="1:12" x14ac:dyDescent="0.25">
      <c r="A2153" t="s">
        <v>3465</v>
      </c>
      <c r="B2153" s="8">
        <v>42140</v>
      </c>
      <c r="C2153">
        <v>71</v>
      </c>
      <c r="D2153">
        <v>35.75</v>
      </c>
      <c r="E2153">
        <v>35.628061530700002</v>
      </c>
      <c r="F2153">
        <v>-1.7564403178700001</v>
      </c>
      <c r="G2153">
        <v>1</v>
      </c>
    </row>
    <row r="2154" spans="1:12" x14ac:dyDescent="0.25">
      <c r="A2154" t="s">
        <v>3466</v>
      </c>
      <c r="B2154" s="8">
        <v>42140</v>
      </c>
      <c r="C2154">
        <v>204</v>
      </c>
      <c r="D2154">
        <v>35.75</v>
      </c>
      <c r="E2154">
        <v>42.291145355700003</v>
      </c>
      <c r="F2154">
        <v>-6.7149556287200003</v>
      </c>
      <c r="G2154">
        <v>10</v>
      </c>
    </row>
    <row r="2155" spans="1:12" x14ac:dyDescent="0.25">
      <c r="A2155" t="s">
        <v>3467</v>
      </c>
      <c r="B2155" s="8">
        <v>42141</v>
      </c>
      <c r="C2155">
        <v>279</v>
      </c>
      <c r="D2155">
        <v>7.25</v>
      </c>
      <c r="E2155">
        <v>42.593347508800001</v>
      </c>
      <c r="F2155">
        <v>-3.4116790111199999</v>
      </c>
      <c r="G2155">
        <v>-0.5</v>
      </c>
    </row>
    <row r="2156" spans="1:12" x14ac:dyDescent="0.25">
      <c r="A2156" t="s">
        <v>3468</v>
      </c>
      <c r="B2156" s="8">
        <v>42141</v>
      </c>
      <c r="C2156">
        <v>97</v>
      </c>
      <c r="D2156">
        <v>23.75</v>
      </c>
      <c r="E2156">
        <v>38.861319130200002</v>
      </c>
      <c r="F2156">
        <v>-1.5814313762400001</v>
      </c>
      <c r="G2156">
        <v>18</v>
      </c>
    </row>
    <row r="2157" spans="1:12" x14ac:dyDescent="0.25">
      <c r="A2157" t="s">
        <v>3469</v>
      </c>
      <c r="B2157" s="8">
        <v>42141</v>
      </c>
      <c r="C2157">
        <v>187</v>
      </c>
      <c r="D2157">
        <v>6.75</v>
      </c>
      <c r="E2157">
        <v>40.7588791079</v>
      </c>
      <c r="F2157">
        <v>-1.25172674955</v>
      </c>
      <c r="G2157">
        <v>-0.5</v>
      </c>
    </row>
    <row r="2158" spans="1:12" x14ac:dyDescent="0.25">
      <c r="A2158" t="s">
        <v>3470</v>
      </c>
      <c r="B2158" s="8">
        <v>42141</v>
      </c>
      <c r="C2158">
        <v>92</v>
      </c>
      <c r="D2158">
        <v>21.5</v>
      </c>
      <c r="E2158">
        <v>35.6271113492</v>
      </c>
      <c r="F2158">
        <v>-3.8620417808499998</v>
      </c>
      <c r="G2158">
        <v>13</v>
      </c>
    </row>
    <row r="2159" spans="1:12" x14ac:dyDescent="0.25">
      <c r="A2159" t="s">
        <v>3471</v>
      </c>
      <c r="B2159" s="8">
        <v>42142</v>
      </c>
      <c r="C2159">
        <v>130</v>
      </c>
      <c r="D2159">
        <v>23</v>
      </c>
      <c r="E2159">
        <v>36.731089905200001</v>
      </c>
      <c r="F2159">
        <v>-1.0816627455700001</v>
      </c>
      <c r="G2159">
        <v>14</v>
      </c>
    </row>
    <row r="2160" spans="1:12" x14ac:dyDescent="0.25">
      <c r="A2160" t="s">
        <v>3472</v>
      </c>
      <c r="B2160" s="8">
        <v>42142</v>
      </c>
      <c r="C2160">
        <v>110</v>
      </c>
      <c r="D2160">
        <v>15</v>
      </c>
      <c r="E2160">
        <v>36.708425015899998</v>
      </c>
      <c r="F2160">
        <v>-1.8319629046999999</v>
      </c>
      <c r="G2160">
        <v>14</v>
      </c>
    </row>
    <row r="2161" spans="1:7" x14ac:dyDescent="0.25">
      <c r="A2161" t="s">
        <v>3473</v>
      </c>
      <c r="B2161" s="8">
        <v>42137</v>
      </c>
      <c r="C2161">
        <v>39</v>
      </c>
      <c r="D2161">
        <v>24.5</v>
      </c>
      <c r="E2161">
        <v>33.524674765699999</v>
      </c>
      <c r="F2161">
        <v>-0.81459469364399995</v>
      </c>
      <c r="G2161">
        <v>18</v>
      </c>
    </row>
    <row r="2162" spans="1:7" x14ac:dyDescent="0.25">
      <c r="A2162" t="s">
        <v>3474</v>
      </c>
      <c r="B2162" s="8">
        <v>42136</v>
      </c>
      <c r="C2162">
        <v>278</v>
      </c>
      <c r="D2162">
        <v>30.75</v>
      </c>
      <c r="E2162">
        <v>38.961606160499997</v>
      </c>
      <c r="F2162">
        <v>-1.17231875442</v>
      </c>
      <c r="G2162">
        <v>21</v>
      </c>
    </row>
    <row r="2163" spans="1:7" x14ac:dyDescent="0.25">
      <c r="A2163" t="s">
        <v>3474</v>
      </c>
      <c r="B2163" s="8">
        <v>42136</v>
      </c>
      <c r="C2163">
        <v>258</v>
      </c>
      <c r="D2163">
        <v>30.75</v>
      </c>
      <c r="E2163">
        <v>38.961606160499997</v>
      </c>
      <c r="F2163">
        <v>-1.17231875442</v>
      </c>
      <c r="G2163">
        <v>21</v>
      </c>
    </row>
    <row r="2164" spans="1:7" x14ac:dyDescent="0.25">
      <c r="A2164" t="s">
        <v>3042</v>
      </c>
      <c r="B2164" s="8">
        <v>42136</v>
      </c>
      <c r="C2164">
        <v>113</v>
      </c>
      <c r="D2164">
        <v>22.95</v>
      </c>
      <c r="E2164">
        <v>35.454544784799999</v>
      </c>
      <c r="F2164">
        <v>-0.19138678469000001</v>
      </c>
      <c r="G2164">
        <v>11.2</v>
      </c>
    </row>
    <row r="2165" spans="1:7" x14ac:dyDescent="0.25">
      <c r="A2165" t="s">
        <v>3475</v>
      </c>
      <c r="B2165" s="8">
        <v>42136</v>
      </c>
      <c r="C2165">
        <v>92</v>
      </c>
      <c r="D2165">
        <v>10.1</v>
      </c>
      <c r="E2165">
        <v>37.3544471254</v>
      </c>
      <c r="F2165">
        <v>-1.2101327910799999</v>
      </c>
      <c r="G2165">
        <v>-2.9</v>
      </c>
    </row>
    <row r="2166" spans="1:7" x14ac:dyDescent="0.25">
      <c r="A2166" t="s">
        <v>3476</v>
      </c>
      <c r="B2166" s="8">
        <v>42136</v>
      </c>
      <c r="C2166">
        <v>73</v>
      </c>
      <c r="D2166">
        <v>40.25</v>
      </c>
      <c r="E2166">
        <v>35.8568171744</v>
      </c>
      <c r="F2166">
        <v>-0.869625972483</v>
      </c>
      <c r="G2166">
        <v>21</v>
      </c>
    </row>
    <row r="2167" spans="1:7" x14ac:dyDescent="0.25">
      <c r="A2167" t="s">
        <v>3477</v>
      </c>
      <c r="B2167" s="8">
        <v>42135</v>
      </c>
      <c r="C2167">
        <v>184</v>
      </c>
      <c r="D2167">
        <v>33.75</v>
      </c>
      <c r="E2167">
        <v>41.5201998187</v>
      </c>
      <c r="F2167">
        <v>-2.7324253324400001</v>
      </c>
      <c r="G2167">
        <v>11</v>
      </c>
    </row>
    <row r="2168" spans="1:7" x14ac:dyDescent="0.25">
      <c r="A2168" t="s">
        <v>3478</v>
      </c>
      <c r="B2168" s="8">
        <v>42135</v>
      </c>
      <c r="C2168">
        <v>55</v>
      </c>
      <c r="D2168">
        <v>27</v>
      </c>
      <c r="E2168">
        <v>37.911938167000002</v>
      </c>
      <c r="F2168">
        <v>-3.2242857746800002</v>
      </c>
      <c r="G2168">
        <v>11</v>
      </c>
    </row>
    <row r="2169" spans="1:7" x14ac:dyDescent="0.25">
      <c r="A2169" t="s">
        <v>3479</v>
      </c>
      <c r="B2169" s="8">
        <v>42135</v>
      </c>
      <c r="C2169">
        <v>37</v>
      </c>
      <c r="D2169">
        <v>28</v>
      </c>
      <c r="E2169">
        <v>32.914490426699999</v>
      </c>
      <c r="F2169">
        <v>-0.240839481158</v>
      </c>
      <c r="G2169">
        <v>6</v>
      </c>
    </row>
    <row r="2170" spans="1:7" x14ac:dyDescent="0.25">
      <c r="A2170" t="s">
        <v>3480</v>
      </c>
      <c r="B2170" s="8">
        <v>42134</v>
      </c>
      <c r="C2170">
        <v>280</v>
      </c>
      <c r="D2170">
        <v>32.700000000000003</v>
      </c>
      <c r="E2170">
        <v>41.553863279600002</v>
      </c>
      <c r="F2170">
        <v>-8.6061486258900004</v>
      </c>
      <c r="G2170">
        <v>-0.75</v>
      </c>
    </row>
    <row r="2171" spans="1:7" x14ac:dyDescent="0.25">
      <c r="A2171" t="s">
        <v>3481</v>
      </c>
      <c r="B2171" s="8">
        <v>42134</v>
      </c>
      <c r="C2171">
        <v>169</v>
      </c>
      <c r="D2171">
        <v>43.25</v>
      </c>
      <c r="E2171">
        <v>39.861102899800002</v>
      </c>
      <c r="F2171">
        <v>-1.3804595508899999</v>
      </c>
      <c r="G2171">
        <v>26</v>
      </c>
    </row>
    <row r="2172" spans="1:7" x14ac:dyDescent="0.25">
      <c r="A2172" t="s">
        <v>3482</v>
      </c>
      <c r="B2172" s="8">
        <v>42134</v>
      </c>
      <c r="C2172">
        <v>91</v>
      </c>
      <c r="D2172">
        <v>20.95</v>
      </c>
      <c r="E2172">
        <v>36.339182412299998</v>
      </c>
      <c r="F2172">
        <v>-1.91495022661</v>
      </c>
      <c r="G2172">
        <v>-0.75</v>
      </c>
    </row>
    <row r="2173" spans="1:7" x14ac:dyDescent="0.25">
      <c r="A2173" t="s">
        <v>3483</v>
      </c>
      <c r="B2173" s="8">
        <v>42133</v>
      </c>
      <c r="C2173">
        <v>158</v>
      </c>
      <c r="D2173">
        <v>33.6</v>
      </c>
      <c r="E2173">
        <v>36.617717082200002</v>
      </c>
      <c r="F2173">
        <v>-2.4645635374600001</v>
      </c>
      <c r="G2173">
        <v>15.1</v>
      </c>
    </row>
    <row r="2174" spans="1:7" x14ac:dyDescent="0.25">
      <c r="A2174" t="s">
        <v>3484</v>
      </c>
      <c r="B2174" s="8">
        <v>42133</v>
      </c>
      <c r="C2174">
        <v>57</v>
      </c>
      <c r="D2174">
        <v>27.2</v>
      </c>
      <c r="E2174">
        <v>32.663577149200002</v>
      </c>
      <c r="F2174">
        <v>-1.18871066583</v>
      </c>
      <c r="G2174">
        <v>6.2</v>
      </c>
    </row>
    <row r="2175" spans="1:7" x14ac:dyDescent="0.25">
      <c r="A2175" t="s">
        <v>3485</v>
      </c>
      <c r="B2175" s="8">
        <v>42132</v>
      </c>
      <c r="C2175">
        <v>263</v>
      </c>
      <c r="D2175">
        <v>21.5</v>
      </c>
      <c r="E2175">
        <v>40.249989667100003</v>
      </c>
      <c r="F2175">
        <v>-8.4654095033800001</v>
      </c>
      <c r="G2175">
        <v>-0.5</v>
      </c>
    </row>
    <row r="2176" spans="1:7" x14ac:dyDescent="0.25">
      <c r="A2176" t="s">
        <v>3486</v>
      </c>
      <c r="B2176" s="8">
        <v>42131</v>
      </c>
      <c r="C2176">
        <v>112</v>
      </c>
      <c r="D2176">
        <v>48.85</v>
      </c>
      <c r="E2176">
        <v>35.354079370699999</v>
      </c>
      <c r="F2176">
        <v>-2.1251045247300002</v>
      </c>
      <c r="G2176">
        <v>12.1</v>
      </c>
    </row>
    <row r="2177" spans="1:7" x14ac:dyDescent="0.25">
      <c r="A2177" t="s">
        <v>3487</v>
      </c>
      <c r="B2177" s="8">
        <v>42130</v>
      </c>
      <c r="C2177">
        <v>224</v>
      </c>
      <c r="D2177">
        <v>36.6</v>
      </c>
      <c r="E2177">
        <v>38.0422784744</v>
      </c>
      <c r="F2177">
        <v>-1.7845585525600001</v>
      </c>
      <c r="G2177">
        <v>6.1</v>
      </c>
    </row>
    <row r="2178" spans="1:7" x14ac:dyDescent="0.25">
      <c r="A2178" t="s">
        <v>3488</v>
      </c>
      <c r="B2178" s="8">
        <v>42129</v>
      </c>
      <c r="C2178">
        <v>262</v>
      </c>
      <c r="D2178">
        <v>28.2</v>
      </c>
      <c r="E2178">
        <v>42.524656371200003</v>
      </c>
      <c r="F2178">
        <v>-9.8415657083700001</v>
      </c>
      <c r="G2178">
        <v>18.2</v>
      </c>
    </row>
    <row r="2179" spans="1:7" x14ac:dyDescent="0.25">
      <c r="A2179" t="s">
        <v>3489</v>
      </c>
      <c r="B2179" s="8">
        <v>42128</v>
      </c>
      <c r="C2179">
        <v>188</v>
      </c>
      <c r="D2179">
        <v>33.35</v>
      </c>
      <c r="E2179">
        <v>44.213635545599999</v>
      </c>
      <c r="F2179">
        <v>-5.5187569773199998</v>
      </c>
      <c r="G2179">
        <v>-1</v>
      </c>
    </row>
    <row r="2180" spans="1:7" x14ac:dyDescent="0.25">
      <c r="A2180" t="s">
        <v>3490</v>
      </c>
      <c r="B2180" s="8">
        <v>42128</v>
      </c>
      <c r="C2180">
        <v>58</v>
      </c>
      <c r="D2180">
        <v>52.75</v>
      </c>
      <c r="E2180">
        <v>34.704482162300003</v>
      </c>
      <c r="F2180">
        <v>-5.4159414589899999</v>
      </c>
      <c r="G2180">
        <v>15</v>
      </c>
    </row>
    <row r="2181" spans="1:7" x14ac:dyDescent="0.25">
      <c r="A2181" t="s">
        <v>3491</v>
      </c>
      <c r="B2181" s="8">
        <v>42128</v>
      </c>
      <c r="C2181">
        <v>38</v>
      </c>
      <c r="D2181">
        <v>24.6</v>
      </c>
      <c r="E2181">
        <v>32.831329644199997</v>
      </c>
      <c r="F2181">
        <v>-0.75757025420699997</v>
      </c>
      <c r="G2181">
        <v>0.5</v>
      </c>
    </row>
    <row r="2182" spans="1:7" x14ac:dyDescent="0.25">
      <c r="A2182" t="s">
        <v>3492</v>
      </c>
      <c r="B2182" s="8">
        <v>42127</v>
      </c>
      <c r="C2182">
        <v>73</v>
      </c>
      <c r="D2182">
        <v>22.35</v>
      </c>
      <c r="E2182">
        <v>34.754333266400003</v>
      </c>
      <c r="F2182">
        <v>-2.3056485425100002</v>
      </c>
      <c r="G2182">
        <v>11.1</v>
      </c>
    </row>
    <row r="2183" spans="1:7" x14ac:dyDescent="0.25">
      <c r="A2183" t="s">
        <v>3493</v>
      </c>
      <c r="B2183" s="8">
        <v>42126</v>
      </c>
      <c r="C2183">
        <v>279</v>
      </c>
      <c r="D2183">
        <v>20</v>
      </c>
      <c r="E2183">
        <v>43.708728910300003</v>
      </c>
      <c r="F2183">
        <v>-0.48371742041600002</v>
      </c>
      <c r="G2183">
        <v>10</v>
      </c>
    </row>
    <row r="2184" spans="1:7" x14ac:dyDescent="0.25">
      <c r="A2184" t="s">
        <v>3494</v>
      </c>
      <c r="B2184" s="8">
        <v>42126</v>
      </c>
      <c r="C2184">
        <v>129</v>
      </c>
      <c r="D2184">
        <v>30.5</v>
      </c>
      <c r="E2184">
        <v>41.384446773299999</v>
      </c>
      <c r="F2184">
        <v>-0.48965582586799999</v>
      </c>
      <c r="G2184">
        <v>0.75</v>
      </c>
    </row>
    <row r="2185" spans="1:7" x14ac:dyDescent="0.25">
      <c r="A2185" t="s">
        <v>3495</v>
      </c>
      <c r="B2185" s="8">
        <v>42126</v>
      </c>
      <c r="C2185">
        <v>150</v>
      </c>
      <c r="D2185">
        <v>52.25</v>
      </c>
      <c r="E2185">
        <v>37.466707482700002</v>
      </c>
      <c r="F2185">
        <v>-0.201207772003</v>
      </c>
      <c r="G2185">
        <v>10</v>
      </c>
    </row>
    <row r="2186" spans="1:7" x14ac:dyDescent="0.25">
      <c r="A2186" t="s">
        <v>3496</v>
      </c>
      <c r="B2186" s="8">
        <v>42126</v>
      </c>
      <c r="C2186">
        <v>54</v>
      </c>
      <c r="D2186">
        <v>32.5</v>
      </c>
      <c r="E2186">
        <v>36.268757439200002</v>
      </c>
      <c r="F2186">
        <v>-0.64654497280000001</v>
      </c>
      <c r="G2186">
        <v>4</v>
      </c>
    </row>
    <row r="2187" spans="1:7" x14ac:dyDescent="0.25">
      <c r="A2187" t="s">
        <v>3497</v>
      </c>
      <c r="B2187" s="8">
        <v>42125</v>
      </c>
      <c r="C2187">
        <v>260</v>
      </c>
      <c r="D2187">
        <v>21</v>
      </c>
      <c r="E2187">
        <v>38.885163774200002</v>
      </c>
      <c r="F2187">
        <v>-3.0556625089299998</v>
      </c>
      <c r="G2187">
        <v>-0.25</v>
      </c>
    </row>
    <row r="2188" spans="1:7" x14ac:dyDescent="0.25">
      <c r="A2188" t="s">
        <v>3498</v>
      </c>
      <c r="B2188" s="8">
        <v>42125</v>
      </c>
      <c r="C2188">
        <v>98</v>
      </c>
      <c r="D2188">
        <v>19.5</v>
      </c>
      <c r="E2188">
        <v>33.673812617400003</v>
      </c>
      <c r="F2188">
        <v>-0.49351959290500003</v>
      </c>
      <c r="G2188">
        <v>-0.5</v>
      </c>
    </row>
    <row r="2189" spans="1:7" x14ac:dyDescent="0.25">
      <c r="A2189" t="s">
        <v>3499</v>
      </c>
      <c r="B2189" s="8">
        <v>42123</v>
      </c>
      <c r="C2189">
        <v>146</v>
      </c>
      <c r="D2189">
        <v>34.75</v>
      </c>
      <c r="E2189">
        <v>37.404087430099999</v>
      </c>
      <c r="F2189">
        <v>-8.7442622345299998</v>
      </c>
      <c r="G2189">
        <v>13</v>
      </c>
    </row>
    <row r="2190" spans="1:7" x14ac:dyDescent="0.25">
      <c r="A2190" t="s">
        <v>3500</v>
      </c>
      <c r="B2190" s="8">
        <v>42123</v>
      </c>
      <c r="C2190">
        <v>58</v>
      </c>
      <c r="D2190">
        <v>5.85</v>
      </c>
      <c r="E2190">
        <v>37.114673722100001</v>
      </c>
      <c r="F2190">
        <v>-1.5832402292500001</v>
      </c>
      <c r="G2190">
        <v>1.1000000000000001</v>
      </c>
    </row>
    <row r="2191" spans="1:7" x14ac:dyDescent="0.25">
      <c r="A2191" t="s">
        <v>3501</v>
      </c>
      <c r="B2191" s="8">
        <v>42122</v>
      </c>
      <c r="C2191">
        <v>219</v>
      </c>
      <c r="D2191">
        <v>36.5</v>
      </c>
      <c r="E2191">
        <v>42.047044766600003</v>
      </c>
      <c r="F2191">
        <v>-8.9804671679200005</v>
      </c>
      <c r="G2191">
        <v>16</v>
      </c>
    </row>
    <row r="2192" spans="1:7" x14ac:dyDescent="0.25">
      <c r="A2192" t="s">
        <v>3502</v>
      </c>
      <c r="B2192" s="8">
        <v>42122</v>
      </c>
      <c r="C2192">
        <v>113</v>
      </c>
      <c r="D2192">
        <v>44</v>
      </c>
      <c r="E2192">
        <v>39.971813526200002</v>
      </c>
      <c r="F2192">
        <v>-8.8734003037099995</v>
      </c>
      <c r="G2192">
        <v>16</v>
      </c>
    </row>
    <row r="2193" spans="1:7" x14ac:dyDescent="0.25">
      <c r="A2193" t="s">
        <v>3503</v>
      </c>
      <c r="B2193" s="8">
        <v>42121</v>
      </c>
      <c r="C2193">
        <v>242</v>
      </c>
      <c r="D2193">
        <v>22.75</v>
      </c>
      <c r="E2193">
        <v>41.9381803088</v>
      </c>
      <c r="F2193">
        <v>-2.6972630799399999</v>
      </c>
      <c r="G2193">
        <v>-0.5</v>
      </c>
    </row>
    <row r="2194" spans="1:7" x14ac:dyDescent="0.25">
      <c r="A2194" t="s">
        <v>3504</v>
      </c>
      <c r="B2194" s="8">
        <v>42121</v>
      </c>
      <c r="C2194">
        <v>203</v>
      </c>
      <c r="D2194">
        <v>17</v>
      </c>
      <c r="E2194">
        <v>38.9916969935</v>
      </c>
      <c r="F2194">
        <v>-1.58984453656</v>
      </c>
      <c r="G2194">
        <v>-0.5</v>
      </c>
    </row>
    <row r="2195" spans="1:7" x14ac:dyDescent="0.25">
      <c r="A2195" t="s">
        <v>3505</v>
      </c>
      <c r="B2195" s="8">
        <v>42121</v>
      </c>
      <c r="C2195">
        <v>113</v>
      </c>
      <c r="D2195">
        <v>17.600000000000001</v>
      </c>
      <c r="E2195">
        <v>39.023722187899999</v>
      </c>
      <c r="F2195">
        <v>-6.2155028321900003</v>
      </c>
      <c r="G2195">
        <v>7.1</v>
      </c>
    </row>
    <row r="2196" spans="1:7" x14ac:dyDescent="0.25">
      <c r="A2196" t="s">
        <v>3506</v>
      </c>
      <c r="B2196" s="8">
        <v>42120</v>
      </c>
      <c r="C2196">
        <v>266</v>
      </c>
      <c r="D2196">
        <v>16.850000000000001</v>
      </c>
      <c r="E2196">
        <v>52.473967141999999</v>
      </c>
      <c r="F2196">
        <v>-0.85967661088500003</v>
      </c>
      <c r="G2196">
        <v>-3.9</v>
      </c>
    </row>
    <row r="2197" spans="1:7" x14ac:dyDescent="0.25">
      <c r="A2197" t="s">
        <v>3507</v>
      </c>
      <c r="B2197" s="8">
        <v>42120</v>
      </c>
      <c r="C2197">
        <v>96</v>
      </c>
      <c r="D2197">
        <v>44.1</v>
      </c>
      <c r="E2197">
        <v>40.7031978455</v>
      </c>
      <c r="F2197">
        <v>-0.70489377603100001</v>
      </c>
      <c r="G2197">
        <v>17.100000000000001</v>
      </c>
    </row>
    <row r="2198" spans="1:7" x14ac:dyDescent="0.25">
      <c r="A2198" t="s">
        <v>3508</v>
      </c>
      <c r="B2198" s="8">
        <v>42119</v>
      </c>
      <c r="C2198">
        <v>147</v>
      </c>
      <c r="D2198">
        <v>32.25</v>
      </c>
      <c r="E2198">
        <v>38.100124929499998</v>
      </c>
      <c r="F2198">
        <v>-1.1514116375600001</v>
      </c>
      <c r="G2198">
        <v>8</v>
      </c>
    </row>
    <row r="2199" spans="1:7" x14ac:dyDescent="0.25">
      <c r="A2199" t="s">
        <v>3509</v>
      </c>
      <c r="B2199" s="8">
        <v>42119</v>
      </c>
      <c r="C2199">
        <v>76</v>
      </c>
      <c r="D2199">
        <v>17.95</v>
      </c>
      <c r="E2199">
        <v>38.683299572599999</v>
      </c>
      <c r="F2199">
        <v>-9.4748428089400001</v>
      </c>
      <c r="G2199">
        <v>17.2</v>
      </c>
    </row>
    <row r="2200" spans="1:7" x14ac:dyDescent="0.25">
      <c r="A2200" t="s">
        <v>3510</v>
      </c>
      <c r="B2200" s="8">
        <v>42118</v>
      </c>
      <c r="C2200">
        <v>283</v>
      </c>
      <c r="D2200">
        <v>39.200000000000003</v>
      </c>
      <c r="E2200">
        <v>50.005342993299998</v>
      </c>
      <c r="F2200">
        <v>-7.1412217350600002</v>
      </c>
      <c r="G2200">
        <v>17.2</v>
      </c>
    </row>
    <row r="2201" spans="1:7" x14ac:dyDescent="0.25">
      <c r="A2201" t="s">
        <v>3511</v>
      </c>
      <c r="B2201" s="8">
        <v>42118</v>
      </c>
      <c r="C2201">
        <v>94</v>
      </c>
      <c r="D2201">
        <v>30.95</v>
      </c>
      <c r="E2201">
        <v>36.002134992999999</v>
      </c>
      <c r="F2201">
        <v>-4.1890244189899999</v>
      </c>
      <c r="G2201">
        <v>1.5</v>
      </c>
    </row>
    <row r="2202" spans="1:7" x14ac:dyDescent="0.25">
      <c r="A2202" t="s">
        <v>3512</v>
      </c>
      <c r="B2202" s="8">
        <v>42118</v>
      </c>
      <c r="C2202">
        <v>56</v>
      </c>
      <c r="D2202">
        <v>34</v>
      </c>
      <c r="E2202">
        <v>32.866663789599997</v>
      </c>
      <c r="F2202">
        <v>-0.14814641873199999</v>
      </c>
      <c r="G2202">
        <v>9</v>
      </c>
    </row>
    <row r="2203" spans="1:7" x14ac:dyDescent="0.25">
      <c r="A2203" t="s">
        <v>3513</v>
      </c>
      <c r="B2203" s="8">
        <v>42117</v>
      </c>
      <c r="C2203">
        <v>53</v>
      </c>
      <c r="D2203">
        <v>12.25</v>
      </c>
      <c r="E2203">
        <v>34.279956783599999</v>
      </c>
      <c r="F2203">
        <v>-1.3089339928099999</v>
      </c>
      <c r="G2203">
        <v>-0.5</v>
      </c>
    </row>
    <row r="2204" spans="1:7" x14ac:dyDescent="0.25">
      <c r="A2204" t="s">
        <v>3514</v>
      </c>
      <c r="B2204" s="8">
        <v>42117</v>
      </c>
      <c r="C2204">
        <v>79</v>
      </c>
      <c r="D2204">
        <v>14.75</v>
      </c>
      <c r="E2204">
        <v>35.421136332099998</v>
      </c>
      <c r="F2204">
        <v>-2.4861784812300001</v>
      </c>
      <c r="G2204">
        <v>7</v>
      </c>
    </row>
    <row r="2205" spans="1:7" x14ac:dyDescent="0.25">
      <c r="A2205" t="s">
        <v>3515</v>
      </c>
      <c r="B2205" s="8">
        <v>42116</v>
      </c>
      <c r="C2205">
        <v>281</v>
      </c>
      <c r="D2205">
        <v>25</v>
      </c>
      <c r="E2205">
        <v>38.1488730242</v>
      </c>
      <c r="F2205">
        <v>-1.95241936572</v>
      </c>
      <c r="G2205">
        <v>19</v>
      </c>
    </row>
    <row r="2206" spans="1:7" x14ac:dyDescent="0.25">
      <c r="A2206" t="s">
        <v>3515</v>
      </c>
      <c r="B2206" s="8">
        <v>42116</v>
      </c>
      <c r="C2206">
        <v>261</v>
      </c>
      <c r="D2206">
        <v>25</v>
      </c>
      <c r="E2206">
        <v>38.1488730242</v>
      </c>
      <c r="F2206">
        <v>-1.95241936572</v>
      </c>
      <c r="G2206">
        <v>19</v>
      </c>
    </row>
    <row r="2207" spans="1:7" x14ac:dyDescent="0.25">
      <c r="A2207" t="s">
        <v>3516</v>
      </c>
      <c r="B2207" s="8">
        <v>42116</v>
      </c>
      <c r="C2207">
        <v>74</v>
      </c>
      <c r="D2207">
        <v>35.25</v>
      </c>
      <c r="E2207">
        <v>35.137658826399999</v>
      </c>
      <c r="F2207">
        <v>-0.42080656346599998</v>
      </c>
      <c r="G2207">
        <v>-0.5</v>
      </c>
    </row>
    <row r="2208" spans="1:7" x14ac:dyDescent="0.25">
      <c r="A2208" t="s">
        <v>3517</v>
      </c>
      <c r="B2208" s="8">
        <v>42116</v>
      </c>
      <c r="C2208">
        <v>55</v>
      </c>
      <c r="D2208">
        <v>32.25</v>
      </c>
      <c r="E2208">
        <v>37.070017308099999</v>
      </c>
      <c r="F2208">
        <v>-2.6921361896999998</v>
      </c>
      <c r="G2208">
        <v>19</v>
      </c>
    </row>
    <row r="2209" spans="1:7" x14ac:dyDescent="0.25">
      <c r="A2209" t="s">
        <v>3518</v>
      </c>
      <c r="B2209" s="8">
        <v>42115</v>
      </c>
      <c r="C2209">
        <v>278</v>
      </c>
      <c r="D2209">
        <v>32</v>
      </c>
      <c r="E2209">
        <v>38.310278039300002</v>
      </c>
      <c r="F2209">
        <v>-3.1979653958399998</v>
      </c>
      <c r="G2209">
        <v>11</v>
      </c>
    </row>
    <row r="2210" spans="1:7" x14ac:dyDescent="0.25">
      <c r="A2210" t="s">
        <v>3519</v>
      </c>
      <c r="B2210" s="8">
        <v>42115</v>
      </c>
      <c r="C2210">
        <v>74</v>
      </c>
      <c r="D2210">
        <v>37.75</v>
      </c>
      <c r="E2210">
        <v>35.350461912999997</v>
      </c>
      <c r="F2210">
        <v>-1.11352171167</v>
      </c>
      <c r="G2210">
        <v>16</v>
      </c>
    </row>
    <row r="2211" spans="1:7" x14ac:dyDescent="0.25">
      <c r="A2211" t="s">
        <v>3520</v>
      </c>
      <c r="B2211" s="8">
        <v>42114</v>
      </c>
      <c r="C2211">
        <v>152</v>
      </c>
      <c r="D2211">
        <v>0.75</v>
      </c>
      <c r="E2211">
        <v>34.9203429067</v>
      </c>
      <c r="F2211">
        <v>-5.0715674438200002</v>
      </c>
      <c r="G2211">
        <v>0</v>
      </c>
    </row>
    <row r="2212" spans="1:7" x14ac:dyDescent="0.25">
      <c r="A2212" t="s">
        <v>3521</v>
      </c>
      <c r="B2212" s="8">
        <v>42114</v>
      </c>
      <c r="C2212">
        <v>57</v>
      </c>
      <c r="D2212">
        <v>26.25</v>
      </c>
      <c r="E2212">
        <v>33.744826166999999</v>
      </c>
      <c r="F2212">
        <v>-2.6800430940300002</v>
      </c>
      <c r="G2212">
        <v>14</v>
      </c>
    </row>
    <row r="2213" spans="1:7" x14ac:dyDescent="0.25">
      <c r="A2213" t="s">
        <v>3522</v>
      </c>
      <c r="B2213" s="8">
        <v>42113</v>
      </c>
      <c r="C2213">
        <v>284</v>
      </c>
      <c r="D2213">
        <v>43</v>
      </c>
      <c r="E2213">
        <v>38.155884269600001</v>
      </c>
      <c r="F2213">
        <v>-0.74222885676200001</v>
      </c>
      <c r="G2213">
        <v>0.75</v>
      </c>
    </row>
    <row r="2214" spans="1:7" x14ac:dyDescent="0.25">
      <c r="A2214" t="s">
        <v>3523</v>
      </c>
      <c r="B2214" s="8">
        <v>42113</v>
      </c>
      <c r="C2214">
        <v>211</v>
      </c>
      <c r="D2214">
        <v>39</v>
      </c>
      <c r="E2214">
        <v>37.688931542900001</v>
      </c>
      <c r="F2214">
        <v>-0.29490095651600001</v>
      </c>
      <c r="G2214">
        <v>0.5</v>
      </c>
    </row>
    <row r="2215" spans="1:7" x14ac:dyDescent="0.25">
      <c r="A2215" t="s">
        <v>3524</v>
      </c>
      <c r="B2215" s="8">
        <v>42113</v>
      </c>
      <c r="C2215">
        <v>74</v>
      </c>
      <c r="D2215">
        <v>34</v>
      </c>
      <c r="E2215">
        <v>34.573335322399998</v>
      </c>
      <c r="F2215">
        <v>-8.7866734420399997</v>
      </c>
      <c r="G2215">
        <v>15</v>
      </c>
    </row>
    <row r="2216" spans="1:7" x14ac:dyDescent="0.25">
      <c r="A2216" t="s">
        <v>3525</v>
      </c>
      <c r="B2216" s="8">
        <v>42112</v>
      </c>
      <c r="C2216">
        <v>150</v>
      </c>
      <c r="D2216">
        <v>14.95</v>
      </c>
      <c r="E2216">
        <v>42.451106626300003</v>
      </c>
      <c r="F2216">
        <v>-2.2474179741300002</v>
      </c>
      <c r="G2216">
        <v>10.199999999999999</v>
      </c>
    </row>
    <row r="2217" spans="1:7" x14ac:dyDescent="0.25">
      <c r="A2217" t="s">
        <v>3526</v>
      </c>
      <c r="B2217" s="8">
        <v>42111</v>
      </c>
      <c r="C2217">
        <v>245</v>
      </c>
      <c r="D2217">
        <v>37</v>
      </c>
      <c r="E2217">
        <v>43.2500738711</v>
      </c>
      <c r="F2217">
        <v>-5.0259403676599996</v>
      </c>
      <c r="G2217">
        <v>1.75</v>
      </c>
    </row>
    <row r="2218" spans="1:7" x14ac:dyDescent="0.25">
      <c r="A2218" t="s">
        <v>3527</v>
      </c>
      <c r="B2218" s="8">
        <v>42111</v>
      </c>
      <c r="C2218">
        <v>55</v>
      </c>
      <c r="D2218">
        <v>39.75</v>
      </c>
      <c r="E2218">
        <v>34.186518741900002</v>
      </c>
      <c r="F2218">
        <v>-0.47088522322999998</v>
      </c>
      <c r="G2218">
        <v>1.75</v>
      </c>
    </row>
    <row r="2219" spans="1:7" x14ac:dyDescent="0.25">
      <c r="A2219" t="s">
        <v>3528</v>
      </c>
      <c r="B2219" s="8">
        <v>42111</v>
      </c>
      <c r="C2219">
        <v>78</v>
      </c>
      <c r="D2219">
        <v>21</v>
      </c>
      <c r="E2219">
        <v>35.450667828100002</v>
      </c>
      <c r="F2219">
        <v>-4.3350126943599996</v>
      </c>
      <c r="G2219">
        <v>13</v>
      </c>
    </row>
    <row r="2220" spans="1:7" x14ac:dyDescent="0.25">
      <c r="A2220" t="s">
        <v>3529</v>
      </c>
      <c r="B2220" s="8">
        <v>42143</v>
      </c>
      <c r="C2220">
        <v>279</v>
      </c>
      <c r="D2220">
        <v>20</v>
      </c>
      <c r="E2220">
        <v>55.659390533600003</v>
      </c>
      <c r="F2220">
        <v>-0.70531751285900002</v>
      </c>
      <c r="G2220">
        <v>8</v>
      </c>
    </row>
    <row r="2221" spans="1:7" x14ac:dyDescent="0.25">
      <c r="A2221" t="s">
        <v>3530</v>
      </c>
      <c r="B2221" s="8">
        <v>42144</v>
      </c>
      <c r="C2221">
        <v>277</v>
      </c>
      <c r="D2221">
        <v>22.6</v>
      </c>
      <c r="E2221">
        <v>42.191437815999997</v>
      </c>
      <c r="F2221">
        <v>-8.1523833758199995</v>
      </c>
      <c r="G2221">
        <v>8.1</v>
      </c>
    </row>
    <row r="2222" spans="1:7" x14ac:dyDescent="0.25">
      <c r="A2222" t="s">
        <v>3530</v>
      </c>
      <c r="B2222" s="8">
        <v>42144</v>
      </c>
      <c r="C2222">
        <v>257</v>
      </c>
      <c r="D2222">
        <v>22.6</v>
      </c>
      <c r="E2222">
        <v>42.191437815999997</v>
      </c>
      <c r="F2222">
        <v>-8.1523833758199995</v>
      </c>
      <c r="G2222">
        <v>8.1</v>
      </c>
    </row>
    <row r="2223" spans="1:7" x14ac:dyDescent="0.25">
      <c r="A2223" t="s">
        <v>3531</v>
      </c>
      <c r="B2223" s="8">
        <v>42145</v>
      </c>
      <c r="C2223">
        <v>223</v>
      </c>
      <c r="D2223">
        <v>26</v>
      </c>
      <c r="E2223">
        <v>38.6877831607</v>
      </c>
      <c r="F2223">
        <v>-1.52884235676</v>
      </c>
      <c r="G2223">
        <v>3</v>
      </c>
    </row>
    <row r="2224" spans="1:7" x14ac:dyDescent="0.25">
      <c r="A2224" t="s">
        <v>3532</v>
      </c>
      <c r="B2224" s="8">
        <v>42145</v>
      </c>
      <c r="C2224">
        <v>109</v>
      </c>
      <c r="D2224">
        <v>31.1</v>
      </c>
      <c r="E2224">
        <v>36.859219715000002</v>
      </c>
      <c r="F2224">
        <v>-1.77344664585</v>
      </c>
      <c r="G2224">
        <v>-0.75</v>
      </c>
    </row>
    <row r="2225" spans="1:7" x14ac:dyDescent="0.25">
      <c r="A2225" t="s">
        <v>3533</v>
      </c>
      <c r="B2225" s="8">
        <v>42145</v>
      </c>
      <c r="C2225">
        <v>34</v>
      </c>
      <c r="D2225">
        <v>24.1</v>
      </c>
      <c r="E2225">
        <v>35.364234394199997</v>
      </c>
      <c r="F2225">
        <v>-9.2964572696900003</v>
      </c>
      <c r="G2225">
        <v>-0.75</v>
      </c>
    </row>
    <row r="2226" spans="1:7" x14ac:dyDescent="0.25">
      <c r="A2226" t="s">
        <v>3534</v>
      </c>
      <c r="B2226" s="8">
        <v>42145</v>
      </c>
      <c r="C2226">
        <v>114</v>
      </c>
      <c r="D2226">
        <v>21.25</v>
      </c>
      <c r="E2226">
        <v>36.873550101600003</v>
      </c>
      <c r="F2226">
        <v>-2.3158806975999999</v>
      </c>
      <c r="G2226">
        <v>3</v>
      </c>
    </row>
    <row r="2227" spans="1:7" x14ac:dyDescent="0.25">
      <c r="A2227" t="s">
        <v>3535</v>
      </c>
      <c r="B2227" s="8">
        <v>42146</v>
      </c>
      <c r="C2227">
        <v>278</v>
      </c>
      <c r="D2227">
        <v>29</v>
      </c>
      <c r="E2227">
        <v>50.232264340299999</v>
      </c>
      <c r="F2227">
        <v>-8.5769724407000005</v>
      </c>
      <c r="G2227">
        <v>6</v>
      </c>
    </row>
    <row r="2228" spans="1:7" x14ac:dyDescent="0.25">
      <c r="A2228" t="s">
        <v>3536</v>
      </c>
      <c r="B2228" s="8">
        <v>42146</v>
      </c>
      <c r="C2228">
        <v>58</v>
      </c>
      <c r="D2228">
        <v>18.25</v>
      </c>
      <c r="E2228">
        <v>33.367269761300001</v>
      </c>
      <c r="F2228">
        <v>-0.79612832983100001</v>
      </c>
      <c r="G2228">
        <v>5</v>
      </c>
    </row>
    <row r="2229" spans="1:7" x14ac:dyDescent="0.25">
      <c r="A2229" t="s">
        <v>3537</v>
      </c>
      <c r="B2229" s="8">
        <v>42147</v>
      </c>
      <c r="C2229">
        <v>118</v>
      </c>
      <c r="D2229">
        <v>24.45</v>
      </c>
      <c r="E2229">
        <v>42.0137804039</v>
      </c>
      <c r="F2229">
        <v>-0.68242504747099997</v>
      </c>
      <c r="G2229">
        <v>-0.75</v>
      </c>
    </row>
    <row r="2230" spans="1:7" x14ac:dyDescent="0.25">
      <c r="A2230" t="s">
        <v>3538</v>
      </c>
      <c r="B2230" s="8">
        <v>42147</v>
      </c>
      <c r="C2230">
        <v>61</v>
      </c>
      <c r="D2230">
        <v>28.95</v>
      </c>
      <c r="E2230">
        <v>40.9688067027</v>
      </c>
      <c r="F2230">
        <v>-1.1989926819500001</v>
      </c>
      <c r="G2230">
        <v>-0.75</v>
      </c>
    </row>
    <row r="2231" spans="1:7" x14ac:dyDescent="0.25">
      <c r="A2231" t="s">
        <v>3409</v>
      </c>
      <c r="B2231" s="8">
        <v>42147</v>
      </c>
      <c r="C2231">
        <v>34</v>
      </c>
      <c r="D2231">
        <v>29.25</v>
      </c>
      <c r="E2231">
        <v>32.517300134800003</v>
      </c>
      <c r="F2231">
        <v>-1.4585381997</v>
      </c>
      <c r="G2231">
        <v>10</v>
      </c>
    </row>
    <row r="2232" spans="1:7" x14ac:dyDescent="0.25">
      <c r="A2232" t="s">
        <v>3539</v>
      </c>
      <c r="B2232" s="8">
        <v>42148</v>
      </c>
      <c r="C2232">
        <v>281</v>
      </c>
      <c r="D2232">
        <v>27.5</v>
      </c>
      <c r="E2232">
        <v>41.898629391299998</v>
      </c>
      <c r="F2232">
        <v>-3.55191647988</v>
      </c>
      <c r="G2232">
        <v>13</v>
      </c>
    </row>
    <row r="2233" spans="1:7" x14ac:dyDescent="0.25">
      <c r="A2233" t="s">
        <v>3540</v>
      </c>
      <c r="B2233" s="8">
        <v>42148</v>
      </c>
      <c r="C2233">
        <v>209</v>
      </c>
      <c r="D2233">
        <v>20.25</v>
      </c>
      <c r="E2233">
        <v>37.258750422799999</v>
      </c>
      <c r="F2233">
        <v>-0.61598230053799996</v>
      </c>
      <c r="G2233">
        <v>13</v>
      </c>
    </row>
    <row r="2234" spans="1:7" x14ac:dyDescent="0.25">
      <c r="A2234" t="s">
        <v>3541</v>
      </c>
      <c r="B2234" s="8">
        <v>42148</v>
      </c>
      <c r="C2234">
        <v>72</v>
      </c>
      <c r="D2234">
        <v>34</v>
      </c>
      <c r="E2234">
        <v>37.423353665299999</v>
      </c>
      <c r="F2234">
        <v>-5.9769683546700003</v>
      </c>
      <c r="G2234">
        <v>15</v>
      </c>
    </row>
    <row r="2235" spans="1:7" x14ac:dyDescent="0.25">
      <c r="A2235" t="s">
        <v>3542</v>
      </c>
      <c r="B2235" s="8">
        <v>42149</v>
      </c>
      <c r="C2235">
        <v>280</v>
      </c>
      <c r="D2235">
        <v>43.75</v>
      </c>
      <c r="E2235">
        <v>36.425156002800001</v>
      </c>
      <c r="F2235">
        <v>-4.6395421941699997</v>
      </c>
      <c r="G2235">
        <v>11</v>
      </c>
    </row>
    <row r="2236" spans="1:7" x14ac:dyDescent="0.25">
      <c r="A2236" t="s">
        <v>3543</v>
      </c>
      <c r="B2236" s="8">
        <v>42149</v>
      </c>
      <c r="C2236">
        <v>96</v>
      </c>
      <c r="D2236">
        <v>23</v>
      </c>
      <c r="E2236">
        <v>34.521756985400003</v>
      </c>
      <c r="F2236">
        <v>-1.5476064434600001</v>
      </c>
      <c r="G2236">
        <v>11</v>
      </c>
    </row>
    <row r="2237" spans="1:7" x14ac:dyDescent="0.25">
      <c r="A2237" t="s">
        <v>3544</v>
      </c>
      <c r="B2237" s="8">
        <v>42149</v>
      </c>
      <c r="C2237">
        <v>184</v>
      </c>
      <c r="D2237">
        <v>44.95</v>
      </c>
      <c r="E2237">
        <v>35.055191962599999</v>
      </c>
      <c r="F2237">
        <v>-9.7319846316199996</v>
      </c>
      <c r="G2237">
        <v>1.2</v>
      </c>
    </row>
    <row r="2238" spans="1:7" x14ac:dyDescent="0.25">
      <c r="A2238" t="s">
        <v>3545</v>
      </c>
      <c r="B2238" s="8">
        <v>42150</v>
      </c>
      <c r="C2238">
        <v>279</v>
      </c>
      <c r="D2238">
        <v>42.75</v>
      </c>
      <c r="E2238">
        <v>40.934281470499997</v>
      </c>
      <c r="F2238">
        <v>-0.81778369774500004</v>
      </c>
      <c r="G2238">
        <v>1.5</v>
      </c>
    </row>
    <row r="2239" spans="1:7" x14ac:dyDescent="0.25">
      <c r="A2239" t="s">
        <v>3546</v>
      </c>
      <c r="B2239" s="8">
        <v>42151</v>
      </c>
      <c r="C2239">
        <v>279</v>
      </c>
      <c r="D2239">
        <v>39.75</v>
      </c>
      <c r="E2239">
        <v>39.555498895200003</v>
      </c>
      <c r="F2239">
        <v>2.3035516563399999E-2</v>
      </c>
      <c r="G2239">
        <v>14</v>
      </c>
    </row>
    <row r="2240" spans="1:7" x14ac:dyDescent="0.25">
      <c r="A2240" t="s">
        <v>3547</v>
      </c>
      <c r="B2240" s="8">
        <v>42151</v>
      </c>
      <c r="C2240">
        <v>166</v>
      </c>
      <c r="D2240">
        <v>47.7</v>
      </c>
      <c r="E2240">
        <v>38.673725815600001</v>
      </c>
      <c r="F2240">
        <v>-2.5604275652699999</v>
      </c>
      <c r="G2240">
        <v>17.2</v>
      </c>
    </row>
    <row r="2241" spans="1:7" x14ac:dyDescent="0.25">
      <c r="A2241" t="s">
        <v>3548</v>
      </c>
      <c r="B2241" s="8">
        <v>42151</v>
      </c>
      <c r="C2241">
        <v>73</v>
      </c>
      <c r="D2241">
        <v>19.25</v>
      </c>
      <c r="E2241">
        <v>35.4202872941</v>
      </c>
      <c r="F2241">
        <v>-0.11259865208</v>
      </c>
      <c r="G2241">
        <v>14</v>
      </c>
    </row>
    <row r="2242" spans="1:7" x14ac:dyDescent="0.25">
      <c r="A2242" t="s">
        <v>3549</v>
      </c>
      <c r="B2242" s="8">
        <v>42151</v>
      </c>
      <c r="C2242">
        <v>93</v>
      </c>
      <c r="D2242">
        <v>24.95</v>
      </c>
      <c r="E2242">
        <v>36.414296153400002</v>
      </c>
      <c r="F2242">
        <v>-2.9625305593100002</v>
      </c>
      <c r="G2242">
        <v>17.2</v>
      </c>
    </row>
    <row r="2243" spans="1:7" x14ac:dyDescent="0.25">
      <c r="A2243" t="s">
        <v>3421</v>
      </c>
      <c r="B2243" s="8">
        <v>42152</v>
      </c>
      <c r="C2243">
        <v>140</v>
      </c>
      <c r="D2243">
        <v>44.2</v>
      </c>
      <c r="E2243">
        <v>36.577694059300001</v>
      </c>
      <c r="F2243">
        <v>-0.74224185475000004</v>
      </c>
      <c r="G2243">
        <v>23.2</v>
      </c>
    </row>
    <row r="2244" spans="1:7" x14ac:dyDescent="0.25">
      <c r="A2244" t="s">
        <v>3421</v>
      </c>
      <c r="B2244" s="8">
        <v>42152</v>
      </c>
      <c r="C2244">
        <v>140</v>
      </c>
      <c r="D2244">
        <v>44.2</v>
      </c>
      <c r="E2244">
        <v>36.577694059300001</v>
      </c>
      <c r="F2244">
        <v>-0.74224185475000004</v>
      </c>
      <c r="G2244">
        <v>23.2</v>
      </c>
    </row>
    <row r="2245" spans="1:7" x14ac:dyDescent="0.25">
      <c r="A2245" t="s">
        <v>3550</v>
      </c>
      <c r="B2245" s="8">
        <v>42152</v>
      </c>
      <c r="C2245">
        <v>93</v>
      </c>
      <c r="D2245">
        <v>39.5</v>
      </c>
      <c r="E2245">
        <v>33.771742186300003</v>
      </c>
      <c r="F2245">
        <v>-0.90405667395</v>
      </c>
      <c r="G2245">
        <v>21</v>
      </c>
    </row>
    <row r="2246" spans="1:7" x14ac:dyDescent="0.25">
      <c r="A2246" t="s">
        <v>3551</v>
      </c>
      <c r="B2246" s="8">
        <v>42152</v>
      </c>
      <c r="C2246">
        <v>113</v>
      </c>
      <c r="D2246">
        <v>43.5</v>
      </c>
      <c r="E2246">
        <v>34.3406818363</v>
      </c>
      <c r="F2246">
        <v>-0.907451379083</v>
      </c>
      <c r="G2246">
        <v>21</v>
      </c>
    </row>
    <row r="2247" spans="1:7" x14ac:dyDescent="0.25">
      <c r="A2247" t="s">
        <v>3552</v>
      </c>
      <c r="B2247" s="8">
        <v>42153</v>
      </c>
      <c r="C2247">
        <v>281</v>
      </c>
      <c r="D2247">
        <v>34.450000000000003</v>
      </c>
      <c r="E2247">
        <v>46.7440186973</v>
      </c>
      <c r="F2247">
        <v>-0.440344957855</v>
      </c>
      <c r="G2247">
        <v>12.2</v>
      </c>
    </row>
    <row r="2248" spans="1:7" x14ac:dyDescent="0.25">
      <c r="A2248" t="s">
        <v>3552</v>
      </c>
      <c r="B2248" s="8">
        <v>42153</v>
      </c>
      <c r="C2248">
        <v>263</v>
      </c>
      <c r="D2248">
        <v>34.450000000000003</v>
      </c>
      <c r="E2248">
        <v>46.7440186973</v>
      </c>
      <c r="F2248">
        <v>-0.440344957855</v>
      </c>
      <c r="G2248">
        <v>12.2</v>
      </c>
    </row>
    <row r="2249" spans="1:7" x14ac:dyDescent="0.25">
      <c r="A2249" t="s">
        <v>3553</v>
      </c>
      <c r="B2249" s="8">
        <v>42154</v>
      </c>
      <c r="C2249">
        <v>262</v>
      </c>
      <c r="D2249">
        <v>31</v>
      </c>
      <c r="E2249">
        <v>43.0023659752</v>
      </c>
      <c r="F2249">
        <v>-7.4048580699800004</v>
      </c>
      <c r="G2249">
        <v>1</v>
      </c>
    </row>
    <row r="2250" spans="1:7" x14ac:dyDescent="0.25">
      <c r="A2250" t="s">
        <v>3554</v>
      </c>
      <c r="B2250" s="8">
        <v>42154</v>
      </c>
      <c r="C2250">
        <v>130</v>
      </c>
      <c r="D2250">
        <v>26.25</v>
      </c>
      <c r="E2250">
        <v>36.856277738300001</v>
      </c>
      <c r="F2250">
        <v>-1.6497385904899999</v>
      </c>
      <c r="G2250">
        <v>1</v>
      </c>
    </row>
    <row r="2251" spans="1:7" x14ac:dyDescent="0.25">
      <c r="A2251" t="s">
        <v>3555</v>
      </c>
      <c r="B2251" s="8">
        <v>42154</v>
      </c>
      <c r="C2251">
        <v>132</v>
      </c>
      <c r="D2251">
        <v>27.6</v>
      </c>
      <c r="E2251">
        <v>40.081353937999999</v>
      </c>
      <c r="F2251">
        <v>-6.27728671762</v>
      </c>
      <c r="G2251">
        <v>7.1</v>
      </c>
    </row>
    <row r="2252" spans="1:7" x14ac:dyDescent="0.25">
      <c r="A2252" t="s">
        <v>3556</v>
      </c>
      <c r="B2252" s="8">
        <v>42154</v>
      </c>
      <c r="C2252">
        <v>130</v>
      </c>
      <c r="D2252">
        <v>32.5</v>
      </c>
      <c r="E2252">
        <v>39.459046762900002</v>
      </c>
      <c r="F2252">
        <v>-6.2701719044399997</v>
      </c>
      <c r="G2252">
        <v>1</v>
      </c>
    </row>
    <row r="2253" spans="1:7" x14ac:dyDescent="0.25">
      <c r="A2253" t="s">
        <v>3429</v>
      </c>
      <c r="B2253" s="8">
        <v>42155</v>
      </c>
      <c r="C2253">
        <v>280</v>
      </c>
      <c r="D2253">
        <v>22.35</v>
      </c>
      <c r="E2253">
        <v>36.8085620787</v>
      </c>
      <c r="F2253">
        <v>-2.0287273452100001</v>
      </c>
      <c r="G2253">
        <v>-0.5</v>
      </c>
    </row>
    <row r="2254" spans="1:7" x14ac:dyDescent="0.25">
      <c r="A2254" t="s">
        <v>3430</v>
      </c>
      <c r="B2254" s="8">
        <v>42155</v>
      </c>
      <c r="C2254">
        <v>94</v>
      </c>
      <c r="D2254">
        <v>22.35</v>
      </c>
      <c r="E2254">
        <v>35.034022243199999</v>
      </c>
      <c r="F2254">
        <v>-0.42686377025400002</v>
      </c>
      <c r="G2254">
        <v>-0.5</v>
      </c>
    </row>
    <row r="2255" spans="1:7" x14ac:dyDescent="0.25">
      <c r="A2255" t="s">
        <v>3557</v>
      </c>
      <c r="B2255" s="8">
        <v>42155</v>
      </c>
      <c r="C2255">
        <v>186</v>
      </c>
      <c r="D2255">
        <v>33.75</v>
      </c>
      <c r="E2255">
        <v>34.920628799799999</v>
      </c>
      <c r="F2255">
        <v>-2.0805316331300001</v>
      </c>
      <c r="G2255">
        <v>1.75</v>
      </c>
    </row>
    <row r="2256" spans="1:7" x14ac:dyDescent="0.25">
      <c r="A2256" t="s">
        <v>3558</v>
      </c>
      <c r="B2256" s="8">
        <v>42155</v>
      </c>
      <c r="C2256">
        <v>112</v>
      </c>
      <c r="D2256">
        <v>42.95</v>
      </c>
      <c r="E2256">
        <v>34.218973938300003</v>
      </c>
      <c r="F2256">
        <v>-8.0111416788900005</v>
      </c>
      <c r="G2256">
        <v>8.1999999999999993</v>
      </c>
    </row>
    <row r="2257" spans="1:7" x14ac:dyDescent="0.25">
      <c r="A2257" t="s">
        <v>3559</v>
      </c>
      <c r="B2257" s="8">
        <v>42156</v>
      </c>
      <c r="C2257">
        <v>163</v>
      </c>
      <c r="D2257">
        <v>37.75</v>
      </c>
      <c r="E2257">
        <v>39.815773388899999</v>
      </c>
      <c r="F2257">
        <v>-5.5331961719600002</v>
      </c>
      <c r="G2257">
        <v>5.75</v>
      </c>
    </row>
    <row r="2258" spans="1:7" x14ac:dyDescent="0.25">
      <c r="A2258" t="s">
        <v>3560</v>
      </c>
      <c r="B2258" s="8">
        <v>42157</v>
      </c>
      <c r="C2258">
        <v>293</v>
      </c>
      <c r="D2258">
        <v>38.5</v>
      </c>
      <c r="E2258">
        <v>47.897508052799999</v>
      </c>
      <c r="F2258">
        <v>-8.7820261346899997</v>
      </c>
      <c r="G2258">
        <v>8</v>
      </c>
    </row>
    <row r="2259" spans="1:7" x14ac:dyDescent="0.25">
      <c r="A2259" t="s">
        <v>3560</v>
      </c>
      <c r="B2259" s="8">
        <v>42157</v>
      </c>
      <c r="C2259">
        <v>293</v>
      </c>
      <c r="D2259">
        <v>38.5</v>
      </c>
      <c r="E2259">
        <v>47.897508052799999</v>
      </c>
      <c r="F2259">
        <v>-8.7820261346899997</v>
      </c>
      <c r="G2259">
        <v>8</v>
      </c>
    </row>
    <row r="2260" spans="1:7" x14ac:dyDescent="0.25">
      <c r="A2260" t="s">
        <v>3561</v>
      </c>
      <c r="B2260" s="8">
        <v>42157</v>
      </c>
      <c r="C2260">
        <v>99</v>
      </c>
      <c r="D2260">
        <v>28.5</v>
      </c>
      <c r="E2260">
        <v>37.216209981200002</v>
      </c>
      <c r="F2260">
        <v>-2.5667169096000002</v>
      </c>
      <c r="G2260">
        <v>3</v>
      </c>
    </row>
    <row r="2261" spans="1:7" x14ac:dyDescent="0.25">
      <c r="A2261" t="s">
        <v>3562</v>
      </c>
      <c r="B2261" s="8">
        <v>42158</v>
      </c>
      <c r="C2261">
        <v>287</v>
      </c>
      <c r="D2261">
        <v>53.25</v>
      </c>
      <c r="E2261">
        <v>39.903730596700001</v>
      </c>
      <c r="F2261">
        <v>-9.9880354050599998</v>
      </c>
      <c r="G2261">
        <v>24</v>
      </c>
    </row>
    <row r="2262" spans="1:7" x14ac:dyDescent="0.25">
      <c r="A2262" t="s">
        <v>3563</v>
      </c>
      <c r="B2262" s="8">
        <v>42158</v>
      </c>
      <c r="C2262">
        <v>98</v>
      </c>
      <c r="D2262">
        <v>20</v>
      </c>
      <c r="E2262">
        <v>37.229992651899998</v>
      </c>
      <c r="F2262">
        <v>-9.9446476215999997</v>
      </c>
      <c r="G2262">
        <v>16</v>
      </c>
    </row>
    <row r="2263" spans="1:7" x14ac:dyDescent="0.25">
      <c r="A2263" t="s">
        <v>3564</v>
      </c>
      <c r="B2263" s="8">
        <v>42158</v>
      </c>
      <c r="C2263">
        <v>55</v>
      </c>
      <c r="D2263">
        <v>21.25</v>
      </c>
      <c r="E2263">
        <v>35.676779788799998</v>
      </c>
      <c r="F2263">
        <v>-9.9267192739500008</v>
      </c>
      <c r="G2263">
        <v>16</v>
      </c>
    </row>
    <row r="2264" spans="1:7" x14ac:dyDescent="0.25">
      <c r="A2264" t="s">
        <v>3565</v>
      </c>
      <c r="B2264" s="8">
        <v>42158</v>
      </c>
      <c r="C2264">
        <v>215</v>
      </c>
      <c r="D2264">
        <v>57.25</v>
      </c>
      <c r="E2264">
        <v>37.674650127299998</v>
      </c>
      <c r="F2264">
        <v>-1.45693080176</v>
      </c>
      <c r="G2264">
        <v>24</v>
      </c>
    </row>
    <row r="2265" spans="1:7" x14ac:dyDescent="0.25">
      <c r="A2265" t="s">
        <v>3566</v>
      </c>
      <c r="B2265" s="8">
        <v>42159</v>
      </c>
      <c r="C2265">
        <v>190</v>
      </c>
      <c r="D2265">
        <v>23.95</v>
      </c>
      <c r="E2265">
        <v>40.246275420300002</v>
      </c>
      <c r="F2265">
        <v>-0.21339698087699999</v>
      </c>
      <c r="G2265">
        <v>6.2</v>
      </c>
    </row>
    <row r="2266" spans="1:7" x14ac:dyDescent="0.25">
      <c r="A2266" t="s">
        <v>3567</v>
      </c>
      <c r="B2266" s="8">
        <v>42159</v>
      </c>
      <c r="C2266">
        <v>130</v>
      </c>
      <c r="D2266">
        <v>22.95</v>
      </c>
      <c r="E2266">
        <v>40.052310696500001</v>
      </c>
      <c r="F2266">
        <v>-0.189631681675</v>
      </c>
      <c r="G2266">
        <v>6.2</v>
      </c>
    </row>
    <row r="2267" spans="1:7" x14ac:dyDescent="0.25">
      <c r="A2267" t="s">
        <v>3442</v>
      </c>
      <c r="B2267" s="8">
        <v>42159</v>
      </c>
      <c r="C2267">
        <v>60</v>
      </c>
      <c r="D2267">
        <v>32.75</v>
      </c>
      <c r="E2267">
        <v>31.1615612483</v>
      </c>
      <c r="F2267">
        <v>-1.0609460587199999</v>
      </c>
      <c r="G2267">
        <v>11</v>
      </c>
    </row>
    <row r="2268" spans="1:7" x14ac:dyDescent="0.25">
      <c r="A2268" t="s">
        <v>3568</v>
      </c>
      <c r="B2268" s="8">
        <v>42160</v>
      </c>
      <c r="C2268">
        <v>280</v>
      </c>
      <c r="D2268">
        <v>53.85</v>
      </c>
      <c r="E2268">
        <v>38.668274167600003</v>
      </c>
      <c r="F2268">
        <v>-0.86519069140899996</v>
      </c>
      <c r="G2268">
        <v>15.1</v>
      </c>
    </row>
    <row r="2269" spans="1:7" x14ac:dyDescent="0.25">
      <c r="A2269" t="s">
        <v>3569</v>
      </c>
      <c r="B2269" s="8">
        <v>42160</v>
      </c>
      <c r="C2269">
        <v>54</v>
      </c>
      <c r="D2269">
        <v>20.350000000000001</v>
      </c>
      <c r="E2269">
        <v>32.562116336000003</v>
      </c>
      <c r="F2269">
        <v>-0.59002657951299997</v>
      </c>
      <c r="G2269">
        <v>8.1</v>
      </c>
    </row>
    <row r="2270" spans="1:7" x14ac:dyDescent="0.25">
      <c r="A2270" t="s">
        <v>3570</v>
      </c>
      <c r="B2270" s="8">
        <v>42160</v>
      </c>
      <c r="C2270">
        <v>77</v>
      </c>
      <c r="D2270">
        <v>29</v>
      </c>
      <c r="E2270">
        <v>34.0094608952</v>
      </c>
      <c r="F2270">
        <v>-0.54717723321099998</v>
      </c>
      <c r="G2270">
        <v>8</v>
      </c>
    </row>
    <row r="2271" spans="1:7" x14ac:dyDescent="0.25">
      <c r="A2271" t="s">
        <v>3446</v>
      </c>
      <c r="B2271" s="8">
        <v>42161</v>
      </c>
      <c r="C2271">
        <v>134</v>
      </c>
      <c r="D2271">
        <v>37.700000000000003</v>
      </c>
      <c r="E2271">
        <v>42.410127995300002</v>
      </c>
      <c r="F2271">
        <v>-2.2256017671800001</v>
      </c>
      <c r="G2271">
        <v>10.199999999999999</v>
      </c>
    </row>
    <row r="2272" spans="1:7" x14ac:dyDescent="0.25">
      <c r="A2272" t="s">
        <v>3571</v>
      </c>
      <c r="B2272" s="8">
        <v>42161</v>
      </c>
      <c r="C2272">
        <v>110</v>
      </c>
      <c r="D2272">
        <v>20.95</v>
      </c>
      <c r="E2272">
        <v>42.607663125499997</v>
      </c>
      <c r="F2272">
        <v>-2.5974932125499999</v>
      </c>
      <c r="G2272">
        <v>10.199999999999999</v>
      </c>
    </row>
    <row r="2273" spans="1:12" x14ac:dyDescent="0.25">
      <c r="A2273" t="s">
        <v>3572</v>
      </c>
      <c r="B2273" s="8">
        <v>42161</v>
      </c>
      <c r="C2273">
        <v>153</v>
      </c>
      <c r="D2273">
        <v>42.25</v>
      </c>
      <c r="E2273">
        <v>37.364287141600002</v>
      </c>
      <c r="F2273">
        <v>-1.4503467054400001</v>
      </c>
      <c r="G2273">
        <v>2.5</v>
      </c>
    </row>
    <row r="2274" spans="1:12" x14ac:dyDescent="0.25">
      <c r="A2274" t="s">
        <v>3573</v>
      </c>
      <c r="B2274" s="8">
        <v>42162</v>
      </c>
      <c r="C2274">
        <v>90</v>
      </c>
      <c r="D2274">
        <v>31.75</v>
      </c>
      <c r="E2274">
        <v>36.871050447599998</v>
      </c>
      <c r="F2274">
        <v>-3.1213450819699999</v>
      </c>
      <c r="G2274">
        <v>19</v>
      </c>
    </row>
    <row r="2275" spans="1:12" x14ac:dyDescent="0.25">
      <c r="A2275" t="s">
        <v>3574</v>
      </c>
      <c r="B2275" s="8">
        <v>42163</v>
      </c>
      <c r="C2275">
        <v>146</v>
      </c>
      <c r="D2275">
        <v>46.25</v>
      </c>
      <c r="E2275">
        <v>36.595228263199999</v>
      </c>
      <c r="F2275">
        <v>-1.07408365564</v>
      </c>
      <c r="G2275">
        <v>17</v>
      </c>
    </row>
    <row r="2276" spans="1:12" x14ac:dyDescent="0.25">
      <c r="A2276" t="s">
        <v>3575</v>
      </c>
      <c r="B2276" s="8">
        <v>42164</v>
      </c>
      <c r="C2276">
        <v>281</v>
      </c>
      <c r="D2276">
        <v>34.450000000000003</v>
      </c>
      <c r="E2276">
        <v>38.118209627500001</v>
      </c>
      <c r="F2276">
        <v>-1.9146418836300001</v>
      </c>
      <c r="G2276">
        <v>9.1999999999999993</v>
      </c>
    </row>
    <row r="2277" spans="1:12" x14ac:dyDescent="0.25">
      <c r="A2277" t="s">
        <v>3576</v>
      </c>
      <c r="B2277" s="8">
        <v>42165</v>
      </c>
      <c r="C2277">
        <v>280</v>
      </c>
      <c r="D2277">
        <v>16.75</v>
      </c>
      <c r="E2277">
        <v>37.128499746099997</v>
      </c>
      <c r="F2277">
        <v>-0.60884836204699999</v>
      </c>
      <c r="G2277">
        <v>-0.5</v>
      </c>
    </row>
    <row r="2278" spans="1:12" x14ac:dyDescent="0.25">
      <c r="A2278" t="s">
        <v>3577</v>
      </c>
      <c r="B2278" s="8">
        <v>42165</v>
      </c>
      <c r="C2278">
        <v>205</v>
      </c>
      <c r="D2278">
        <v>21</v>
      </c>
      <c r="E2278">
        <v>36.628054815799999</v>
      </c>
      <c r="F2278">
        <v>-0.87883403087199996</v>
      </c>
      <c r="G2278">
        <v>-0.5</v>
      </c>
    </row>
    <row r="2279" spans="1:12" x14ac:dyDescent="0.25">
      <c r="A2279" t="s">
        <v>3578</v>
      </c>
      <c r="B2279" s="8">
        <v>42165</v>
      </c>
      <c r="C2279">
        <v>57</v>
      </c>
      <c r="D2279">
        <v>22.35</v>
      </c>
      <c r="E2279">
        <v>32.759684343300002</v>
      </c>
      <c r="F2279">
        <v>-4.3732228393700003</v>
      </c>
      <c r="G2279">
        <v>9.1</v>
      </c>
    </row>
    <row r="2280" spans="1:12" x14ac:dyDescent="0.25">
      <c r="A2280" t="s">
        <v>3579</v>
      </c>
      <c r="B2280" s="8">
        <v>42166</v>
      </c>
      <c r="C2280">
        <v>106</v>
      </c>
      <c r="D2280">
        <v>29</v>
      </c>
      <c r="E2280">
        <v>37.0908788984</v>
      </c>
      <c r="F2280">
        <v>-4.4711451918499998</v>
      </c>
      <c r="G2280">
        <v>2</v>
      </c>
    </row>
    <row r="2281" spans="1:12" x14ac:dyDescent="0.25">
      <c r="A2281" t="s">
        <v>3580</v>
      </c>
      <c r="B2281" s="8">
        <v>42166</v>
      </c>
      <c r="C2281">
        <v>33</v>
      </c>
      <c r="D2281">
        <v>30.25</v>
      </c>
      <c r="E2281">
        <v>31.473901190900001</v>
      </c>
      <c r="F2281">
        <v>-1.1732135794</v>
      </c>
      <c r="G2281">
        <v>11</v>
      </c>
    </row>
    <row r="2282" spans="1:12" x14ac:dyDescent="0.25">
      <c r="A2282" t="s">
        <v>3581</v>
      </c>
      <c r="B2282" s="8">
        <v>42167</v>
      </c>
      <c r="C2282">
        <v>277</v>
      </c>
      <c r="D2282">
        <v>22.35</v>
      </c>
      <c r="E2282">
        <v>40.2935380387</v>
      </c>
      <c r="F2282">
        <v>-4.1175579734700003</v>
      </c>
      <c r="G2282">
        <v>1.1000000000000001</v>
      </c>
    </row>
    <row r="2283" spans="1:12" x14ac:dyDescent="0.25">
      <c r="A2283" t="s">
        <v>3581</v>
      </c>
      <c r="B2283" s="8">
        <v>42167</v>
      </c>
      <c r="C2283">
        <v>261</v>
      </c>
      <c r="D2283">
        <v>22.35</v>
      </c>
      <c r="E2283">
        <v>40.2935380387</v>
      </c>
      <c r="F2283">
        <v>-4.1175579734700003</v>
      </c>
      <c r="G2283">
        <v>1.1000000000000001</v>
      </c>
    </row>
    <row r="2286" spans="1:12" ht="15.75" thickBot="1" x14ac:dyDescent="0.3"/>
    <row r="2287" spans="1:12" ht="30" x14ac:dyDescent="0.25">
      <c r="A2287" s="37" t="s">
        <v>3582</v>
      </c>
      <c r="B2287" s="38" t="s">
        <v>311</v>
      </c>
      <c r="C2287" s="38" t="s">
        <v>1545</v>
      </c>
      <c r="D2287" s="38" t="s">
        <v>1527</v>
      </c>
      <c r="E2287" s="38" t="s">
        <v>1546</v>
      </c>
      <c r="F2287" s="38" t="s">
        <v>1547</v>
      </c>
      <c r="G2287" s="40" t="s">
        <v>1861</v>
      </c>
      <c r="H2287" s="38" t="s">
        <v>1862</v>
      </c>
      <c r="I2287" s="38"/>
      <c r="J2287" s="65" t="s">
        <v>1989</v>
      </c>
      <c r="K2287" s="66" t="s">
        <v>1990</v>
      </c>
      <c r="L2287" s="67" t="s">
        <v>1991</v>
      </c>
    </row>
    <row r="2288" spans="1:12" x14ac:dyDescent="0.25">
      <c r="A2288" s="30" t="s">
        <v>3583</v>
      </c>
      <c r="B2288" s="8">
        <v>42138</v>
      </c>
      <c r="C2288" s="30">
        <v>207</v>
      </c>
      <c r="D2288" s="30">
        <v>39</v>
      </c>
      <c r="E2288" s="30">
        <v>43.106245951699997</v>
      </c>
      <c r="F2288" s="30">
        <v>-1.1940043417099999</v>
      </c>
      <c r="G2288" s="30">
        <v>14</v>
      </c>
      <c r="H2288" s="30"/>
      <c r="I2288" s="30"/>
      <c r="J2288" s="68">
        <f>AVERAGE(D2288:D2425)</f>
        <v>30.970289855072448</v>
      </c>
      <c r="K2288" s="68">
        <f>_xlfn.STDEV.P(D2288:D2425)</f>
        <v>11.306897403863383</v>
      </c>
      <c r="L2288" s="68">
        <f>MEDIAN(D2288:D2425)</f>
        <v>30.25</v>
      </c>
    </row>
    <row r="2289" spans="1:7" x14ac:dyDescent="0.25">
      <c r="A2289" t="s">
        <v>3584</v>
      </c>
      <c r="B2289" s="8">
        <v>42138</v>
      </c>
      <c r="C2289">
        <v>94</v>
      </c>
      <c r="D2289">
        <v>44.5</v>
      </c>
      <c r="E2289">
        <v>35.654972484300004</v>
      </c>
      <c r="F2289">
        <v>-0.88514668372600003</v>
      </c>
      <c r="G2289">
        <v>18</v>
      </c>
    </row>
    <row r="2290" spans="1:7" x14ac:dyDescent="0.25">
      <c r="A2290" t="s">
        <v>3585</v>
      </c>
      <c r="B2290" s="8">
        <v>42138</v>
      </c>
      <c r="C2290">
        <v>113</v>
      </c>
      <c r="D2290">
        <v>24</v>
      </c>
      <c r="E2290">
        <v>41.174035844400002</v>
      </c>
      <c r="F2290">
        <v>-1.6193442577899999</v>
      </c>
      <c r="G2290">
        <v>14</v>
      </c>
    </row>
    <row r="2291" spans="1:7" x14ac:dyDescent="0.25">
      <c r="A2291" t="s">
        <v>3586</v>
      </c>
      <c r="B2291" s="8">
        <v>42138</v>
      </c>
      <c r="C2291">
        <v>37</v>
      </c>
      <c r="D2291">
        <v>23.1</v>
      </c>
      <c r="E2291">
        <v>32.404039869000002</v>
      </c>
      <c r="F2291">
        <v>-0.62323499244199998</v>
      </c>
      <c r="G2291">
        <v>-0.75</v>
      </c>
    </row>
    <row r="2292" spans="1:7" x14ac:dyDescent="0.25">
      <c r="A2292" t="s">
        <v>3587</v>
      </c>
      <c r="B2292" s="8">
        <v>42139</v>
      </c>
      <c r="C2292">
        <v>279</v>
      </c>
      <c r="D2292">
        <v>44.95</v>
      </c>
      <c r="E2292">
        <v>42.668937910399997</v>
      </c>
      <c r="F2292">
        <v>-8.7011705804900004</v>
      </c>
      <c r="G2292">
        <v>1.75</v>
      </c>
    </row>
    <row r="2293" spans="1:7" x14ac:dyDescent="0.25">
      <c r="A2293" t="s">
        <v>3588</v>
      </c>
      <c r="B2293" s="8">
        <v>42139</v>
      </c>
      <c r="C2293">
        <v>262</v>
      </c>
      <c r="D2293">
        <v>36.200000000000003</v>
      </c>
      <c r="E2293">
        <v>42.131314824699999</v>
      </c>
      <c r="F2293">
        <v>-7.7910948474400001</v>
      </c>
      <c r="G2293">
        <v>1.75</v>
      </c>
    </row>
    <row r="2294" spans="1:7" x14ac:dyDescent="0.25">
      <c r="A2294" t="s">
        <v>3589</v>
      </c>
      <c r="B2294" s="8">
        <v>42140</v>
      </c>
      <c r="C2294">
        <v>275</v>
      </c>
      <c r="D2294">
        <v>31.2</v>
      </c>
      <c r="E2294">
        <v>167.19294636999999</v>
      </c>
      <c r="F2294">
        <v>-5.5798848011900004</v>
      </c>
      <c r="G2294">
        <v>5.2</v>
      </c>
    </row>
    <row r="2295" spans="1:7" x14ac:dyDescent="0.25">
      <c r="A2295" t="s">
        <v>3590</v>
      </c>
      <c r="B2295" s="8">
        <v>42140</v>
      </c>
      <c r="C2295">
        <v>71</v>
      </c>
      <c r="D2295">
        <v>33.450000000000003</v>
      </c>
      <c r="E2295">
        <v>162.76317870899999</v>
      </c>
      <c r="F2295">
        <v>-1.58898575056</v>
      </c>
      <c r="G2295">
        <v>5.2</v>
      </c>
    </row>
    <row r="2296" spans="1:7" x14ac:dyDescent="0.25">
      <c r="A2296" t="s">
        <v>3591</v>
      </c>
      <c r="B2296" s="8">
        <v>42140</v>
      </c>
      <c r="C2296">
        <v>204</v>
      </c>
      <c r="D2296">
        <v>12.7</v>
      </c>
      <c r="E2296">
        <v>42.839401273900002</v>
      </c>
      <c r="F2296">
        <v>-5.9014166385699998</v>
      </c>
      <c r="G2296">
        <v>3.2</v>
      </c>
    </row>
    <row r="2297" spans="1:7" x14ac:dyDescent="0.25">
      <c r="A2297" t="s">
        <v>3592</v>
      </c>
      <c r="B2297" s="8">
        <v>42141</v>
      </c>
      <c r="C2297">
        <v>279</v>
      </c>
      <c r="D2297">
        <v>24.75</v>
      </c>
      <c r="E2297">
        <v>47.946716645400002</v>
      </c>
      <c r="F2297">
        <v>-6.8908428452499999</v>
      </c>
      <c r="G2297">
        <v>13</v>
      </c>
    </row>
    <row r="2298" spans="1:7" x14ac:dyDescent="0.25">
      <c r="A2298" t="s">
        <v>3593</v>
      </c>
      <c r="B2298" s="8">
        <v>42141</v>
      </c>
      <c r="C2298">
        <v>97</v>
      </c>
      <c r="D2298">
        <v>27.75</v>
      </c>
      <c r="E2298">
        <v>43.045172229499997</v>
      </c>
      <c r="F2298">
        <v>-1.5811457719499999</v>
      </c>
      <c r="G2298">
        <v>13</v>
      </c>
    </row>
    <row r="2299" spans="1:7" x14ac:dyDescent="0.25">
      <c r="A2299" t="s">
        <v>3594</v>
      </c>
      <c r="B2299" s="8">
        <v>42141</v>
      </c>
      <c r="C2299">
        <v>187</v>
      </c>
      <c r="D2299">
        <v>23.75</v>
      </c>
      <c r="E2299">
        <v>45.670698397099997</v>
      </c>
      <c r="F2299">
        <v>-7.5621460965600003</v>
      </c>
      <c r="G2299">
        <v>13</v>
      </c>
    </row>
    <row r="2300" spans="1:7" x14ac:dyDescent="0.25">
      <c r="A2300" t="s">
        <v>3595</v>
      </c>
      <c r="B2300" s="8">
        <v>42141</v>
      </c>
      <c r="C2300">
        <v>92</v>
      </c>
      <c r="D2300">
        <v>48.35</v>
      </c>
      <c r="E2300">
        <v>37.7807914467</v>
      </c>
      <c r="F2300">
        <v>-4.1825197140299997</v>
      </c>
      <c r="G2300">
        <v>1.75</v>
      </c>
    </row>
    <row r="2301" spans="1:7" x14ac:dyDescent="0.25">
      <c r="A2301" t="s">
        <v>3596</v>
      </c>
      <c r="B2301" s="8">
        <v>42142</v>
      </c>
      <c r="C2301">
        <v>130</v>
      </c>
      <c r="D2301">
        <v>49.25</v>
      </c>
      <c r="E2301">
        <v>38.015659843900004</v>
      </c>
      <c r="F2301">
        <v>-2.9280028324399998</v>
      </c>
      <c r="G2301">
        <v>20</v>
      </c>
    </row>
    <row r="2302" spans="1:7" x14ac:dyDescent="0.25">
      <c r="A2302" t="s">
        <v>3597</v>
      </c>
      <c r="B2302" s="8">
        <v>42142</v>
      </c>
      <c r="C2302">
        <v>110</v>
      </c>
      <c r="D2302">
        <v>23.5</v>
      </c>
      <c r="E2302">
        <v>37.448233779799999</v>
      </c>
      <c r="F2302">
        <v>-3.0862263680900002</v>
      </c>
      <c r="G2302">
        <v>20</v>
      </c>
    </row>
    <row r="2303" spans="1:7" x14ac:dyDescent="0.25">
      <c r="A2303" t="s">
        <v>3598</v>
      </c>
      <c r="B2303" s="8">
        <v>42137</v>
      </c>
      <c r="C2303">
        <v>39</v>
      </c>
      <c r="D2303">
        <v>25.5</v>
      </c>
      <c r="E2303">
        <v>32.523445477800003</v>
      </c>
      <c r="F2303">
        <v>-1.5449324665599999</v>
      </c>
      <c r="G2303">
        <v>18</v>
      </c>
    </row>
    <row r="2304" spans="1:7" x14ac:dyDescent="0.25">
      <c r="A2304" t="s">
        <v>3583</v>
      </c>
      <c r="B2304" s="8">
        <v>42138</v>
      </c>
      <c r="C2304">
        <v>207</v>
      </c>
      <c r="D2304">
        <v>39</v>
      </c>
      <c r="E2304">
        <v>43.106245951699997</v>
      </c>
      <c r="F2304">
        <v>-1.1940043417099999</v>
      </c>
      <c r="G2304">
        <v>14</v>
      </c>
    </row>
    <row r="2305" spans="1:7" x14ac:dyDescent="0.25">
      <c r="A2305" t="s">
        <v>3584</v>
      </c>
      <c r="B2305" s="8">
        <v>42138</v>
      </c>
      <c r="C2305">
        <v>94</v>
      </c>
      <c r="D2305">
        <v>44.5</v>
      </c>
      <c r="E2305">
        <v>35.654972484300004</v>
      </c>
      <c r="F2305">
        <v>-0.88514668372600003</v>
      </c>
      <c r="G2305">
        <v>18</v>
      </c>
    </row>
    <row r="2306" spans="1:7" x14ac:dyDescent="0.25">
      <c r="A2306" t="s">
        <v>3585</v>
      </c>
      <c r="B2306" s="8">
        <v>42138</v>
      </c>
      <c r="C2306">
        <v>113</v>
      </c>
      <c r="D2306">
        <v>24</v>
      </c>
      <c r="E2306">
        <v>41.174035844400002</v>
      </c>
      <c r="F2306">
        <v>-1.6193442577899999</v>
      </c>
      <c r="G2306">
        <v>14</v>
      </c>
    </row>
    <row r="2307" spans="1:7" x14ac:dyDescent="0.25">
      <c r="A2307" t="s">
        <v>3586</v>
      </c>
      <c r="B2307" s="8">
        <v>42138</v>
      </c>
      <c r="C2307">
        <v>37</v>
      </c>
      <c r="D2307">
        <v>23.1</v>
      </c>
      <c r="E2307">
        <v>32.404039869000002</v>
      </c>
      <c r="F2307">
        <v>-0.62323499244199998</v>
      </c>
      <c r="G2307">
        <v>-0.75</v>
      </c>
    </row>
    <row r="2308" spans="1:7" x14ac:dyDescent="0.25">
      <c r="A2308" t="s">
        <v>3587</v>
      </c>
      <c r="B2308" s="8">
        <v>42139</v>
      </c>
      <c r="C2308">
        <v>279</v>
      </c>
      <c r="D2308">
        <v>44.95</v>
      </c>
      <c r="E2308">
        <v>42.668937910399997</v>
      </c>
      <c r="F2308">
        <v>-8.7011705804900004</v>
      </c>
      <c r="G2308">
        <v>1.75</v>
      </c>
    </row>
    <row r="2309" spans="1:7" x14ac:dyDescent="0.25">
      <c r="A2309" t="s">
        <v>3588</v>
      </c>
      <c r="B2309" s="8">
        <v>42139</v>
      </c>
      <c r="C2309">
        <v>262</v>
      </c>
      <c r="D2309">
        <v>36.200000000000003</v>
      </c>
      <c r="E2309">
        <v>42.131314824699999</v>
      </c>
      <c r="F2309">
        <v>-7.7910948474400001</v>
      </c>
      <c r="G2309">
        <v>1.75</v>
      </c>
    </row>
    <row r="2310" spans="1:7" x14ac:dyDescent="0.25">
      <c r="A2310" t="s">
        <v>3589</v>
      </c>
      <c r="B2310" s="8">
        <v>42140</v>
      </c>
      <c r="C2310">
        <v>275</v>
      </c>
      <c r="D2310">
        <v>31.2</v>
      </c>
      <c r="E2310">
        <v>167.19294636999999</v>
      </c>
      <c r="F2310">
        <v>-5.5798848011900004</v>
      </c>
      <c r="G2310">
        <v>5.2</v>
      </c>
    </row>
    <row r="2311" spans="1:7" x14ac:dyDescent="0.25">
      <c r="A2311" t="s">
        <v>3590</v>
      </c>
      <c r="B2311" s="8">
        <v>42140</v>
      </c>
      <c r="C2311">
        <v>71</v>
      </c>
      <c r="D2311">
        <v>33.450000000000003</v>
      </c>
      <c r="E2311">
        <v>162.76317870899999</v>
      </c>
      <c r="F2311">
        <v>-1.58898575056</v>
      </c>
      <c r="G2311">
        <v>5.2</v>
      </c>
    </row>
    <row r="2312" spans="1:7" x14ac:dyDescent="0.25">
      <c r="A2312" t="s">
        <v>3591</v>
      </c>
      <c r="B2312" s="8">
        <v>42140</v>
      </c>
      <c r="C2312">
        <v>204</v>
      </c>
      <c r="D2312">
        <v>12.7</v>
      </c>
      <c r="E2312">
        <v>42.839401273900002</v>
      </c>
      <c r="F2312">
        <v>-5.9014166385699998</v>
      </c>
      <c r="G2312">
        <v>3.2</v>
      </c>
    </row>
    <row r="2313" spans="1:7" x14ac:dyDescent="0.25">
      <c r="A2313" t="s">
        <v>3592</v>
      </c>
      <c r="B2313" s="8">
        <v>42141</v>
      </c>
      <c r="C2313">
        <v>279</v>
      </c>
      <c r="D2313">
        <v>24.75</v>
      </c>
      <c r="E2313">
        <v>47.946716645400002</v>
      </c>
      <c r="F2313">
        <v>-6.8908428452499999</v>
      </c>
      <c r="G2313">
        <v>13</v>
      </c>
    </row>
    <row r="2314" spans="1:7" x14ac:dyDescent="0.25">
      <c r="A2314" t="s">
        <v>3593</v>
      </c>
      <c r="B2314" s="8">
        <v>42141</v>
      </c>
      <c r="C2314">
        <v>97</v>
      </c>
      <c r="D2314">
        <v>27.75</v>
      </c>
      <c r="E2314">
        <v>43.045172229499997</v>
      </c>
      <c r="F2314">
        <v>-1.5811457719499999</v>
      </c>
      <c r="G2314">
        <v>13</v>
      </c>
    </row>
    <row r="2315" spans="1:7" x14ac:dyDescent="0.25">
      <c r="A2315" t="s">
        <v>3594</v>
      </c>
      <c r="B2315" s="8">
        <v>42141</v>
      </c>
      <c r="C2315">
        <v>187</v>
      </c>
      <c r="D2315">
        <v>23.75</v>
      </c>
      <c r="E2315">
        <v>45.670698397099997</v>
      </c>
      <c r="F2315">
        <v>-7.5621460965600003</v>
      </c>
      <c r="G2315">
        <v>13</v>
      </c>
    </row>
    <row r="2316" spans="1:7" x14ac:dyDescent="0.25">
      <c r="A2316" t="s">
        <v>3595</v>
      </c>
      <c r="B2316" s="8">
        <v>42141</v>
      </c>
      <c r="C2316">
        <v>92</v>
      </c>
      <c r="D2316">
        <v>48.35</v>
      </c>
      <c r="E2316">
        <v>37.7807914467</v>
      </c>
      <c r="F2316">
        <v>-4.1825197140299997</v>
      </c>
      <c r="G2316">
        <v>1.75</v>
      </c>
    </row>
    <row r="2317" spans="1:7" x14ac:dyDescent="0.25">
      <c r="A2317" t="s">
        <v>3596</v>
      </c>
      <c r="B2317" s="8">
        <v>42142</v>
      </c>
      <c r="C2317">
        <v>130</v>
      </c>
      <c r="D2317">
        <v>49.25</v>
      </c>
      <c r="E2317">
        <v>38.015659843900004</v>
      </c>
      <c r="F2317">
        <v>-2.9280028324399998</v>
      </c>
      <c r="G2317">
        <v>20</v>
      </c>
    </row>
    <row r="2318" spans="1:7" x14ac:dyDescent="0.25">
      <c r="A2318" t="s">
        <v>3597</v>
      </c>
      <c r="B2318" s="8">
        <v>42142</v>
      </c>
      <c r="C2318">
        <v>110</v>
      </c>
      <c r="D2318">
        <v>23.5</v>
      </c>
      <c r="E2318">
        <v>37.448233779799999</v>
      </c>
      <c r="F2318">
        <v>-3.0862263680900002</v>
      </c>
      <c r="G2318">
        <v>20</v>
      </c>
    </row>
    <row r="2319" spans="1:7" x14ac:dyDescent="0.25">
      <c r="A2319" t="s">
        <v>3598</v>
      </c>
      <c r="B2319" s="8">
        <v>42137</v>
      </c>
      <c r="C2319">
        <v>39</v>
      </c>
      <c r="D2319">
        <v>25.5</v>
      </c>
      <c r="E2319">
        <v>32.523445477800003</v>
      </c>
      <c r="F2319">
        <v>-1.5449324665599999</v>
      </c>
      <c r="G2319">
        <v>18</v>
      </c>
    </row>
    <row r="2320" spans="1:7" x14ac:dyDescent="0.25">
      <c r="A2320" t="s">
        <v>3599</v>
      </c>
      <c r="B2320" s="8">
        <v>42136</v>
      </c>
      <c r="C2320">
        <v>278</v>
      </c>
      <c r="D2320">
        <v>9.1999999999999993</v>
      </c>
      <c r="E2320">
        <v>39.141875904199999</v>
      </c>
      <c r="F2320">
        <v>-0.89775272052199995</v>
      </c>
      <c r="G2320">
        <v>4.2</v>
      </c>
    </row>
    <row r="2321" spans="1:7" x14ac:dyDescent="0.25">
      <c r="A2321" t="s">
        <v>3599</v>
      </c>
      <c r="B2321" s="8">
        <v>42136</v>
      </c>
      <c r="C2321">
        <v>258</v>
      </c>
      <c r="D2321">
        <v>9.1999999999999993</v>
      </c>
      <c r="E2321">
        <v>39.141875904199999</v>
      </c>
      <c r="F2321">
        <v>-0.89775272052199995</v>
      </c>
      <c r="G2321">
        <v>4.2</v>
      </c>
    </row>
    <row r="2322" spans="1:7" x14ac:dyDescent="0.25">
      <c r="A2322" t="s">
        <v>3600</v>
      </c>
      <c r="B2322" s="8">
        <v>42136</v>
      </c>
      <c r="C2322">
        <v>113</v>
      </c>
      <c r="D2322">
        <v>31.2</v>
      </c>
      <c r="E2322">
        <v>36.077557804999998</v>
      </c>
      <c r="F2322">
        <v>-0.183350394202</v>
      </c>
      <c r="G2322">
        <v>11.2</v>
      </c>
    </row>
    <row r="2323" spans="1:7" x14ac:dyDescent="0.25">
      <c r="A2323" t="s">
        <v>3601</v>
      </c>
      <c r="B2323" s="8">
        <v>42136</v>
      </c>
      <c r="C2323">
        <v>92</v>
      </c>
      <c r="D2323">
        <v>15.45</v>
      </c>
      <c r="E2323">
        <v>36.514641421500002</v>
      </c>
      <c r="F2323">
        <v>-2.1082134262899999</v>
      </c>
      <c r="G2323">
        <v>4.2</v>
      </c>
    </row>
    <row r="2324" spans="1:7" x14ac:dyDescent="0.25">
      <c r="A2324" t="s">
        <v>3602</v>
      </c>
      <c r="B2324" s="8">
        <v>42136</v>
      </c>
      <c r="C2324">
        <v>73</v>
      </c>
      <c r="D2324">
        <v>20.2</v>
      </c>
      <c r="E2324">
        <v>36.016710439000001</v>
      </c>
      <c r="F2324">
        <v>-3.77096401378</v>
      </c>
      <c r="G2324">
        <v>4.2</v>
      </c>
    </row>
    <row r="2325" spans="1:7" x14ac:dyDescent="0.25">
      <c r="A2325" t="s">
        <v>3603</v>
      </c>
      <c r="B2325" s="8">
        <v>42135</v>
      </c>
      <c r="C2325">
        <v>184</v>
      </c>
      <c r="D2325">
        <v>33.5</v>
      </c>
      <c r="E2325">
        <v>40.855139308200002</v>
      </c>
      <c r="F2325">
        <v>-2.37549250549</v>
      </c>
      <c r="G2325">
        <v>2.5</v>
      </c>
    </row>
    <row r="2326" spans="1:7" x14ac:dyDescent="0.25">
      <c r="A2326" t="s">
        <v>3604</v>
      </c>
      <c r="B2326" s="8">
        <v>42135</v>
      </c>
      <c r="C2326">
        <v>55</v>
      </c>
      <c r="D2326">
        <v>43.25</v>
      </c>
      <c r="E2326">
        <v>36.020578073499998</v>
      </c>
      <c r="F2326">
        <v>-1.63809393877</v>
      </c>
      <c r="G2326">
        <v>2.5</v>
      </c>
    </row>
    <row r="2327" spans="1:7" x14ac:dyDescent="0.25">
      <c r="A2327" t="s">
        <v>3605</v>
      </c>
      <c r="B2327" s="8">
        <v>42135</v>
      </c>
      <c r="C2327">
        <v>37</v>
      </c>
      <c r="D2327">
        <v>27.25</v>
      </c>
      <c r="E2327">
        <v>34.265912610500003</v>
      </c>
      <c r="F2327">
        <v>-0.935759818897</v>
      </c>
      <c r="G2327">
        <v>6</v>
      </c>
    </row>
    <row r="2328" spans="1:7" x14ac:dyDescent="0.25">
      <c r="A2328" t="s">
        <v>3606</v>
      </c>
      <c r="B2328" s="8">
        <v>42134</v>
      </c>
      <c r="C2328">
        <v>280</v>
      </c>
      <c r="D2328">
        <v>18.75</v>
      </c>
      <c r="E2328">
        <v>169.88810709099999</v>
      </c>
      <c r="F2328">
        <v>-6.4351365518100003</v>
      </c>
      <c r="G2328">
        <v>8</v>
      </c>
    </row>
    <row r="2329" spans="1:7" x14ac:dyDescent="0.25">
      <c r="A2329" t="s">
        <v>3607</v>
      </c>
      <c r="B2329" s="8">
        <v>42134</v>
      </c>
      <c r="C2329">
        <v>169</v>
      </c>
      <c r="D2329">
        <v>24.75</v>
      </c>
      <c r="E2329">
        <v>168.105122518</v>
      </c>
      <c r="F2329">
        <v>-1.66490907284</v>
      </c>
      <c r="G2329">
        <v>8</v>
      </c>
    </row>
    <row r="2330" spans="1:7" x14ac:dyDescent="0.25">
      <c r="A2330" t="s">
        <v>3608</v>
      </c>
      <c r="B2330" s="8">
        <v>42134</v>
      </c>
      <c r="C2330">
        <v>91</v>
      </c>
      <c r="D2330">
        <v>18.2</v>
      </c>
      <c r="E2330">
        <v>38.275529832899998</v>
      </c>
      <c r="F2330">
        <v>-5.7283389071000004</v>
      </c>
      <c r="G2330">
        <v>-0.75</v>
      </c>
    </row>
    <row r="2331" spans="1:7" x14ac:dyDescent="0.25">
      <c r="A2331" t="s">
        <v>3609</v>
      </c>
      <c r="B2331" s="8">
        <v>42133</v>
      </c>
      <c r="C2331">
        <v>158</v>
      </c>
      <c r="D2331">
        <v>39.85</v>
      </c>
      <c r="E2331">
        <v>38.2424877216</v>
      </c>
      <c r="F2331">
        <v>-2.7489041454000001</v>
      </c>
      <c r="G2331">
        <v>15.1</v>
      </c>
    </row>
    <row r="2332" spans="1:7" x14ac:dyDescent="0.25">
      <c r="A2332" t="s">
        <v>3610</v>
      </c>
      <c r="B2332" s="8">
        <v>42133</v>
      </c>
      <c r="C2332">
        <v>57</v>
      </c>
      <c r="D2332">
        <v>31.85</v>
      </c>
      <c r="E2332">
        <v>34.941548478400001</v>
      </c>
      <c r="F2332">
        <v>-1.2712115956800001</v>
      </c>
      <c r="G2332">
        <v>10.1</v>
      </c>
    </row>
    <row r="2333" spans="1:7" x14ac:dyDescent="0.25">
      <c r="A2333" t="s">
        <v>3611</v>
      </c>
      <c r="B2333" s="8">
        <v>42132</v>
      </c>
      <c r="C2333">
        <v>263</v>
      </c>
      <c r="D2333">
        <v>27.95</v>
      </c>
      <c r="E2333">
        <v>41.101399291900002</v>
      </c>
      <c r="F2333">
        <v>-5.7902990267899996</v>
      </c>
      <c r="G2333">
        <v>4.2</v>
      </c>
    </row>
    <row r="2334" spans="1:7" x14ac:dyDescent="0.25">
      <c r="A2334" t="s">
        <v>3612</v>
      </c>
      <c r="B2334" s="8">
        <v>42131</v>
      </c>
      <c r="C2334">
        <v>112</v>
      </c>
      <c r="D2334">
        <v>34.1</v>
      </c>
      <c r="E2334">
        <v>37.046775972699997</v>
      </c>
      <c r="F2334">
        <v>-4.3438229001200002</v>
      </c>
      <c r="G2334">
        <v>12.1</v>
      </c>
    </row>
    <row r="2335" spans="1:7" x14ac:dyDescent="0.25">
      <c r="A2335" t="s">
        <v>3613</v>
      </c>
      <c r="B2335" s="8">
        <v>42130</v>
      </c>
      <c r="C2335">
        <v>224</v>
      </c>
      <c r="D2335">
        <v>39.35</v>
      </c>
      <c r="E2335">
        <v>46.149142089599998</v>
      </c>
      <c r="F2335">
        <v>-3.78042990383</v>
      </c>
      <c r="G2335">
        <v>6.1</v>
      </c>
    </row>
    <row r="2336" spans="1:7" x14ac:dyDescent="0.25">
      <c r="A2336" t="s">
        <v>3614</v>
      </c>
      <c r="B2336" s="8">
        <v>42129</v>
      </c>
      <c r="C2336">
        <v>261</v>
      </c>
      <c r="D2336">
        <v>20.75</v>
      </c>
      <c r="E2336">
        <v>46.330110319799999</v>
      </c>
      <c r="F2336">
        <v>-1.1932633381</v>
      </c>
      <c r="G2336">
        <v>12</v>
      </c>
    </row>
    <row r="2337" spans="1:7" x14ac:dyDescent="0.25">
      <c r="A2337" t="s">
        <v>3615</v>
      </c>
      <c r="B2337" s="8">
        <v>42128</v>
      </c>
      <c r="C2337">
        <v>188</v>
      </c>
      <c r="D2337">
        <v>31.35</v>
      </c>
      <c r="E2337">
        <v>45.247471480400002</v>
      </c>
      <c r="F2337">
        <v>-6.0883049068800004</v>
      </c>
      <c r="G2337">
        <v>-1</v>
      </c>
    </row>
    <row r="2338" spans="1:7" x14ac:dyDescent="0.25">
      <c r="A2338" t="s">
        <v>3616</v>
      </c>
      <c r="B2338" s="8">
        <v>42128</v>
      </c>
      <c r="C2338">
        <v>58</v>
      </c>
      <c r="D2338">
        <v>34.25</v>
      </c>
      <c r="E2338">
        <v>34.9761328417</v>
      </c>
      <c r="F2338">
        <v>-5.0804410220999996</v>
      </c>
      <c r="G2338">
        <v>7</v>
      </c>
    </row>
    <row r="2339" spans="1:7" x14ac:dyDescent="0.25">
      <c r="A2339" t="s">
        <v>3617</v>
      </c>
      <c r="B2339" s="8">
        <v>42128</v>
      </c>
      <c r="C2339">
        <v>38</v>
      </c>
      <c r="D2339">
        <v>17.350000000000001</v>
      </c>
      <c r="E2339">
        <v>34.008322150300003</v>
      </c>
      <c r="F2339">
        <v>-0.32661489910500002</v>
      </c>
      <c r="G2339">
        <v>0.5</v>
      </c>
    </row>
    <row r="2340" spans="1:7" x14ac:dyDescent="0.25">
      <c r="A2340" t="s">
        <v>3618</v>
      </c>
      <c r="B2340" s="8">
        <v>42127</v>
      </c>
      <c r="C2340">
        <v>73</v>
      </c>
      <c r="D2340">
        <v>10.45</v>
      </c>
      <c r="E2340">
        <v>39.136672329500001</v>
      </c>
      <c r="F2340">
        <v>-6.54158119529</v>
      </c>
      <c r="G2340">
        <v>7.2</v>
      </c>
    </row>
    <row r="2341" spans="1:7" x14ac:dyDescent="0.25">
      <c r="A2341" t="s">
        <v>3619</v>
      </c>
      <c r="B2341" s="8">
        <v>42126</v>
      </c>
      <c r="C2341">
        <v>279</v>
      </c>
      <c r="D2341">
        <v>30.75</v>
      </c>
      <c r="E2341">
        <v>48.475617328699997</v>
      </c>
      <c r="F2341">
        <v>-6.5574761453299999</v>
      </c>
      <c r="G2341">
        <v>7</v>
      </c>
    </row>
    <row r="2342" spans="1:7" x14ac:dyDescent="0.25">
      <c r="A2342" t="s">
        <v>3620</v>
      </c>
      <c r="B2342" s="8">
        <v>42126</v>
      </c>
      <c r="C2342">
        <v>129</v>
      </c>
      <c r="D2342">
        <v>22.5</v>
      </c>
      <c r="E2342">
        <v>44.928113238500003</v>
      </c>
      <c r="F2342">
        <v>-5.2843929336800004</v>
      </c>
      <c r="G2342">
        <v>7</v>
      </c>
    </row>
    <row r="2343" spans="1:7" x14ac:dyDescent="0.25">
      <c r="A2343" t="s">
        <v>3621</v>
      </c>
      <c r="B2343" s="8">
        <v>42126</v>
      </c>
      <c r="C2343">
        <v>150</v>
      </c>
      <c r="D2343">
        <v>52.75</v>
      </c>
      <c r="E2343">
        <v>40.363679901899999</v>
      </c>
      <c r="F2343">
        <v>-2.31468327267</v>
      </c>
      <c r="G2343">
        <v>15</v>
      </c>
    </row>
    <row r="2344" spans="1:7" x14ac:dyDescent="0.25">
      <c r="A2344" t="s">
        <v>3622</v>
      </c>
      <c r="B2344" s="8">
        <v>42126</v>
      </c>
      <c r="C2344">
        <v>54</v>
      </c>
      <c r="D2344">
        <v>36</v>
      </c>
      <c r="E2344">
        <v>38.469018454299999</v>
      </c>
      <c r="F2344">
        <v>-2.54392194923</v>
      </c>
      <c r="G2344">
        <v>0.75</v>
      </c>
    </row>
    <row r="2345" spans="1:7" x14ac:dyDescent="0.25">
      <c r="A2345" t="s">
        <v>3623</v>
      </c>
      <c r="B2345" s="8">
        <v>42125</v>
      </c>
      <c r="C2345">
        <v>260</v>
      </c>
      <c r="D2345">
        <v>29.75</v>
      </c>
      <c r="E2345">
        <v>45.250213219999999</v>
      </c>
      <c r="F2345">
        <v>-1.7371887537899999</v>
      </c>
      <c r="G2345">
        <v>7</v>
      </c>
    </row>
    <row r="2346" spans="1:7" x14ac:dyDescent="0.25">
      <c r="A2346" t="s">
        <v>3624</v>
      </c>
      <c r="B2346" s="8">
        <v>42125</v>
      </c>
      <c r="C2346">
        <v>98</v>
      </c>
      <c r="D2346">
        <v>19.75</v>
      </c>
      <c r="E2346">
        <v>36.614507020300003</v>
      </c>
      <c r="F2346">
        <v>-1.7543668994799999</v>
      </c>
      <c r="G2346">
        <v>-0.5</v>
      </c>
    </row>
    <row r="2347" spans="1:7" x14ac:dyDescent="0.25">
      <c r="A2347" t="s">
        <v>3625</v>
      </c>
      <c r="B2347" s="8">
        <v>42123</v>
      </c>
      <c r="C2347">
        <v>146</v>
      </c>
      <c r="D2347">
        <v>28.25</v>
      </c>
      <c r="E2347">
        <v>35.8144908493</v>
      </c>
      <c r="F2347">
        <v>-7.7776192566800004</v>
      </c>
      <c r="G2347">
        <v>13</v>
      </c>
    </row>
    <row r="2348" spans="1:7" x14ac:dyDescent="0.25">
      <c r="A2348" t="s">
        <v>3626</v>
      </c>
      <c r="B2348" s="8">
        <v>42123</v>
      </c>
      <c r="C2348">
        <v>58</v>
      </c>
      <c r="D2348">
        <v>14.5</v>
      </c>
      <c r="E2348">
        <v>35.264066655599997</v>
      </c>
      <c r="F2348">
        <v>-4.6883521731600002</v>
      </c>
      <c r="G2348">
        <v>13</v>
      </c>
    </row>
    <row r="2349" spans="1:7" x14ac:dyDescent="0.25">
      <c r="A2349" t="s">
        <v>3627</v>
      </c>
      <c r="B2349" s="8">
        <v>42122</v>
      </c>
      <c r="C2349">
        <v>219</v>
      </c>
      <c r="D2349">
        <v>21.7</v>
      </c>
      <c r="E2349">
        <v>42.445098859200002</v>
      </c>
      <c r="F2349">
        <v>-3.4889684177600002</v>
      </c>
      <c r="G2349">
        <v>-0.5</v>
      </c>
    </row>
    <row r="2350" spans="1:7" x14ac:dyDescent="0.25">
      <c r="A2350" t="s">
        <v>3628</v>
      </c>
      <c r="B2350" s="8">
        <v>42122</v>
      </c>
      <c r="C2350">
        <v>113</v>
      </c>
      <c r="D2350">
        <v>46.45</v>
      </c>
      <c r="E2350">
        <v>39.063900230800002</v>
      </c>
      <c r="F2350">
        <v>-3.8044063753100001</v>
      </c>
      <c r="G2350">
        <v>-0.5</v>
      </c>
    </row>
    <row r="2351" spans="1:7" x14ac:dyDescent="0.25">
      <c r="A2351" t="s">
        <v>3629</v>
      </c>
      <c r="B2351" s="8">
        <v>42121</v>
      </c>
      <c r="C2351">
        <v>242</v>
      </c>
      <c r="D2351">
        <v>34</v>
      </c>
      <c r="E2351">
        <v>59.0840157783</v>
      </c>
      <c r="F2351">
        <v>-4.6614331311999999</v>
      </c>
      <c r="G2351">
        <v>16</v>
      </c>
    </row>
    <row r="2352" spans="1:7" x14ac:dyDescent="0.25">
      <c r="A2352" t="s">
        <v>3630</v>
      </c>
      <c r="B2352" s="8">
        <v>42121</v>
      </c>
      <c r="C2352">
        <v>203</v>
      </c>
      <c r="D2352">
        <v>21.25</v>
      </c>
      <c r="E2352">
        <v>56.258849040299999</v>
      </c>
      <c r="F2352">
        <v>-4.0181352498900003</v>
      </c>
      <c r="G2352">
        <v>16</v>
      </c>
    </row>
    <row r="2353" spans="1:7" x14ac:dyDescent="0.25">
      <c r="A2353" t="s">
        <v>3631</v>
      </c>
      <c r="B2353" s="8">
        <v>42121</v>
      </c>
      <c r="C2353">
        <v>113</v>
      </c>
      <c r="D2353">
        <v>14.6</v>
      </c>
      <c r="E2353">
        <v>39.1269688629</v>
      </c>
      <c r="F2353">
        <v>-9.9622914198700006</v>
      </c>
      <c r="G2353">
        <v>7.1</v>
      </c>
    </row>
    <row r="2354" spans="1:7" x14ac:dyDescent="0.25">
      <c r="A2354" t="s">
        <v>3632</v>
      </c>
      <c r="B2354" s="8">
        <v>42120</v>
      </c>
      <c r="C2354">
        <v>266</v>
      </c>
      <c r="D2354">
        <v>28.85</v>
      </c>
      <c r="E2354">
        <v>52.584895464200002</v>
      </c>
      <c r="F2354">
        <v>-3.2597719999399999</v>
      </c>
      <c r="G2354">
        <v>17.100000000000001</v>
      </c>
    </row>
    <row r="2355" spans="1:7" x14ac:dyDescent="0.25">
      <c r="A2355" t="s">
        <v>3633</v>
      </c>
      <c r="B2355" s="8">
        <v>42120</v>
      </c>
      <c r="C2355">
        <v>96</v>
      </c>
      <c r="D2355">
        <v>42.85</v>
      </c>
      <c r="E2355">
        <v>41.555332935099997</v>
      </c>
      <c r="F2355">
        <v>-2.8498987906300002</v>
      </c>
      <c r="G2355">
        <v>17.100000000000001</v>
      </c>
    </row>
    <row r="2356" spans="1:7" x14ac:dyDescent="0.25">
      <c r="A2356" t="s">
        <v>3634</v>
      </c>
      <c r="B2356" s="8">
        <v>42119</v>
      </c>
      <c r="C2356">
        <v>147</v>
      </c>
      <c r="D2356">
        <v>15.35</v>
      </c>
      <c r="E2356">
        <v>37.409314529699998</v>
      </c>
      <c r="F2356">
        <v>-2.7764921972500001</v>
      </c>
      <c r="G2356">
        <v>-1.9</v>
      </c>
    </row>
    <row r="2357" spans="1:7" x14ac:dyDescent="0.25">
      <c r="A2357" t="s">
        <v>3635</v>
      </c>
      <c r="B2357" s="8">
        <v>42119</v>
      </c>
      <c r="C2357">
        <v>76</v>
      </c>
      <c r="D2357">
        <v>16.5</v>
      </c>
      <c r="E2357">
        <v>36.378180257399997</v>
      </c>
      <c r="F2357">
        <v>-6.4129431017299998</v>
      </c>
      <c r="G2357">
        <v>8</v>
      </c>
    </row>
    <row r="2358" spans="1:7" x14ac:dyDescent="0.25">
      <c r="A2358" t="s">
        <v>3636</v>
      </c>
      <c r="B2358" s="8">
        <v>42118</v>
      </c>
      <c r="C2358">
        <v>283</v>
      </c>
      <c r="D2358">
        <v>32.950000000000003</v>
      </c>
      <c r="E2358">
        <v>49.861330566900001</v>
      </c>
      <c r="F2358">
        <v>-5.3937290767599997</v>
      </c>
      <c r="G2358">
        <v>17.2</v>
      </c>
    </row>
    <row r="2359" spans="1:7" x14ac:dyDescent="0.25">
      <c r="A2359" t="s">
        <v>3637</v>
      </c>
      <c r="B2359" s="8">
        <v>42118</v>
      </c>
      <c r="C2359">
        <v>94</v>
      </c>
      <c r="D2359">
        <v>23.2</v>
      </c>
      <c r="E2359">
        <v>35.427944382500002</v>
      </c>
      <c r="F2359">
        <v>-2.31561831476</v>
      </c>
      <c r="G2359">
        <v>1.5</v>
      </c>
    </row>
    <row r="2360" spans="1:7" x14ac:dyDescent="0.25">
      <c r="A2360" t="s">
        <v>3638</v>
      </c>
      <c r="B2360" s="8">
        <v>42118</v>
      </c>
      <c r="C2360">
        <v>56</v>
      </c>
      <c r="D2360">
        <v>35</v>
      </c>
      <c r="E2360">
        <v>36.087263007799997</v>
      </c>
      <c r="F2360">
        <v>-2.5027599040999999</v>
      </c>
      <c r="G2360">
        <v>9</v>
      </c>
    </row>
    <row r="2361" spans="1:7" x14ac:dyDescent="0.25">
      <c r="A2361" t="s">
        <v>3639</v>
      </c>
      <c r="B2361" s="8">
        <v>42117</v>
      </c>
      <c r="C2361">
        <v>53</v>
      </c>
      <c r="D2361">
        <v>23.75</v>
      </c>
      <c r="E2361">
        <v>35.1232089465</v>
      </c>
      <c r="F2361">
        <v>-5.6255223186199999</v>
      </c>
      <c r="G2361">
        <v>10</v>
      </c>
    </row>
    <row r="2362" spans="1:7" x14ac:dyDescent="0.25">
      <c r="A2362" t="s">
        <v>3640</v>
      </c>
      <c r="B2362" s="8">
        <v>42117</v>
      </c>
      <c r="C2362">
        <v>79</v>
      </c>
      <c r="D2362">
        <v>20.75</v>
      </c>
      <c r="E2362">
        <v>36.793574770399999</v>
      </c>
      <c r="F2362">
        <v>-2.58455114214</v>
      </c>
      <c r="G2362">
        <v>7</v>
      </c>
    </row>
    <row r="2363" spans="1:7" x14ac:dyDescent="0.25">
      <c r="A2363" t="s">
        <v>3641</v>
      </c>
      <c r="B2363" s="8">
        <v>42116</v>
      </c>
      <c r="C2363">
        <v>281</v>
      </c>
      <c r="D2363">
        <v>23.25</v>
      </c>
      <c r="E2363">
        <v>39.7387582733</v>
      </c>
      <c r="F2363">
        <v>-2.8083911316100001</v>
      </c>
      <c r="G2363">
        <v>19</v>
      </c>
    </row>
    <row r="2364" spans="1:7" x14ac:dyDescent="0.25">
      <c r="A2364" t="s">
        <v>3642</v>
      </c>
      <c r="B2364" s="8">
        <v>42116</v>
      </c>
      <c r="C2364">
        <v>261</v>
      </c>
      <c r="D2364">
        <v>32</v>
      </c>
      <c r="E2364">
        <v>39.580149240799997</v>
      </c>
      <c r="F2364">
        <v>-2.6644636851899999</v>
      </c>
      <c r="G2364">
        <v>19</v>
      </c>
    </row>
    <row r="2365" spans="1:7" x14ac:dyDescent="0.25">
      <c r="A2365" t="s">
        <v>3643</v>
      </c>
      <c r="B2365" s="8">
        <v>42116</v>
      </c>
      <c r="C2365">
        <v>74</v>
      </c>
      <c r="D2365">
        <v>21.25</v>
      </c>
      <c r="E2365">
        <v>36.617539123299998</v>
      </c>
      <c r="F2365">
        <v>-1.7935255107400001</v>
      </c>
      <c r="G2365">
        <v>-0.5</v>
      </c>
    </row>
    <row r="2366" spans="1:7" x14ac:dyDescent="0.25">
      <c r="A2366" t="s">
        <v>3644</v>
      </c>
      <c r="B2366" s="8">
        <v>42116</v>
      </c>
      <c r="C2366">
        <v>55</v>
      </c>
      <c r="D2366">
        <v>45.5</v>
      </c>
      <c r="E2366">
        <v>37.938644110299997</v>
      </c>
      <c r="F2366">
        <v>-2.47435125863</v>
      </c>
      <c r="G2366">
        <v>19</v>
      </c>
    </row>
    <row r="2367" spans="1:7" x14ac:dyDescent="0.25">
      <c r="A2367" t="s">
        <v>3645</v>
      </c>
      <c r="B2367" s="8">
        <v>42115</v>
      </c>
      <c r="C2367">
        <v>278</v>
      </c>
      <c r="D2367">
        <v>31.25</v>
      </c>
      <c r="E2367">
        <v>42.823947113099997</v>
      </c>
      <c r="F2367">
        <v>-4.1556246269199999</v>
      </c>
      <c r="G2367">
        <v>11</v>
      </c>
    </row>
    <row r="2368" spans="1:7" x14ac:dyDescent="0.25">
      <c r="A2368" t="s">
        <v>3646</v>
      </c>
      <c r="B2368" s="8">
        <v>42115</v>
      </c>
      <c r="C2368">
        <v>74</v>
      </c>
      <c r="D2368">
        <v>50.75</v>
      </c>
      <c r="E2368">
        <v>34.300155786600001</v>
      </c>
      <c r="F2368">
        <v>-1.6076516414799999</v>
      </c>
      <c r="G2368">
        <v>1.75</v>
      </c>
    </row>
    <row r="2369" spans="1:7" x14ac:dyDescent="0.25">
      <c r="A2369" t="s">
        <v>3647</v>
      </c>
      <c r="B2369" s="8">
        <v>42114</v>
      </c>
      <c r="C2369">
        <v>152</v>
      </c>
      <c r="D2369">
        <v>23.25</v>
      </c>
      <c r="E2369">
        <v>40.395102504800001</v>
      </c>
      <c r="F2369">
        <v>-0.23676996841299999</v>
      </c>
      <c r="G2369">
        <v>17</v>
      </c>
    </row>
    <row r="2370" spans="1:7" x14ac:dyDescent="0.25">
      <c r="A2370" t="s">
        <v>3648</v>
      </c>
      <c r="B2370" s="8">
        <v>42114</v>
      </c>
      <c r="C2370">
        <v>57</v>
      </c>
      <c r="D2370">
        <v>15.5</v>
      </c>
      <c r="E2370">
        <v>34.6255966493</v>
      </c>
      <c r="F2370">
        <v>-4.5844046838899999</v>
      </c>
      <c r="G2370">
        <v>-2</v>
      </c>
    </row>
    <row r="2371" spans="1:7" x14ac:dyDescent="0.25">
      <c r="A2371" t="s">
        <v>3649</v>
      </c>
      <c r="B2371" s="8">
        <v>42113</v>
      </c>
      <c r="C2371">
        <v>284</v>
      </c>
      <c r="D2371">
        <v>32</v>
      </c>
      <c r="E2371">
        <v>41.263603202299997</v>
      </c>
      <c r="F2371">
        <v>-0.76855801744100005</v>
      </c>
      <c r="G2371">
        <v>6</v>
      </c>
    </row>
    <row r="2372" spans="1:7" x14ac:dyDescent="0.25">
      <c r="A2372" t="s">
        <v>3650</v>
      </c>
      <c r="B2372" s="8">
        <v>42113</v>
      </c>
      <c r="C2372">
        <v>211</v>
      </c>
      <c r="D2372">
        <v>26.75</v>
      </c>
      <c r="E2372">
        <v>41.196727663700003</v>
      </c>
      <c r="F2372">
        <v>-0.736365408715</v>
      </c>
      <c r="G2372">
        <v>6</v>
      </c>
    </row>
    <row r="2373" spans="1:7" x14ac:dyDescent="0.25">
      <c r="A2373" t="s">
        <v>3651</v>
      </c>
      <c r="B2373" s="8">
        <v>42113</v>
      </c>
      <c r="C2373">
        <v>74</v>
      </c>
      <c r="D2373">
        <v>69.75</v>
      </c>
      <c r="E2373">
        <v>34.561293872900002</v>
      </c>
      <c r="F2373">
        <v>-4.5620698491900002</v>
      </c>
      <c r="G2373">
        <v>-0.25</v>
      </c>
    </row>
    <row r="2374" spans="1:7" x14ac:dyDescent="0.25">
      <c r="A2374" t="s">
        <v>3652</v>
      </c>
      <c r="B2374" s="8">
        <v>42112</v>
      </c>
      <c r="C2374">
        <v>150</v>
      </c>
      <c r="D2374">
        <v>29</v>
      </c>
      <c r="E2374">
        <v>51.586387893900003</v>
      </c>
      <c r="F2374">
        <v>-1.8508630825900001</v>
      </c>
      <c r="G2374">
        <v>19</v>
      </c>
    </row>
    <row r="2375" spans="1:7" x14ac:dyDescent="0.25">
      <c r="A2375" t="s">
        <v>3653</v>
      </c>
      <c r="B2375" s="8">
        <v>42111</v>
      </c>
      <c r="C2375">
        <v>245</v>
      </c>
      <c r="D2375">
        <v>60.5</v>
      </c>
      <c r="E2375">
        <v>53.888661143299998</v>
      </c>
      <c r="F2375">
        <v>-0.67995702291899995</v>
      </c>
      <c r="G2375">
        <v>1.75</v>
      </c>
    </row>
    <row r="2376" spans="1:7" x14ac:dyDescent="0.25">
      <c r="A2376" t="s">
        <v>3654</v>
      </c>
      <c r="B2376" s="8">
        <v>42111</v>
      </c>
      <c r="C2376">
        <v>55</v>
      </c>
      <c r="D2376">
        <v>41.75</v>
      </c>
      <c r="E2376">
        <v>36.808071636199998</v>
      </c>
      <c r="F2376">
        <v>-2.7112916686099999</v>
      </c>
      <c r="G2376">
        <v>1.75</v>
      </c>
    </row>
    <row r="2377" spans="1:7" x14ac:dyDescent="0.25">
      <c r="A2377" t="s">
        <v>3655</v>
      </c>
      <c r="B2377" s="8">
        <v>42111</v>
      </c>
      <c r="C2377">
        <v>78</v>
      </c>
      <c r="D2377">
        <v>15.75</v>
      </c>
      <c r="E2377">
        <v>35.171357172199997</v>
      </c>
      <c r="F2377">
        <v>-0.78870200652099998</v>
      </c>
      <c r="G2377">
        <v>13</v>
      </c>
    </row>
    <row r="2378" spans="1:7" x14ac:dyDescent="0.25">
      <c r="A2378" t="s">
        <v>3656</v>
      </c>
      <c r="B2378" s="8">
        <v>42143</v>
      </c>
      <c r="C2378">
        <v>279</v>
      </c>
      <c r="D2378">
        <v>18.25</v>
      </c>
      <c r="E2378">
        <v>53.804815442399999</v>
      </c>
      <c r="F2378">
        <v>-1.0465082611600001</v>
      </c>
      <c r="G2378">
        <v>8</v>
      </c>
    </row>
    <row r="2379" spans="1:7" x14ac:dyDescent="0.25">
      <c r="A2379" t="s">
        <v>3657</v>
      </c>
      <c r="B2379" s="8">
        <v>42144</v>
      </c>
      <c r="C2379">
        <v>277</v>
      </c>
      <c r="D2379">
        <v>17.25</v>
      </c>
      <c r="E2379">
        <v>41.408705694299996</v>
      </c>
      <c r="F2379">
        <v>-8.1336861623699992</v>
      </c>
      <c r="G2379">
        <v>12</v>
      </c>
    </row>
    <row r="2380" spans="1:7" x14ac:dyDescent="0.25">
      <c r="A2380" t="s">
        <v>3657</v>
      </c>
      <c r="B2380" s="8">
        <v>42144</v>
      </c>
      <c r="C2380">
        <v>257</v>
      </c>
      <c r="D2380">
        <v>17.25</v>
      </c>
      <c r="E2380">
        <v>41.408705694299996</v>
      </c>
      <c r="F2380">
        <v>-8.1336861623699992</v>
      </c>
      <c r="G2380">
        <v>12</v>
      </c>
    </row>
    <row r="2381" spans="1:7" x14ac:dyDescent="0.25">
      <c r="A2381" t="s">
        <v>3658</v>
      </c>
      <c r="B2381" s="8">
        <v>42145</v>
      </c>
      <c r="C2381">
        <v>223</v>
      </c>
      <c r="D2381">
        <v>37.1</v>
      </c>
      <c r="E2381">
        <v>37.927672370400003</v>
      </c>
      <c r="F2381">
        <v>-1.7130676219600001</v>
      </c>
      <c r="G2381">
        <v>5.75</v>
      </c>
    </row>
    <row r="2382" spans="1:7" x14ac:dyDescent="0.25">
      <c r="A2382" t="s">
        <v>3659</v>
      </c>
      <c r="B2382" s="8">
        <v>42145</v>
      </c>
      <c r="C2382">
        <v>109</v>
      </c>
      <c r="D2382">
        <v>41.85</v>
      </c>
      <c r="E2382">
        <v>36.472079846500002</v>
      </c>
      <c r="F2382">
        <v>-1.0012737931</v>
      </c>
      <c r="G2382">
        <v>5.75</v>
      </c>
    </row>
    <row r="2383" spans="1:7" x14ac:dyDescent="0.25">
      <c r="A2383" t="s">
        <v>3660</v>
      </c>
      <c r="B2383" s="8">
        <v>42145</v>
      </c>
      <c r="C2383">
        <v>34</v>
      </c>
      <c r="D2383">
        <v>44.1</v>
      </c>
      <c r="E2383">
        <v>34.354565172999997</v>
      </c>
      <c r="F2383">
        <v>-3.2914617372300001</v>
      </c>
      <c r="G2383">
        <v>5.75</v>
      </c>
    </row>
    <row r="2384" spans="1:7" x14ac:dyDescent="0.25">
      <c r="A2384" t="s">
        <v>3661</v>
      </c>
      <c r="B2384" s="8">
        <v>42145</v>
      </c>
      <c r="C2384">
        <v>114</v>
      </c>
      <c r="D2384">
        <v>28.5</v>
      </c>
      <c r="E2384">
        <v>34.006234581400001</v>
      </c>
      <c r="F2384">
        <v>-2.86183823527</v>
      </c>
      <c r="G2384">
        <v>18</v>
      </c>
    </row>
    <row r="2385" spans="1:7" x14ac:dyDescent="0.25">
      <c r="A2385" t="s">
        <v>3662</v>
      </c>
      <c r="B2385" s="8">
        <v>42146</v>
      </c>
      <c r="C2385">
        <v>278</v>
      </c>
      <c r="D2385">
        <v>36.25</v>
      </c>
      <c r="E2385">
        <v>39.225643438799999</v>
      </c>
      <c r="F2385">
        <v>-6.1758732834999996</v>
      </c>
      <c r="G2385">
        <v>1.75</v>
      </c>
    </row>
    <row r="2386" spans="1:7" x14ac:dyDescent="0.25">
      <c r="A2386" t="s">
        <v>3663</v>
      </c>
      <c r="B2386" s="8">
        <v>42146</v>
      </c>
      <c r="C2386">
        <v>58</v>
      </c>
      <c r="D2386">
        <v>15.5</v>
      </c>
      <c r="E2386">
        <v>34.191460409800001</v>
      </c>
      <c r="F2386">
        <v>-4.4858504360699998</v>
      </c>
      <c r="G2386">
        <v>8</v>
      </c>
    </row>
    <row r="2387" spans="1:7" x14ac:dyDescent="0.25">
      <c r="A2387" t="s">
        <v>3664</v>
      </c>
      <c r="B2387" s="8">
        <v>42147</v>
      </c>
      <c r="C2387">
        <v>118</v>
      </c>
      <c r="D2387">
        <v>30.7</v>
      </c>
      <c r="E2387">
        <v>71.3352533865</v>
      </c>
      <c r="F2387">
        <v>-0.388884718445</v>
      </c>
      <c r="G2387">
        <v>-0.75</v>
      </c>
    </row>
    <row r="2388" spans="1:7" x14ac:dyDescent="0.25">
      <c r="A2388" t="s">
        <v>3665</v>
      </c>
      <c r="B2388" s="8">
        <v>42147</v>
      </c>
      <c r="C2388">
        <v>61</v>
      </c>
      <c r="D2388">
        <v>31.95</v>
      </c>
      <c r="E2388">
        <v>71.247504082700004</v>
      </c>
      <c r="F2388">
        <v>-0.80513585189199999</v>
      </c>
      <c r="G2388">
        <v>-0.75</v>
      </c>
    </row>
    <row r="2389" spans="1:7" x14ac:dyDescent="0.25">
      <c r="A2389" t="s">
        <v>3666</v>
      </c>
      <c r="B2389" s="8">
        <v>42147</v>
      </c>
      <c r="C2389">
        <v>34</v>
      </c>
      <c r="D2389">
        <v>25.75</v>
      </c>
      <c r="E2389">
        <v>36.414489926500003</v>
      </c>
      <c r="F2389">
        <v>-0.29721256092800002</v>
      </c>
      <c r="G2389">
        <v>10</v>
      </c>
    </row>
    <row r="2390" spans="1:7" x14ac:dyDescent="0.25">
      <c r="A2390" t="s">
        <v>3667</v>
      </c>
      <c r="B2390" s="8">
        <v>42148</v>
      </c>
      <c r="C2390">
        <v>281</v>
      </c>
      <c r="D2390">
        <v>26.25</v>
      </c>
      <c r="E2390">
        <v>38.926213486499996</v>
      </c>
      <c r="F2390">
        <v>-4.3642827207000003</v>
      </c>
      <c r="G2390">
        <v>13</v>
      </c>
    </row>
    <row r="2391" spans="1:7" x14ac:dyDescent="0.25">
      <c r="A2391" t="s">
        <v>3668</v>
      </c>
      <c r="B2391" s="8">
        <v>42148</v>
      </c>
      <c r="C2391">
        <v>209</v>
      </c>
      <c r="D2391">
        <v>32.25</v>
      </c>
      <c r="E2391">
        <v>36.216720854400002</v>
      </c>
      <c r="F2391">
        <v>-1.2093579865699999</v>
      </c>
      <c r="G2391">
        <v>13</v>
      </c>
    </row>
    <row r="2392" spans="1:7" x14ac:dyDescent="0.25">
      <c r="A2392" t="s">
        <v>3669</v>
      </c>
      <c r="B2392" s="8">
        <v>42148</v>
      </c>
      <c r="C2392">
        <v>72</v>
      </c>
      <c r="D2392">
        <v>30.5</v>
      </c>
      <c r="E2392">
        <v>36.549130186900001</v>
      </c>
      <c r="F2392">
        <v>-4.8686881238300002</v>
      </c>
      <c r="G2392">
        <v>15</v>
      </c>
    </row>
    <row r="2393" spans="1:7" x14ac:dyDescent="0.25">
      <c r="A2393" t="s">
        <v>3670</v>
      </c>
      <c r="B2393" s="8">
        <v>42149</v>
      </c>
      <c r="C2393">
        <v>280</v>
      </c>
      <c r="D2393">
        <v>46.75</v>
      </c>
      <c r="E2393">
        <v>36.647453488099998</v>
      </c>
      <c r="F2393">
        <v>-5.1735660909799996</v>
      </c>
      <c r="G2393">
        <v>0.75</v>
      </c>
    </row>
    <row r="2394" spans="1:7" x14ac:dyDescent="0.25">
      <c r="A2394" t="s">
        <v>3671</v>
      </c>
      <c r="B2394" s="8">
        <v>42149</v>
      </c>
      <c r="C2394">
        <v>96</v>
      </c>
      <c r="D2394">
        <v>23.5</v>
      </c>
      <c r="E2394">
        <v>35.028013561400002</v>
      </c>
      <c r="F2394">
        <v>-0.34817552692699999</v>
      </c>
      <c r="G2394">
        <v>11</v>
      </c>
    </row>
    <row r="2395" spans="1:7" x14ac:dyDescent="0.25">
      <c r="A2395" t="s">
        <v>3672</v>
      </c>
      <c r="B2395" s="8">
        <v>42149</v>
      </c>
      <c r="C2395">
        <v>184</v>
      </c>
      <c r="D2395">
        <v>39.75</v>
      </c>
      <c r="E2395">
        <v>36.354129243199999</v>
      </c>
      <c r="F2395">
        <v>-4.9541833309600003</v>
      </c>
      <c r="G2395">
        <v>0.75</v>
      </c>
    </row>
    <row r="2396" spans="1:7" x14ac:dyDescent="0.25">
      <c r="A2396" t="s">
        <v>3673</v>
      </c>
      <c r="B2396" s="8">
        <v>42150</v>
      </c>
      <c r="C2396">
        <v>279</v>
      </c>
      <c r="D2396">
        <v>48.75</v>
      </c>
      <c r="E2396">
        <v>39.954714987700001</v>
      </c>
      <c r="F2396">
        <v>-1.4824523675900001</v>
      </c>
      <c r="G2396">
        <v>1.5</v>
      </c>
    </row>
    <row r="2397" spans="1:7" x14ac:dyDescent="0.25">
      <c r="A2397" t="s">
        <v>3674</v>
      </c>
      <c r="B2397" s="8">
        <v>42151</v>
      </c>
      <c r="C2397">
        <v>279</v>
      </c>
      <c r="D2397">
        <v>37.950000000000003</v>
      </c>
      <c r="E2397">
        <v>38.399956521100002</v>
      </c>
      <c r="F2397">
        <v>-2.4773438305700002</v>
      </c>
      <c r="G2397">
        <v>17.2</v>
      </c>
    </row>
    <row r="2398" spans="1:7" x14ac:dyDescent="0.25">
      <c r="A2398" t="s">
        <v>3675</v>
      </c>
      <c r="B2398" s="8">
        <v>42151</v>
      </c>
      <c r="C2398">
        <v>166</v>
      </c>
      <c r="D2398">
        <v>43.45</v>
      </c>
      <c r="E2398">
        <v>37.975391481999999</v>
      </c>
      <c r="F2398">
        <v>-2.8490728766800002</v>
      </c>
      <c r="G2398">
        <v>17.2</v>
      </c>
    </row>
    <row r="2399" spans="1:7" x14ac:dyDescent="0.25">
      <c r="A2399" t="s">
        <v>3676</v>
      </c>
      <c r="B2399" s="8">
        <v>42151</v>
      </c>
      <c r="C2399">
        <v>73</v>
      </c>
      <c r="D2399">
        <v>29.5</v>
      </c>
      <c r="E2399">
        <v>34.961403413799999</v>
      </c>
      <c r="F2399">
        <v>-3.4669148891899999</v>
      </c>
      <c r="G2399">
        <v>0.5</v>
      </c>
    </row>
    <row r="2400" spans="1:7" x14ac:dyDescent="0.25">
      <c r="A2400" t="s">
        <v>3677</v>
      </c>
      <c r="B2400" s="8">
        <v>42151</v>
      </c>
      <c r="C2400">
        <v>93</v>
      </c>
      <c r="D2400">
        <v>27.45</v>
      </c>
      <c r="E2400">
        <v>35.616405767499998</v>
      </c>
      <c r="F2400">
        <v>-3.1913521408999999</v>
      </c>
      <c r="G2400">
        <v>17.2</v>
      </c>
    </row>
    <row r="2401" spans="1:7" x14ac:dyDescent="0.25">
      <c r="A2401" t="s">
        <v>3678</v>
      </c>
      <c r="B2401" s="8">
        <v>42152</v>
      </c>
      <c r="C2401">
        <v>140</v>
      </c>
      <c r="D2401">
        <v>32</v>
      </c>
      <c r="E2401">
        <v>38.665018842199999</v>
      </c>
      <c r="F2401">
        <v>-1.69609310429</v>
      </c>
      <c r="G2401">
        <v>21</v>
      </c>
    </row>
    <row r="2402" spans="1:7" x14ac:dyDescent="0.25">
      <c r="A2402" t="s">
        <v>3679</v>
      </c>
      <c r="B2402" s="8">
        <v>42152</v>
      </c>
      <c r="C2402">
        <v>140</v>
      </c>
      <c r="D2402">
        <v>32</v>
      </c>
      <c r="E2402">
        <v>38.665018842199999</v>
      </c>
      <c r="F2402">
        <v>-1.69609310429</v>
      </c>
      <c r="G2402">
        <v>21</v>
      </c>
    </row>
    <row r="2403" spans="1:7" x14ac:dyDescent="0.25">
      <c r="A2403" t="s">
        <v>3680</v>
      </c>
      <c r="B2403" s="8">
        <v>42152</v>
      </c>
      <c r="C2403">
        <v>93</v>
      </c>
      <c r="D2403">
        <v>53</v>
      </c>
      <c r="E2403">
        <v>37.821170807199998</v>
      </c>
      <c r="F2403">
        <v>-6.9768744105099998</v>
      </c>
      <c r="G2403">
        <v>21</v>
      </c>
    </row>
    <row r="2404" spans="1:7" x14ac:dyDescent="0.25">
      <c r="A2404" t="s">
        <v>3680</v>
      </c>
      <c r="B2404" s="8">
        <v>42152</v>
      </c>
      <c r="C2404">
        <v>113</v>
      </c>
      <c r="D2404">
        <v>53</v>
      </c>
      <c r="E2404">
        <v>37.821170807199998</v>
      </c>
      <c r="F2404">
        <v>-6.9768744105099998</v>
      </c>
      <c r="G2404">
        <v>21</v>
      </c>
    </row>
    <row r="2405" spans="1:7" x14ac:dyDescent="0.25">
      <c r="A2405" t="s">
        <v>3681</v>
      </c>
      <c r="B2405" s="8">
        <v>42153</v>
      </c>
      <c r="C2405">
        <v>281</v>
      </c>
      <c r="D2405">
        <v>25.7</v>
      </c>
      <c r="E2405">
        <v>44.723090659900002</v>
      </c>
      <c r="F2405">
        <v>-0.66059400115800004</v>
      </c>
      <c r="G2405">
        <v>12.2</v>
      </c>
    </row>
    <row r="2406" spans="1:7" x14ac:dyDescent="0.25">
      <c r="A2406" t="s">
        <v>3681</v>
      </c>
      <c r="B2406" s="8">
        <v>42153</v>
      </c>
      <c r="C2406">
        <v>263</v>
      </c>
      <c r="D2406">
        <v>25.7</v>
      </c>
      <c r="E2406">
        <v>44.723090659900002</v>
      </c>
      <c r="F2406">
        <v>-0.66059400115800004</v>
      </c>
      <c r="G2406">
        <v>12.2</v>
      </c>
    </row>
    <row r="2407" spans="1:7" x14ac:dyDescent="0.25">
      <c r="A2407" t="s">
        <v>3682</v>
      </c>
      <c r="B2407" s="8">
        <v>42154</v>
      </c>
      <c r="C2407">
        <v>262</v>
      </c>
      <c r="D2407">
        <v>36.5</v>
      </c>
      <c r="E2407">
        <v>40.711759238399999</v>
      </c>
      <c r="F2407">
        <v>-8.1651795831899996</v>
      </c>
      <c r="G2407">
        <v>11</v>
      </c>
    </row>
    <row r="2408" spans="1:7" x14ac:dyDescent="0.25">
      <c r="A2408" t="s">
        <v>3683</v>
      </c>
      <c r="B2408" s="8">
        <v>42154</v>
      </c>
      <c r="C2408">
        <v>130</v>
      </c>
      <c r="D2408">
        <v>30.25</v>
      </c>
      <c r="E2408">
        <v>35.024369358400001</v>
      </c>
      <c r="F2408">
        <v>-1.4517077921999999</v>
      </c>
      <c r="G2408">
        <v>6</v>
      </c>
    </row>
    <row r="2409" spans="1:7" x14ac:dyDescent="0.25">
      <c r="A2409" t="s">
        <v>3684</v>
      </c>
      <c r="B2409" s="8">
        <v>42154</v>
      </c>
      <c r="C2409">
        <v>132</v>
      </c>
      <c r="D2409">
        <v>53.25</v>
      </c>
      <c r="E2409">
        <v>40.214791583100002</v>
      </c>
      <c r="F2409">
        <v>-7.5896390940999998</v>
      </c>
      <c r="G2409">
        <v>11</v>
      </c>
    </row>
    <row r="2410" spans="1:7" x14ac:dyDescent="0.25">
      <c r="A2410" t="s">
        <v>3685</v>
      </c>
      <c r="B2410" s="8">
        <v>42154</v>
      </c>
      <c r="C2410">
        <v>130</v>
      </c>
      <c r="D2410">
        <v>49.5</v>
      </c>
      <c r="E2410">
        <v>37.471858864700003</v>
      </c>
      <c r="F2410">
        <v>-7.8424130251099999</v>
      </c>
      <c r="G2410">
        <v>8</v>
      </c>
    </row>
    <row r="2411" spans="1:7" x14ac:dyDescent="0.25">
      <c r="A2411" t="s">
        <v>3686</v>
      </c>
      <c r="B2411" s="8">
        <v>42155</v>
      </c>
      <c r="C2411">
        <v>280</v>
      </c>
      <c r="D2411">
        <v>29.5</v>
      </c>
      <c r="E2411">
        <v>39.7890647531</v>
      </c>
      <c r="F2411">
        <v>-5.1428655761500002</v>
      </c>
      <c r="G2411">
        <v>9</v>
      </c>
    </row>
    <row r="2412" spans="1:7" x14ac:dyDescent="0.25">
      <c r="A2412" t="s">
        <v>3687</v>
      </c>
      <c r="B2412" s="8">
        <v>42155</v>
      </c>
      <c r="C2412">
        <v>94</v>
      </c>
      <c r="D2412">
        <v>23</v>
      </c>
      <c r="E2412">
        <v>38.309964202400003</v>
      </c>
      <c r="F2412">
        <v>-2.5891591956900002</v>
      </c>
      <c r="G2412">
        <v>9</v>
      </c>
    </row>
    <row r="2413" spans="1:7" x14ac:dyDescent="0.25">
      <c r="A2413" t="s">
        <v>3688</v>
      </c>
      <c r="B2413" s="8">
        <v>42155</v>
      </c>
      <c r="C2413">
        <v>186</v>
      </c>
      <c r="D2413">
        <v>28</v>
      </c>
      <c r="E2413">
        <v>35.341030489799998</v>
      </c>
      <c r="F2413">
        <v>-2.65780294694</v>
      </c>
      <c r="G2413">
        <v>1.75</v>
      </c>
    </row>
    <row r="2414" spans="1:7" x14ac:dyDescent="0.25">
      <c r="A2414" t="s">
        <v>3689</v>
      </c>
      <c r="B2414" s="8">
        <v>42155</v>
      </c>
      <c r="C2414">
        <v>112</v>
      </c>
      <c r="D2414">
        <v>46.75</v>
      </c>
      <c r="E2414">
        <v>33.914646648500003</v>
      </c>
      <c r="F2414">
        <v>-3.4093918142100001</v>
      </c>
      <c r="G2414">
        <v>0.75</v>
      </c>
    </row>
    <row r="2415" spans="1:7" x14ac:dyDescent="0.25">
      <c r="A2415" t="s">
        <v>3690</v>
      </c>
      <c r="B2415" s="8">
        <v>42156</v>
      </c>
      <c r="C2415">
        <v>163</v>
      </c>
      <c r="D2415">
        <v>37.75</v>
      </c>
      <c r="E2415">
        <v>38.425447358600003</v>
      </c>
      <c r="F2415">
        <v>-9.9499775650100002</v>
      </c>
      <c r="G2415">
        <v>5.75</v>
      </c>
    </row>
    <row r="2416" spans="1:7" x14ac:dyDescent="0.25">
      <c r="A2416" t="s">
        <v>3691</v>
      </c>
      <c r="B2416" s="8">
        <v>42157</v>
      </c>
      <c r="C2416">
        <v>293</v>
      </c>
      <c r="D2416">
        <v>32.75</v>
      </c>
      <c r="E2416">
        <v>51.426466400300001</v>
      </c>
      <c r="F2416">
        <v>-9.3191300915500008</v>
      </c>
      <c r="G2416">
        <v>-0.25</v>
      </c>
    </row>
    <row r="2417" spans="1:7" x14ac:dyDescent="0.25">
      <c r="A2417" t="s">
        <v>3692</v>
      </c>
      <c r="B2417" s="8">
        <v>42157</v>
      </c>
      <c r="C2417">
        <v>293</v>
      </c>
      <c r="D2417">
        <v>32.75</v>
      </c>
      <c r="E2417">
        <v>51.426466400300001</v>
      </c>
      <c r="F2417">
        <v>-9.3191300915500008</v>
      </c>
      <c r="G2417">
        <v>-0.25</v>
      </c>
    </row>
    <row r="2418" spans="1:7" x14ac:dyDescent="0.25">
      <c r="A2418" t="s">
        <v>3693</v>
      </c>
      <c r="B2418" s="8">
        <v>42157</v>
      </c>
      <c r="C2418">
        <v>99</v>
      </c>
      <c r="D2418">
        <v>43.25</v>
      </c>
      <c r="E2418">
        <v>50.519924980500001</v>
      </c>
      <c r="F2418">
        <v>-8.1829154103599997</v>
      </c>
      <c r="G2418">
        <v>-0.25</v>
      </c>
    </row>
    <row r="2419" spans="1:7" x14ac:dyDescent="0.25">
      <c r="A2419" t="s">
        <v>3694</v>
      </c>
      <c r="B2419" s="8">
        <v>42158</v>
      </c>
      <c r="C2419">
        <v>287</v>
      </c>
      <c r="D2419">
        <v>39.75</v>
      </c>
      <c r="E2419">
        <v>41.471012251799998</v>
      </c>
      <c r="F2419">
        <v>-9.9108546882499997</v>
      </c>
      <c r="G2419">
        <v>13</v>
      </c>
    </row>
    <row r="2420" spans="1:7" x14ac:dyDescent="0.25">
      <c r="A2420" t="s">
        <v>3695</v>
      </c>
      <c r="B2420" s="8">
        <v>42158</v>
      </c>
      <c r="C2420">
        <v>98</v>
      </c>
      <c r="D2420">
        <v>15.95</v>
      </c>
      <c r="E2420">
        <v>34.933854421200003</v>
      </c>
      <c r="F2420">
        <v>-9.9981632574100008</v>
      </c>
      <c r="G2420">
        <v>6.2</v>
      </c>
    </row>
    <row r="2421" spans="1:7" x14ac:dyDescent="0.25">
      <c r="A2421" t="s">
        <v>3696</v>
      </c>
      <c r="B2421" s="8">
        <v>42158</v>
      </c>
      <c r="C2421">
        <v>55</v>
      </c>
      <c r="D2421">
        <v>22.45</v>
      </c>
      <c r="E2421">
        <v>34.284373428099997</v>
      </c>
      <c r="F2421">
        <v>-9.9792060954400004</v>
      </c>
      <c r="G2421">
        <v>6.2</v>
      </c>
    </row>
    <row r="2422" spans="1:7" x14ac:dyDescent="0.25">
      <c r="A2422" t="s">
        <v>3697</v>
      </c>
      <c r="B2422" s="8">
        <v>42158</v>
      </c>
      <c r="C2422">
        <v>215</v>
      </c>
      <c r="D2422">
        <v>35.5</v>
      </c>
      <c r="E2422">
        <v>40.162215589399999</v>
      </c>
      <c r="F2422">
        <v>-1.11239566268</v>
      </c>
      <c r="G2422">
        <v>13</v>
      </c>
    </row>
    <row r="2423" spans="1:7" x14ac:dyDescent="0.25">
      <c r="A2423" t="s">
        <v>3698</v>
      </c>
      <c r="B2423" s="8">
        <v>42159</v>
      </c>
      <c r="C2423">
        <v>190</v>
      </c>
      <c r="D2423">
        <v>24</v>
      </c>
      <c r="E2423">
        <v>40.464693585500001</v>
      </c>
      <c r="F2423">
        <v>-0.144574008379</v>
      </c>
      <c r="G2423">
        <v>0.5</v>
      </c>
    </row>
    <row r="2424" spans="1:7" x14ac:dyDescent="0.25">
      <c r="A2424" t="s">
        <v>3699</v>
      </c>
      <c r="B2424" s="8">
        <v>42159</v>
      </c>
      <c r="C2424">
        <v>130</v>
      </c>
      <c r="D2424">
        <v>30.25</v>
      </c>
      <c r="E2424">
        <v>40.2522737002</v>
      </c>
      <c r="F2424">
        <v>-0.30925226652400001</v>
      </c>
      <c r="G2424">
        <v>0.5</v>
      </c>
    </row>
    <row r="2425" spans="1:7" x14ac:dyDescent="0.25">
      <c r="A2425" t="s">
        <v>3700</v>
      </c>
      <c r="B2425" s="8">
        <v>42159</v>
      </c>
      <c r="C2425">
        <v>60</v>
      </c>
      <c r="D2425">
        <v>19</v>
      </c>
      <c r="E2425">
        <v>31.6455727293</v>
      </c>
      <c r="F2425">
        <v>-5.3949076042400002</v>
      </c>
      <c r="G2425">
        <v>11</v>
      </c>
    </row>
    <row r="2426" spans="1:7" x14ac:dyDescent="0.25">
      <c r="A2426" t="s">
        <v>3701</v>
      </c>
      <c r="B2426" s="8">
        <v>42160</v>
      </c>
      <c r="C2426">
        <v>280</v>
      </c>
      <c r="D2426">
        <v>33.5</v>
      </c>
      <c r="E2426">
        <v>36.778425481900001</v>
      </c>
      <c r="F2426">
        <v>-0.32896056301999999</v>
      </c>
      <c r="G2426">
        <v>14</v>
      </c>
    </row>
    <row r="2427" spans="1:7" x14ac:dyDescent="0.25">
      <c r="A2427" t="s">
        <v>3702</v>
      </c>
      <c r="B2427" s="8">
        <v>42160</v>
      </c>
      <c r="C2427">
        <v>54</v>
      </c>
      <c r="D2427">
        <v>14.85</v>
      </c>
      <c r="E2427">
        <v>33.419239877899997</v>
      </c>
      <c r="F2427">
        <v>-0.77734509697300003</v>
      </c>
      <c r="G2427">
        <v>8.1</v>
      </c>
    </row>
    <row r="2428" spans="1:7" x14ac:dyDescent="0.25">
      <c r="A2428" t="s">
        <v>3703</v>
      </c>
      <c r="B2428" s="8">
        <v>42160</v>
      </c>
      <c r="C2428">
        <v>77</v>
      </c>
      <c r="D2428">
        <v>34</v>
      </c>
      <c r="E2428">
        <v>31.5124901997</v>
      </c>
      <c r="F2428">
        <v>-3.5240908228199999</v>
      </c>
      <c r="G2428">
        <v>8</v>
      </c>
    </row>
    <row r="2429" spans="1:7" x14ac:dyDescent="0.25">
      <c r="A2429" t="s">
        <v>3704</v>
      </c>
      <c r="B2429" s="8">
        <v>42161</v>
      </c>
      <c r="C2429">
        <v>134</v>
      </c>
      <c r="D2429">
        <v>26.95</v>
      </c>
      <c r="E2429">
        <v>38.701379393499998</v>
      </c>
      <c r="F2429">
        <v>-7.7574280038300003</v>
      </c>
      <c r="G2429">
        <v>10.199999999999999</v>
      </c>
    </row>
    <row r="2430" spans="1:7" x14ac:dyDescent="0.25">
      <c r="A2430" t="s">
        <v>3705</v>
      </c>
      <c r="B2430" s="8">
        <v>42161</v>
      </c>
      <c r="C2430">
        <v>110</v>
      </c>
      <c r="D2430">
        <v>36.5</v>
      </c>
      <c r="E2430">
        <v>38.302269355299998</v>
      </c>
      <c r="F2430">
        <v>-1.6554418773099999</v>
      </c>
      <c r="G2430">
        <v>-0.5</v>
      </c>
    </row>
    <row r="2431" spans="1:7" x14ac:dyDescent="0.25">
      <c r="A2431" t="s">
        <v>3706</v>
      </c>
      <c r="B2431" s="8">
        <v>42161</v>
      </c>
      <c r="C2431">
        <v>153</v>
      </c>
      <c r="D2431">
        <v>40.25</v>
      </c>
      <c r="E2431">
        <v>38.096099424599998</v>
      </c>
      <c r="F2431">
        <v>-8.6282466578200001</v>
      </c>
      <c r="G2431">
        <v>2.5</v>
      </c>
    </row>
    <row r="2432" spans="1:7" x14ac:dyDescent="0.25">
      <c r="A2432" t="s">
        <v>3707</v>
      </c>
      <c r="B2432" s="8">
        <v>42162</v>
      </c>
      <c r="C2432">
        <v>90</v>
      </c>
      <c r="D2432">
        <v>34</v>
      </c>
      <c r="E2432">
        <v>37.0883319816</v>
      </c>
      <c r="F2432">
        <v>-2.7627763772299998</v>
      </c>
      <c r="G2432">
        <v>19</v>
      </c>
    </row>
    <row r="2433" spans="1:12" x14ac:dyDescent="0.25">
      <c r="A2433" t="s">
        <v>3708</v>
      </c>
      <c r="B2433" s="8">
        <v>42163</v>
      </c>
      <c r="C2433">
        <v>146</v>
      </c>
      <c r="D2433">
        <v>50.75</v>
      </c>
      <c r="E2433">
        <v>43.703361572399999</v>
      </c>
      <c r="F2433">
        <v>-0.56814599822400003</v>
      </c>
      <c r="G2433">
        <v>-1</v>
      </c>
    </row>
    <row r="2434" spans="1:12" x14ac:dyDescent="0.25">
      <c r="A2434" t="s">
        <v>3709</v>
      </c>
      <c r="B2434" s="8">
        <v>42164</v>
      </c>
      <c r="C2434">
        <v>281</v>
      </c>
      <c r="D2434">
        <v>19.7</v>
      </c>
      <c r="E2434">
        <v>38.735895471500001</v>
      </c>
      <c r="F2434">
        <v>-1.2171613079900001</v>
      </c>
      <c r="G2434">
        <v>9.1999999999999993</v>
      </c>
    </row>
    <row r="2435" spans="1:12" x14ac:dyDescent="0.25">
      <c r="A2435" t="s">
        <v>3710</v>
      </c>
      <c r="B2435" s="8">
        <v>42165</v>
      </c>
      <c r="C2435">
        <v>280</v>
      </c>
      <c r="D2435">
        <v>24.5</v>
      </c>
      <c r="E2435">
        <v>38.205298924200001</v>
      </c>
      <c r="F2435">
        <v>-1.5742423639100001</v>
      </c>
      <c r="G2435">
        <v>15</v>
      </c>
    </row>
    <row r="2436" spans="1:12" x14ac:dyDescent="0.25">
      <c r="A2436" t="s">
        <v>3711</v>
      </c>
      <c r="B2436" s="8">
        <v>42165</v>
      </c>
      <c r="C2436">
        <v>205</v>
      </c>
      <c r="D2436">
        <v>32</v>
      </c>
      <c r="E2436">
        <v>38.1038201147</v>
      </c>
      <c r="F2436">
        <v>-1.8037249553300001</v>
      </c>
      <c r="G2436">
        <v>15</v>
      </c>
    </row>
    <row r="2437" spans="1:12" x14ac:dyDescent="0.25">
      <c r="A2437" t="s">
        <v>3712</v>
      </c>
      <c r="B2437" s="8">
        <v>42165</v>
      </c>
      <c r="C2437">
        <v>57</v>
      </c>
      <c r="D2437">
        <v>22.5</v>
      </c>
      <c r="E2437">
        <v>30.552727631900002</v>
      </c>
      <c r="F2437">
        <v>-0.657681702019</v>
      </c>
      <c r="G2437">
        <v>8</v>
      </c>
    </row>
    <row r="2438" spans="1:12" x14ac:dyDescent="0.25">
      <c r="A2438" t="s">
        <v>3713</v>
      </c>
      <c r="B2438" s="8">
        <v>42166</v>
      </c>
      <c r="C2438">
        <v>106</v>
      </c>
      <c r="D2438">
        <v>47.5</v>
      </c>
      <c r="E2438">
        <v>35.871685639500001</v>
      </c>
      <c r="F2438">
        <v>-6.1662678838499998</v>
      </c>
      <c r="G2438">
        <v>16</v>
      </c>
    </row>
    <row r="2439" spans="1:12" x14ac:dyDescent="0.25">
      <c r="A2439" t="s">
        <v>3714</v>
      </c>
      <c r="B2439" s="8">
        <v>42166</v>
      </c>
      <c r="C2439">
        <v>33</v>
      </c>
      <c r="D2439">
        <v>27.2</v>
      </c>
      <c r="E2439">
        <v>32.2804314909</v>
      </c>
      <c r="F2439">
        <v>-1.8235774302500001</v>
      </c>
      <c r="G2439">
        <v>-0.75</v>
      </c>
    </row>
    <row r="2440" spans="1:12" x14ac:dyDescent="0.25">
      <c r="A2440" t="s">
        <v>3715</v>
      </c>
      <c r="B2440" s="8">
        <v>42167</v>
      </c>
      <c r="C2440">
        <v>277</v>
      </c>
      <c r="D2440">
        <v>33.700000000000003</v>
      </c>
      <c r="E2440">
        <v>39.942502731200001</v>
      </c>
      <c r="F2440">
        <v>-2.3847279625</v>
      </c>
      <c r="G2440">
        <v>-0.5</v>
      </c>
    </row>
    <row r="2441" spans="1:12" x14ac:dyDescent="0.25">
      <c r="A2441" t="s">
        <v>3716</v>
      </c>
      <c r="B2441" s="8">
        <v>42167</v>
      </c>
      <c r="C2441">
        <v>261</v>
      </c>
      <c r="D2441">
        <v>34.450000000000003</v>
      </c>
      <c r="E2441">
        <v>39.595620621599998</v>
      </c>
      <c r="F2441">
        <v>-3.6752940606800002</v>
      </c>
      <c r="G2441">
        <v>-0.5</v>
      </c>
    </row>
    <row r="2443" spans="1:12" ht="15.75" thickBot="1" x14ac:dyDescent="0.3"/>
    <row r="2444" spans="1:12" ht="30" x14ac:dyDescent="0.25">
      <c r="A2444" s="37" t="s">
        <v>3717</v>
      </c>
      <c r="B2444" s="38" t="s">
        <v>311</v>
      </c>
      <c r="C2444" s="38" t="s">
        <v>1545</v>
      </c>
      <c r="D2444" s="38" t="s">
        <v>1527</v>
      </c>
      <c r="E2444" s="38" t="s">
        <v>1546</v>
      </c>
      <c r="F2444" s="38" t="s">
        <v>1547</v>
      </c>
      <c r="G2444" s="40" t="s">
        <v>1861</v>
      </c>
      <c r="H2444" s="38" t="s">
        <v>1862</v>
      </c>
      <c r="I2444" s="38"/>
      <c r="J2444" s="65" t="s">
        <v>1989</v>
      </c>
      <c r="K2444" s="66" t="s">
        <v>1990</v>
      </c>
      <c r="L2444" s="67" t="s">
        <v>1991</v>
      </c>
    </row>
    <row r="2445" spans="1:12" x14ac:dyDescent="0.25">
      <c r="A2445" t="s">
        <v>3718</v>
      </c>
      <c r="B2445" s="8">
        <v>42138</v>
      </c>
      <c r="C2445">
        <v>207</v>
      </c>
      <c r="D2445">
        <v>36</v>
      </c>
      <c r="E2445">
        <v>41.644403454399999</v>
      </c>
      <c r="F2445">
        <v>-3.7978506244500001</v>
      </c>
      <c r="G2445">
        <v>14</v>
      </c>
      <c r="I2445" s="30"/>
      <c r="J2445" s="68">
        <f>AVERAGE(D2445:D2582)</f>
        <v>31.827898550724619</v>
      </c>
      <c r="K2445" s="68">
        <f>_xlfn.STDEV.P(D2445:D2572)</f>
        <v>10.533598117478112</v>
      </c>
      <c r="L2445" s="68">
        <f>MEDIAN(D2445:D2572)</f>
        <v>30.625</v>
      </c>
    </row>
    <row r="2446" spans="1:12" x14ac:dyDescent="0.25">
      <c r="A2446" t="s">
        <v>3719</v>
      </c>
      <c r="B2446" s="8">
        <v>42138</v>
      </c>
      <c r="C2446">
        <v>94</v>
      </c>
      <c r="D2446">
        <v>44.5</v>
      </c>
      <c r="E2446">
        <v>34.911830433200002</v>
      </c>
      <c r="F2446">
        <v>-8.9692234772599999</v>
      </c>
      <c r="G2446">
        <v>18</v>
      </c>
      <c r="I2446" s="30"/>
    </row>
    <row r="2447" spans="1:12" x14ac:dyDescent="0.25">
      <c r="A2447" t="s">
        <v>3720</v>
      </c>
      <c r="B2447" s="8">
        <v>42138</v>
      </c>
      <c r="C2447">
        <v>113</v>
      </c>
      <c r="D2447">
        <v>23.5</v>
      </c>
      <c r="E2447">
        <v>40.037225772399999</v>
      </c>
      <c r="F2447">
        <v>-0.55723307830900004</v>
      </c>
      <c r="G2447">
        <v>14</v>
      </c>
    </row>
    <row r="2448" spans="1:12" x14ac:dyDescent="0.25">
      <c r="A2448" t="s">
        <v>3721</v>
      </c>
      <c r="B2448" s="8">
        <v>42138</v>
      </c>
      <c r="C2448">
        <v>37</v>
      </c>
      <c r="D2448">
        <v>25.35</v>
      </c>
      <c r="E2448">
        <v>31.514745212299999</v>
      </c>
      <c r="F2448">
        <v>-8.8864980778299998</v>
      </c>
      <c r="G2448">
        <v>-0.75</v>
      </c>
    </row>
    <row r="2449" spans="1:7" x14ac:dyDescent="0.25">
      <c r="A2449" t="s">
        <v>3722</v>
      </c>
      <c r="B2449" s="8">
        <v>42139</v>
      </c>
      <c r="C2449">
        <v>279</v>
      </c>
      <c r="D2449">
        <v>51.95</v>
      </c>
      <c r="E2449">
        <v>40.115194068800001</v>
      </c>
      <c r="F2449">
        <v>-2.7835693147699998</v>
      </c>
      <c r="G2449">
        <v>1.75</v>
      </c>
    </row>
    <row r="2450" spans="1:7" x14ac:dyDescent="0.25">
      <c r="A2450" t="s">
        <v>3723</v>
      </c>
      <c r="B2450" s="8">
        <v>42139</v>
      </c>
      <c r="C2450">
        <v>262</v>
      </c>
      <c r="D2450">
        <v>46.45</v>
      </c>
      <c r="E2450">
        <v>39.135264950699998</v>
      </c>
      <c r="F2450">
        <v>-3.30209773728</v>
      </c>
      <c r="G2450">
        <v>1.75</v>
      </c>
    </row>
    <row r="2451" spans="1:7" x14ac:dyDescent="0.25">
      <c r="A2451" t="s">
        <v>3724</v>
      </c>
      <c r="B2451" s="8">
        <v>42140</v>
      </c>
      <c r="C2451">
        <v>275</v>
      </c>
      <c r="D2451">
        <v>29.45</v>
      </c>
      <c r="E2451">
        <v>40.775592548200002</v>
      </c>
      <c r="F2451">
        <v>-3.61835419183</v>
      </c>
      <c r="G2451">
        <v>3.2</v>
      </c>
    </row>
    <row r="2452" spans="1:7" x14ac:dyDescent="0.25">
      <c r="A2452" t="s">
        <v>3725</v>
      </c>
      <c r="B2452" s="8">
        <v>42140</v>
      </c>
      <c r="C2452">
        <v>71</v>
      </c>
      <c r="D2452">
        <v>38.25</v>
      </c>
      <c r="E2452">
        <v>38.047500307299998</v>
      </c>
      <c r="F2452">
        <v>-3.48199991758</v>
      </c>
      <c r="G2452">
        <v>1</v>
      </c>
    </row>
    <row r="2453" spans="1:7" x14ac:dyDescent="0.25">
      <c r="A2453" t="s">
        <v>3726</v>
      </c>
      <c r="B2453" s="8">
        <v>42140</v>
      </c>
      <c r="C2453">
        <v>204</v>
      </c>
      <c r="D2453">
        <v>26.7</v>
      </c>
      <c r="E2453">
        <v>39.093094334699998</v>
      </c>
      <c r="F2453">
        <v>-2.1709728634599998</v>
      </c>
      <c r="G2453">
        <v>3.2</v>
      </c>
    </row>
    <row r="2454" spans="1:7" x14ac:dyDescent="0.25">
      <c r="A2454" t="s">
        <v>3727</v>
      </c>
      <c r="B2454" s="8">
        <v>42141</v>
      </c>
      <c r="C2454">
        <v>279</v>
      </c>
      <c r="D2454">
        <v>26.5</v>
      </c>
      <c r="E2454">
        <v>43.904511728999999</v>
      </c>
      <c r="F2454">
        <v>-1.9540289228500001</v>
      </c>
      <c r="G2454">
        <v>13</v>
      </c>
    </row>
    <row r="2455" spans="1:7" x14ac:dyDescent="0.25">
      <c r="A2455" t="s">
        <v>3728</v>
      </c>
      <c r="B2455" s="8">
        <v>42141</v>
      </c>
      <c r="C2455">
        <v>97</v>
      </c>
      <c r="D2455">
        <v>28.5</v>
      </c>
      <c r="E2455">
        <v>43.317048718499997</v>
      </c>
      <c r="F2455">
        <v>-2.32470254424</v>
      </c>
      <c r="G2455">
        <v>13</v>
      </c>
    </row>
    <row r="2456" spans="1:7" x14ac:dyDescent="0.25">
      <c r="A2456" t="s">
        <v>3729</v>
      </c>
      <c r="B2456" s="8">
        <v>42141</v>
      </c>
      <c r="C2456">
        <v>187</v>
      </c>
      <c r="D2456">
        <v>26.5</v>
      </c>
      <c r="E2456">
        <v>43.904511728999999</v>
      </c>
      <c r="F2456">
        <v>-1.9540289228500001</v>
      </c>
      <c r="G2456">
        <v>13</v>
      </c>
    </row>
    <row r="2457" spans="1:7" x14ac:dyDescent="0.25">
      <c r="A2457" t="s">
        <v>3730</v>
      </c>
      <c r="B2457" s="8">
        <v>42141</v>
      </c>
      <c r="C2457">
        <v>92</v>
      </c>
      <c r="D2457">
        <v>41.35</v>
      </c>
      <c r="E2457">
        <v>35.228949613099999</v>
      </c>
      <c r="F2457">
        <v>-2.5267706248200001</v>
      </c>
      <c r="G2457">
        <v>1.75</v>
      </c>
    </row>
    <row r="2458" spans="1:7" x14ac:dyDescent="0.25">
      <c r="A2458" t="s">
        <v>3731</v>
      </c>
      <c r="B2458" s="8">
        <v>42142</v>
      </c>
      <c r="C2458">
        <v>130</v>
      </c>
      <c r="D2458">
        <v>39.25</v>
      </c>
      <c r="E2458">
        <v>38.293744933200003</v>
      </c>
      <c r="F2458">
        <v>-1.10581625329</v>
      </c>
      <c r="G2458">
        <v>14</v>
      </c>
    </row>
    <row r="2459" spans="1:7" x14ac:dyDescent="0.25">
      <c r="A2459" t="s">
        <v>3732</v>
      </c>
      <c r="B2459" s="8">
        <v>42142</v>
      </c>
      <c r="C2459">
        <v>110</v>
      </c>
      <c r="D2459">
        <v>25.75</v>
      </c>
      <c r="E2459">
        <v>37.679262388600002</v>
      </c>
      <c r="F2459">
        <v>-4.0725952525400002</v>
      </c>
      <c r="G2459">
        <v>14</v>
      </c>
    </row>
    <row r="2460" spans="1:7" x14ac:dyDescent="0.25">
      <c r="A2460" t="s">
        <v>3733</v>
      </c>
      <c r="B2460" s="8">
        <v>42137</v>
      </c>
      <c r="C2460">
        <v>39</v>
      </c>
      <c r="D2460">
        <v>24.5</v>
      </c>
      <c r="E2460">
        <v>31.210319420000001</v>
      </c>
      <c r="F2460">
        <v>-1.1812612330500001</v>
      </c>
      <c r="G2460">
        <v>18</v>
      </c>
    </row>
    <row r="2461" spans="1:7" x14ac:dyDescent="0.25">
      <c r="A2461" t="s">
        <v>3734</v>
      </c>
      <c r="B2461" s="8">
        <v>42136</v>
      </c>
      <c r="C2461">
        <v>278</v>
      </c>
      <c r="D2461">
        <v>27.7</v>
      </c>
      <c r="E2461">
        <v>38.410855128000001</v>
      </c>
      <c r="F2461">
        <v>-4.3372824857100003</v>
      </c>
      <c r="G2461">
        <v>4.2</v>
      </c>
    </row>
    <row r="2462" spans="1:7" x14ac:dyDescent="0.25">
      <c r="A2462" t="s">
        <v>3734</v>
      </c>
      <c r="B2462" s="8">
        <v>42136</v>
      </c>
      <c r="C2462">
        <v>258</v>
      </c>
      <c r="D2462">
        <v>27.7</v>
      </c>
      <c r="E2462">
        <v>38.410855128000001</v>
      </c>
      <c r="F2462">
        <v>-4.3372824857100003</v>
      </c>
      <c r="G2462">
        <v>4.2</v>
      </c>
    </row>
    <row r="2463" spans="1:7" x14ac:dyDescent="0.25">
      <c r="A2463" t="s">
        <v>3735</v>
      </c>
      <c r="B2463" s="8">
        <v>42136</v>
      </c>
      <c r="C2463">
        <v>113</v>
      </c>
      <c r="D2463">
        <v>38.25</v>
      </c>
      <c r="E2463">
        <v>35.689670037500001</v>
      </c>
      <c r="F2463">
        <v>-1.8432605064800001</v>
      </c>
      <c r="G2463">
        <v>19</v>
      </c>
    </row>
    <row r="2464" spans="1:7" x14ac:dyDescent="0.25">
      <c r="A2464" t="s">
        <v>3736</v>
      </c>
      <c r="B2464" s="8">
        <v>42136</v>
      </c>
      <c r="C2464">
        <v>92</v>
      </c>
      <c r="D2464">
        <v>41.45</v>
      </c>
      <c r="E2464">
        <v>35.0694539104</v>
      </c>
      <c r="F2464">
        <v>-6.9981766190699997</v>
      </c>
      <c r="G2464">
        <v>4.2</v>
      </c>
    </row>
    <row r="2465" spans="1:7" x14ac:dyDescent="0.25">
      <c r="A2465" t="s">
        <v>3737</v>
      </c>
      <c r="B2465" s="8">
        <v>42136</v>
      </c>
      <c r="C2465">
        <v>73</v>
      </c>
      <c r="D2465">
        <v>16.95</v>
      </c>
      <c r="E2465">
        <v>35.5935298793</v>
      </c>
      <c r="F2465">
        <v>-3.02974471892</v>
      </c>
      <c r="G2465">
        <v>4.2</v>
      </c>
    </row>
    <row r="2466" spans="1:7" x14ac:dyDescent="0.25">
      <c r="A2466" t="s">
        <v>3738</v>
      </c>
      <c r="B2466" s="8">
        <v>42135</v>
      </c>
      <c r="C2466">
        <v>184</v>
      </c>
      <c r="D2466">
        <v>35</v>
      </c>
      <c r="E2466">
        <v>39.546538587599997</v>
      </c>
      <c r="F2466">
        <v>-3.00789477497</v>
      </c>
      <c r="G2466">
        <v>-0.75</v>
      </c>
    </row>
    <row r="2467" spans="1:7" x14ac:dyDescent="0.25">
      <c r="A2467" t="s">
        <v>3739</v>
      </c>
      <c r="B2467" s="8">
        <v>42135</v>
      </c>
      <c r="C2467">
        <v>55</v>
      </c>
      <c r="D2467">
        <v>37.25</v>
      </c>
      <c r="E2467">
        <v>33.573081777299997</v>
      </c>
      <c r="F2467">
        <v>-9.9072703482000009</v>
      </c>
      <c r="G2467">
        <v>2.5</v>
      </c>
    </row>
    <row r="2468" spans="1:7" x14ac:dyDescent="0.25">
      <c r="A2468" t="s">
        <v>3740</v>
      </c>
      <c r="B2468" s="8">
        <v>42135</v>
      </c>
      <c r="C2468">
        <v>37</v>
      </c>
      <c r="D2468">
        <v>35.5</v>
      </c>
      <c r="E2468">
        <v>34.085327081899997</v>
      </c>
      <c r="F2468">
        <v>-2.1600669529299998</v>
      </c>
      <c r="G2468">
        <v>13</v>
      </c>
    </row>
    <row r="2469" spans="1:7" x14ac:dyDescent="0.25">
      <c r="A2469" t="s">
        <v>3741</v>
      </c>
      <c r="B2469" s="8">
        <v>42134</v>
      </c>
      <c r="C2469">
        <v>280</v>
      </c>
      <c r="D2469">
        <v>30.5</v>
      </c>
      <c r="E2469">
        <v>41.7864606224</v>
      </c>
      <c r="F2469">
        <v>-0.611448546004</v>
      </c>
      <c r="G2469">
        <v>11</v>
      </c>
    </row>
    <row r="2470" spans="1:7" x14ac:dyDescent="0.25">
      <c r="A2470" t="s">
        <v>3742</v>
      </c>
      <c r="B2470" s="8">
        <v>42134</v>
      </c>
      <c r="C2470">
        <v>169</v>
      </c>
      <c r="D2470">
        <v>27.75</v>
      </c>
      <c r="E2470">
        <v>40.818648351599997</v>
      </c>
      <c r="F2470">
        <v>-1.63311678117</v>
      </c>
      <c r="G2470">
        <v>11</v>
      </c>
    </row>
    <row r="2471" spans="1:7" x14ac:dyDescent="0.25">
      <c r="A2471" t="s">
        <v>3743</v>
      </c>
      <c r="B2471" s="8">
        <v>42134</v>
      </c>
      <c r="C2471">
        <v>91</v>
      </c>
      <c r="D2471">
        <v>35.200000000000003</v>
      </c>
      <c r="E2471">
        <v>36.316562988699999</v>
      </c>
      <c r="F2471">
        <v>-5.6083107033799999</v>
      </c>
      <c r="G2471">
        <v>-0.75</v>
      </c>
    </row>
    <row r="2472" spans="1:7" x14ac:dyDescent="0.25">
      <c r="A2472" t="s">
        <v>3744</v>
      </c>
      <c r="B2472" s="8">
        <v>42133</v>
      </c>
      <c r="C2472">
        <v>158</v>
      </c>
      <c r="D2472">
        <v>35.6</v>
      </c>
      <c r="E2472">
        <v>37.841472588000002</v>
      </c>
      <c r="F2472">
        <v>-3.0650382384700001</v>
      </c>
      <c r="G2472">
        <v>15.1</v>
      </c>
    </row>
    <row r="2473" spans="1:7" x14ac:dyDescent="0.25">
      <c r="A2473" t="s">
        <v>3745</v>
      </c>
      <c r="B2473" s="8">
        <v>42133</v>
      </c>
      <c r="C2473">
        <v>57</v>
      </c>
      <c r="D2473">
        <v>31.85</v>
      </c>
      <c r="E2473">
        <v>33.051791837400003</v>
      </c>
      <c r="F2473">
        <v>-0.52836584879699999</v>
      </c>
      <c r="G2473">
        <v>10.1</v>
      </c>
    </row>
    <row r="2474" spans="1:7" x14ac:dyDescent="0.25">
      <c r="A2474" t="s">
        <v>3746</v>
      </c>
      <c r="B2474" s="8">
        <v>42132</v>
      </c>
      <c r="C2474">
        <v>263</v>
      </c>
      <c r="D2474">
        <v>22.35</v>
      </c>
      <c r="E2474">
        <v>38.0631593349</v>
      </c>
      <c r="F2474">
        <v>-2.7417790112099998</v>
      </c>
      <c r="G2474">
        <v>3.1</v>
      </c>
    </row>
    <row r="2475" spans="1:7" x14ac:dyDescent="0.25">
      <c r="A2475" t="s">
        <v>3747</v>
      </c>
      <c r="B2475" s="8">
        <v>42131</v>
      </c>
      <c r="C2475">
        <v>112</v>
      </c>
      <c r="D2475">
        <v>39.1</v>
      </c>
      <c r="E2475">
        <v>34.601390393800003</v>
      </c>
      <c r="F2475">
        <v>-0.44657526901700001</v>
      </c>
      <c r="G2475">
        <v>12.1</v>
      </c>
    </row>
    <row r="2476" spans="1:7" x14ac:dyDescent="0.25">
      <c r="A2476" t="s">
        <v>3748</v>
      </c>
      <c r="B2476" s="8">
        <v>42130</v>
      </c>
      <c r="C2476">
        <v>224</v>
      </c>
      <c r="D2476">
        <v>40.35</v>
      </c>
      <c r="E2476">
        <v>37.979019194999999</v>
      </c>
      <c r="F2476">
        <v>-8.8001722299500003</v>
      </c>
      <c r="G2476">
        <v>6.1</v>
      </c>
    </row>
    <row r="2477" spans="1:7" x14ac:dyDescent="0.25">
      <c r="A2477" t="s">
        <v>3749</v>
      </c>
      <c r="B2477" s="8">
        <v>42129</v>
      </c>
      <c r="C2477">
        <v>261</v>
      </c>
      <c r="D2477">
        <v>22.75</v>
      </c>
      <c r="E2477">
        <v>41.420175327000003</v>
      </c>
      <c r="F2477">
        <v>-0.84782221550500003</v>
      </c>
      <c r="G2477">
        <v>12</v>
      </c>
    </row>
    <row r="2478" spans="1:7" x14ac:dyDescent="0.25">
      <c r="A2478" t="s">
        <v>3750</v>
      </c>
      <c r="B2478" s="8">
        <v>42128</v>
      </c>
      <c r="C2478">
        <v>188</v>
      </c>
      <c r="D2478">
        <v>24.6</v>
      </c>
      <c r="E2478">
        <v>43.861631289899996</v>
      </c>
      <c r="F2478">
        <v>-6.5534080016300003</v>
      </c>
      <c r="G2478">
        <v>-1</v>
      </c>
    </row>
    <row r="2479" spans="1:7" x14ac:dyDescent="0.25">
      <c r="A2479" t="s">
        <v>3751</v>
      </c>
      <c r="B2479" s="8">
        <v>42128</v>
      </c>
      <c r="C2479">
        <v>58</v>
      </c>
      <c r="D2479">
        <v>42.25</v>
      </c>
      <c r="E2479">
        <v>33.332436261399998</v>
      </c>
      <c r="F2479">
        <v>-4.8506460950700001</v>
      </c>
      <c r="G2479">
        <v>7</v>
      </c>
    </row>
    <row r="2480" spans="1:7" x14ac:dyDescent="0.25">
      <c r="A2480" t="s">
        <v>3752</v>
      </c>
      <c r="B2480" s="8">
        <v>42128</v>
      </c>
      <c r="C2480">
        <v>38</v>
      </c>
      <c r="D2480">
        <v>21.75</v>
      </c>
      <c r="E2480">
        <v>34.5266602409</v>
      </c>
      <c r="F2480">
        <v>1.0895202340900001E-2</v>
      </c>
      <c r="G2480">
        <v>18</v>
      </c>
    </row>
    <row r="2481" spans="1:7" x14ac:dyDescent="0.25">
      <c r="A2481" t="s">
        <v>3753</v>
      </c>
      <c r="B2481" s="8">
        <v>42127</v>
      </c>
      <c r="C2481">
        <v>73</v>
      </c>
      <c r="D2481">
        <v>12.7</v>
      </c>
      <c r="E2481">
        <v>33.405191134900001</v>
      </c>
      <c r="F2481">
        <v>-1.1869215580500001</v>
      </c>
      <c r="G2481">
        <v>2.2000000000000002</v>
      </c>
    </row>
    <row r="2482" spans="1:7" x14ac:dyDescent="0.25">
      <c r="A2482" t="s">
        <v>3754</v>
      </c>
      <c r="B2482" s="8">
        <v>42126</v>
      </c>
      <c r="C2482">
        <v>279</v>
      </c>
      <c r="D2482">
        <v>9.75</v>
      </c>
      <c r="E2482">
        <v>45.935093807100003</v>
      </c>
      <c r="F2482">
        <v>-7.5299788796699998</v>
      </c>
      <c r="G2482">
        <v>7</v>
      </c>
    </row>
    <row r="2483" spans="1:7" x14ac:dyDescent="0.25">
      <c r="A2483" t="s">
        <v>3755</v>
      </c>
      <c r="B2483" s="8">
        <v>42126</v>
      </c>
      <c r="C2483">
        <v>129</v>
      </c>
      <c r="D2483">
        <v>25.5</v>
      </c>
      <c r="E2483">
        <v>45.1319056711</v>
      </c>
      <c r="F2483">
        <v>-6.2974056776999996</v>
      </c>
      <c r="G2483">
        <v>7</v>
      </c>
    </row>
    <row r="2484" spans="1:7" x14ac:dyDescent="0.25">
      <c r="A2484" t="s">
        <v>3756</v>
      </c>
      <c r="B2484" s="8">
        <v>42126</v>
      </c>
      <c r="C2484">
        <v>150</v>
      </c>
      <c r="D2484">
        <v>25</v>
      </c>
      <c r="E2484">
        <v>36.294567136399998</v>
      </c>
      <c r="F2484">
        <v>-3.7948436881199998</v>
      </c>
      <c r="G2484">
        <v>10</v>
      </c>
    </row>
    <row r="2485" spans="1:7" x14ac:dyDescent="0.25">
      <c r="A2485" t="s">
        <v>3757</v>
      </c>
      <c r="B2485" s="8">
        <v>42126</v>
      </c>
      <c r="C2485">
        <v>54</v>
      </c>
      <c r="D2485">
        <v>33.25</v>
      </c>
      <c r="E2485">
        <v>39.204944686700003</v>
      </c>
      <c r="F2485">
        <v>-2.1761741642699999</v>
      </c>
      <c r="G2485">
        <v>4</v>
      </c>
    </row>
    <row r="2486" spans="1:7" x14ac:dyDescent="0.25">
      <c r="A2486" t="s">
        <v>3758</v>
      </c>
      <c r="B2486" s="8">
        <v>42125</v>
      </c>
      <c r="C2486">
        <v>260</v>
      </c>
      <c r="D2486">
        <v>24</v>
      </c>
      <c r="E2486">
        <v>43.699083920600003</v>
      </c>
      <c r="F2486">
        <v>-4.90038265941</v>
      </c>
      <c r="G2486">
        <v>7</v>
      </c>
    </row>
    <row r="2487" spans="1:7" x14ac:dyDescent="0.25">
      <c r="A2487" t="s">
        <v>3759</v>
      </c>
      <c r="B2487" s="8">
        <v>42125</v>
      </c>
      <c r="C2487">
        <v>98</v>
      </c>
      <c r="D2487">
        <v>12.5</v>
      </c>
      <c r="E2487">
        <v>34.419397123700001</v>
      </c>
      <c r="F2487">
        <v>-0.64809132217599996</v>
      </c>
      <c r="G2487">
        <v>-0.5</v>
      </c>
    </row>
    <row r="2488" spans="1:7" x14ac:dyDescent="0.25">
      <c r="A2488" t="s">
        <v>3760</v>
      </c>
      <c r="B2488" s="8">
        <v>42123</v>
      </c>
      <c r="C2488">
        <v>146</v>
      </c>
      <c r="D2488">
        <v>18.7</v>
      </c>
      <c r="E2488">
        <v>37.762731387099997</v>
      </c>
      <c r="F2488">
        <v>-0.55449275922300001</v>
      </c>
      <c r="G2488">
        <v>12.2</v>
      </c>
    </row>
    <row r="2489" spans="1:7" x14ac:dyDescent="0.25">
      <c r="A2489" t="s">
        <v>3761</v>
      </c>
      <c r="B2489" s="8">
        <v>42123</v>
      </c>
      <c r="C2489">
        <v>58</v>
      </c>
      <c r="D2489">
        <v>14.5</v>
      </c>
      <c r="E2489">
        <v>34.862597389100003</v>
      </c>
      <c r="F2489">
        <v>-3.52386095543</v>
      </c>
      <c r="G2489">
        <v>13</v>
      </c>
    </row>
    <row r="2490" spans="1:7" x14ac:dyDescent="0.25">
      <c r="A2490" t="s">
        <v>3762</v>
      </c>
      <c r="B2490" s="8">
        <v>42122</v>
      </c>
      <c r="C2490">
        <v>219</v>
      </c>
      <c r="D2490">
        <v>33.5</v>
      </c>
      <c r="E2490">
        <v>40.636755979</v>
      </c>
      <c r="F2490">
        <v>-1.59178444455</v>
      </c>
      <c r="G2490">
        <v>16</v>
      </c>
    </row>
    <row r="2491" spans="1:7" x14ac:dyDescent="0.25">
      <c r="A2491" t="s">
        <v>3763</v>
      </c>
      <c r="B2491" s="8">
        <v>42122</v>
      </c>
      <c r="C2491">
        <v>113</v>
      </c>
      <c r="D2491">
        <v>41.75</v>
      </c>
      <c r="E2491">
        <v>37.580806627100003</v>
      </c>
      <c r="F2491">
        <v>-3.5463124402299999</v>
      </c>
      <c r="G2491">
        <v>16</v>
      </c>
    </row>
    <row r="2492" spans="1:7" x14ac:dyDescent="0.25">
      <c r="A2492" t="s">
        <v>3764</v>
      </c>
      <c r="B2492" s="8">
        <v>42121</v>
      </c>
      <c r="C2492">
        <v>242</v>
      </c>
      <c r="D2492">
        <v>36.1</v>
      </c>
      <c r="E2492">
        <v>39.650160028099997</v>
      </c>
      <c r="F2492">
        <v>-8.0561056697400009</v>
      </c>
      <c r="G2492">
        <v>14.1</v>
      </c>
    </row>
    <row r="2493" spans="1:7" x14ac:dyDescent="0.25">
      <c r="A2493" t="s">
        <v>3765</v>
      </c>
      <c r="B2493" s="8">
        <v>42121</v>
      </c>
      <c r="C2493">
        <v>203</v>
      </c>
      <c r="D2493">
        <v>40.85</v>
      </c>
      <c r="E2493">
        <v>37.367615681499998</v>
      </c>
      <c r="F2493">
        <v>-8.1569288528499992</v>
      </c>
      <c r="G2493">
        <v>14.1</v>
      </c>
    </row>
    <row r="2494" spans="1:7" x14ac:dyDescent="0.25">
      <c r="A2494" t="s">
        <v>3766</v>
      </c>
      <c r="B2494" s="8">
        <v>42121</v>
      </c>
      <c r="C2494">
        <v>113</v>
      </c>
      <c r="D2494">
        <v>18.850000000000001</v>
      </c>
      <c r="E2494">
        <v>38.518758337900003</v>
      </c>
      <c r="F2494">
        <v>-9.7655869931100003</v>
      </c>
      <c r="G2494">
        <v>7.1</v>
      </c>
    </row>
    <row r="2495" spans="1:7" x14ac:dyDescent="0.25">
      <c r="A2495" t="s">
        <v>3767</v>
      </c>
      <c r="B2495" s="8">
        <v>42120</v>
      </c>
      <c r="C2495">
        <v>266</v>
      </c>
      <c r="D2495">
        <v>21.1</v>
      </c>
      <c r="E2495">
        <v>51.2558153031</v>
      </c>
      <c r="F2495">
        <v>-1.8245398206000001</v>
      </c>
      <c r="G2495">
        <v>17.100000000000001</v>
      </c>
    </row>
    <row r="2496" spans="1:7" x14ac:dyDescent="0.25">
      <c r="A2496" t="s">
        <v>3768</v>
      </c>
      <c r="B2496" s="8">
        <v>42120</v>
      </c>
      <c r="C2496">
        <v>96</v>
      </c>
      <c r="D2496">
        <v>32.1</v>
      </c>
      <c r="E2496">
        <v>35.561572910599999</v>
      </c>
      <c r="F2496">
        <v>-2.4630242712300001</v>
      </c>
      <c r="G2496">
        <v>17.100000000000001</v>
      </c>
    </row>
    <row r="2497" spans="1:7" x14ac:dyDescent="0.25">
      <c r="A2497" t="s">
        <v>3769</v>
      </c>
      <c r="B2497" s="8">
        <v>42119</v>
      </c>
      <c r="C2497">
        <v>147</v>
      </c>
      <c r="D2497">
        <v>20.5</v>
      </c>
      <c r="E2497">
        <v>34.791420730200002</v>
      </c>
      <c r="F2497">
        <v>-0.76722976661300002</v>
      </c>
      <c r="G2497">
        <v>8</v>
      </c>
    </row>
    <row r="2498" spans="1:7" x14ac:dyDescent="0.25">
      <c r="A2498" t="s">
        <v>3770</v>
      </c>
      <c r="B2498" s="8">
        <v>42119</v>
      </c>
      <c r="C2498">
        <v>76</v>
      </c>
      <c r="D2498">
        <v>30.75</v>
      </c>
      <c r="E2498">
        <v>34.435659698999999</v>
      </c>
      <c r="F2498">
        <v>-1.31845863928</v>
      </c>
      <c r="G2498">
        <v>8</v>
      </c>
    </row>
    <row r="2499" spans="1:7" x14ac:dyDescent="0.25">
      <c r="A2499" t="s">
        <v>3771</v>
      </c>
      <c r="B2499" s="8">
        <v>42118</v>
      </c>
      <c r="C2499">
        <v>283</v>
      </c>
      <c r="D2499">
        <v>32.950000000000003</v>
      </c>
      <c r="E2499">
        <v>48.954567602200001</v>
      </c>
      <c r="F2499">
        <v>-5.1445514365999996</v>
      </c>
      <c r="G2499">
        <v>17.2</v>
      </c>
    </row>
    <row r="2500" spans="1:7" x14ac:dyDescent="0.25">
      <c r="A2500" t="s">
        <v>3772</v>
      </c>
      <c r="B2500" s="8">
        <v>42118</v>
      </c>
      <c r="C2500">
        <v>94</v>
      </c>
      <c r="D2500">
        <v>35</v>
      </c>
      <c r="E2500">
        <v>37.072411942599999</v>
      </c>
      <c r="F2500">
        <v>-5.3011161749299998</v>
      </c>
      <c r="G2500">
        <v>22</v>
      </c>
    </row>
    <row r="2501" spans="1:7" x14ac:dyDescent="0.25">
      <c r="A2501" t="s">
        <v>3773</v>
      </c>
      <c r="B2501" s="8">
        <v>42118</v>
      </c>
      <c r="C2501">
        <v>56</v>
      </c>
      <c r="D2501">
        <v>34.25</v>
      </c>
      <c r="E2501">
        <v>33.857494459900003</v>
      </c>
      <c r="F2501">
        <v>-1.7658650872299999</v>
      </c>
      <c r="G2501">
        <v>9</v>
      </c>
    </row>
    <row r="2502" spans="1:7" x14ac:dyDescent="0.25">
      <c r="A2502" t="s">
        <v>3774</v>
      </c>
      <c r="B2502" s="8">
        <v>42117</v>
      </c>
      <c r="C2502">
        <v>53</v>
      </c>
      <c r="D2502">
        <v>28</v>
      </c>
      <c r="E2502">
        <v>32.875866389800002</v>
      </c>
      <c r="F2502">
        <v>-6.7374264464899998</v>
      </c>
      <c r="G2502">
        <v>10</v>
      </c>
    </row>
    <row r="2503" spans="1:7" x14ac:dyDescent="0.25">
      <c r="A2503" t="s">
        <v>3775</v>
      </c>
      <c r="B2503" s="8">
        <v>42117</v>
      </c>
      <c r="C2503">
        <v>79</v>
      </c>
      <c r="D2503">
        <v>23.5</v>
      </c>
      <c r="E2503">
        <v>35.817610558799998</v>
      </c>
      <c r="F2503">
        <v>-0.79080466821200002</v>
      </c>
      <c r="G2503">
        <v>7</v>
      </c>
    </row>
    <row r="2504" spans="1:7" x14ac:dyDescent="0.25">
      <c r="A2504" t="s">
        <v>3776</v>
      </c>
      <c r="B2504" s="8">
        <v>42116</v>
      </c>
      <c r="C2504">
        <v>281</v>
      </c>
      <c r="D2504">
        <v>23.5</v>
      </c>
      <c r="E2504">
        <v>38.407596089099997</v>
      </c>
      <c r="F2504">
        <v>-0.69596984487799995</v>
      </c>
      <c r="G2504">
        <v>6</v>
      </c>
    </row>
    <row r="2505" spans="1:7" x14ac:dyDescent="0.25">
      <c r="A2505" t="s">
        <v>3777</v>
      </c>
      <c r="B2505" s="8">
        <v>42116</v>
      </c>
      <c r="C2505">
        <v>261</v>
      </c>
      <c r="D2505">
        <v>30.5</v>
      </c>
      <c r="E2505">
        <v>38.185471603800003</v>
      </c>
      <c r="F2505">
        <v>-1.8141719012600001E-2</v>
      </c>
      <c r="G2505">
        <v>19</v>
      </c>
    </row>
    <row r="2506" spans="1:7" x14ac:dyDescent="0.25">
      <c r="A2506" t="s">
        <v>3778</v>
      </c>
      <c r="B2506" s="8">
        <v>42116</v>
      </c>
      <c r="C2506">
        <v>74</v>
      </c>
      <c r="D2506">
        <v>44.25</v>
      </c>
      <c r="E2506">
        <v>35.380684924000001</v>
      </c>
      <c r="F2506">
        <v>-2.7282042948599998</v>
      </c>
      <c r="G2506">
        <v>-0.5</v>
      </c>
    </row>
    <row r="2507" spans="1:7" x14ac:dyDescent="0.25">
      <c r="A2507" t="s">
        <v>3779</v>
      </c>
      <c r="B2507" s="8">
        <v>42116</v>
      </c>
      <c r="C2507">
        <v>55</v>
      </c>
      <c r="D2507">
        <v>33.25</v>
      </c>
      <c r="E2507">
        <v>36.250918927599997</v>
      </c>
      <c r="F2507">
        <v>-5.3928434901099997</v>
      </c>
      <c r="G2507">
        <v>19</v>
      </c>
    </row>
    <row r="2508" spans="1:7" x14ac:dyDescent="0.25">
      <c r="A2508" t="s">
        <v>3780</v>
      </c>
      <c r="B2508" s="8">
        <v>42115</v>
      </c>
      <c r="C2508">
        <v>278</v>
      </c>
      <c r="D2508">
        <v>26.75</v>
      </c>
      <c r="E2508">
        <v>41.225195714199998</v>
      </c>
      <c r="F2508">
        <v>-7.9194759825999999</v>
      </c>
      <c r="G2508">
        <v>11</v>
      </c>
    </row>
    <row r="2509" spans="1:7" x14ac:dyDescent="0.25">
      <c r="A2509" t="s">
        <v>3781</v>
      </c>
      <c r="B2509" s="8">
        <v>42115</v>
      </c>
      <c r="C2509">
        <v>74</v>
      </c>
      <c r="D2509">
        <v>45.75</v>
      </c>
      <c r="E2509">
        <v>34.234531907899999</v>
      </c>
      <c r="F2509">
        <v>-7.6335410147799996</v>
      </c>
      <c r="G2509">
        <v>1.75</v>
      </c>
    </row>
    <row r="2510" spans="1:7" x14ac:dyDescent="0.25">
      <c r="A2510" t="s">
        <v>3782</v>
      </c>
      <c r="B2510" s="8">
        <v>42114</v>
      </c>
      <c r="C2510">
        <v>152</v>
      </c>
      <c r="D2510">
        <v>20.25</v>
      </c>
      <c r="E2510">
        <v>39.85871143</v>
      </c>
      <c r="F2510">
        <v>-7.6471492805099999</v>
      </c>
      <c r="G2510">
        <v>17</v>
      </c>
    </row>
    <row r="2511" spans="1:7" x14ac:dyDescent="0.25">
      <c r="A2511" t="s">
        <v>3783</v>
      </c>
      <c r="B2511" s="8">
        <v>42114</v>
      </c>
      <c r="C2511">
        <v>57</v>
      </c>
      <c r="D2511">
        <v>17.75</v>
      </c>
      <c r="E2511">
        <v>33.4167390884</v>
      </c>
      <c r="F2511">
        <v>-0.22129873160899999</v>
      </c>
      <c r="G2511">
        <v>-2</v>
      </c>
    </row>
    <row r="2512" spans="1:7" x14ac:dyDescent="0.25">
      <c r="A2512" t="s">
        <v>3784</v>
      </c>
      <c r="B2512" s="8">
        <v>42113</v>
      </c>
      <c r="C2512">
        <v>284</v>
      </c>
      <c r="D2512">
        <v>23.25</v>
      </c>
      <c r="E2512">
        <v>38.997934528899997</v>
      </c>
      <c r="F2512">
        <v>-2.5366902945200001</v>
      </c>
      <c r="G2512">
        <v>6</v>
      </c>
    </row>
    <row r="2513" spans="1:7" x14ac:dyDescent="0.25">
      <c r="A2513" t="s">
        <v>3785</v>
      </c>
      <c r="B2513" s="8">
        <v>42113</v>
      </c>
      <c r="C2513">
        <v>211</v>
      </c>
      <c r="D2513">
        <v>22.25</v>
      </c>
      <c r="E2513">
        <v>38.897358459199999</v>
      </c>
      <c r="F2513">
        <v>-1.1454342609999999</v>
      </c>
      <c r="G2513">
        <v>6</v>
      </c>
    </row>
    <row r="2514" spans="1:7" x14ac:dyDescent="0.25">
      <c r="A2514" t="s">
        <v>3786</v>
      </c>
      <c r="B2514" s="8">
        <v>42113</v>
      </c>
      <c r="C2514">
        <v>74</v>
      </c>
      <c r="D2514">
        <v>53.75</v>
      </c>
      <c r="E2514">
        <v>33.561947821799997</v>
      </c>
      <c r="F2514">
        <v>-2.7429319592699999</v>
      </c>
      <c r="G2514">
        <v>-0.25</v>
      </c>
    </row>
    <row r="2515" spans="1:7" x14ac:dyDescent="0.25">
      <c r="A2515" t="s">
        <v>3787</v>
      </c>
      <c r="B2515" s="8">
        <v>42112</v>
      </c>
      <c r="C2515">
        <v>150</v>
      </c>
      <c r="D2515">
        <v>33.75</v>
      </c>
      <c r="E2515">
        <v>38.186906385699999</v>
      </c>
      <c r="F2515">
        <v>-0.84504431607300001</v>
      </c>
      <c r="G2515">
        <v>22</v>
      </c>
    </row>
    <row r="2516" spans="1:7" x14ac:dyDescent="0.25">
      <c r="A2516" t="s">
        <v>3788</v>
      </c>
      <c r="B2516" s="8">
        <v>42111</v>
      </c>
      <c r="C2516">
        <v>245</v>
      </c>
      <c r="D2516">
        <v>69.5</v>
      </c>
      <c r="E2516">
        <v>45.617691863700003</v>
      </c>
      <c r="F2516">
        <v>-0.80557296276199997</v>
      </c>
      <c r="G2516">
        <v>1.75</v>
      </c>
    </row>
    <row r="2517" spans="1:7" x14ac:dyDescent="0.25">
      <c r="A2517" t="s">
        <v>3789</v>
      </c>
      <c r="B2517" s="8">
        <v>42111</v>
      </c>
      <c r="C2517">
        <v>55</v>
      </c>
      <c r="D2517">
        <v>52.25</v>
      </c>
      <c r="E2517">
        <v>35.875030336899997</v>
      </c>
      <c r="F2517">
        <v>-1.8271193539299999</v>
      </c>
      <c r="G2517">
        <v>1.75</v>
      </c>
    </row>
    <row r="2518" spans="1:7" x14ac:dyDescent="0.25">
      <c r="A2518" t="s">
        <v>3790</v>
      </c>
      <c r="B2518" s="8">
        <v>42111</v>
      </c>
      <c r="C2518">
        <v>78</v>
      </c>
      <c r="D2518">
        <v>26.5</v>
      </c>
      <c r="E2518">
        <v>34.129279678800003</v>
      </c>
      <c r="F2518">
        <v>-2.5609842489600001</v>
      </c>
      <c r="G2518">
        <v>14</v>
      </c>
    </row>
    <row r="2519" spans="1:7" x14ac:dyDescent="0.25">
      <c r="A2519" t="s">
        <v>2472</v>
      </c>
      <c r="B2519" s="8">
        <v>42143</v>
      </c>
      <c r="C2519">
        <v>279</v>
      </c>
      <c r="D2519">
        <v>31.5</v>
      </c>
      <c r="E2519">
        <v>38.032469364400001</v>
      </c>
      <c r="F2519">
        <v>-4.5884272611099997</v>
      </c>
      <c r="G2519">
        <v>8</v>
      </c>
    </row>
    <row r="2520" spans="1:7" x14ac:dyDescent="0.25">
      <c r="A2520" t="s">
        <v>2473</v>
      </c>
      <c r="B2520" s="8">
        <v>42144</v>
      </c>
      <c r="C2520">
        <v>277</v>
      </c>
      <c r="D2520">
        <v>29.75</v>
      </c>
      <c r="E2520">
        <v>38.138706247999998</v>
      </c>
      <c r="F2520">
        <v>-0.34507736469799999</v>
      </c>
      <c r="G2520">
        <v>2</v>
      </c>
    </row>
    <row r="2521" spans="1:7" x14ac:dyDescent="0.25">
      <c r="A2521" t="s">
        <v>2474</v>
      </c>
      <c r="B2521" s="8">
        <v>42144</v>
      </c>
      <c r="C2521">
        <v>257</v>
      </c>
      <c r="D2521">
        <v>28.25</v>
      </c>
      <c r="E2521">
        <v>37.570349180199997</v>
      </c>
      <c r="F2521">
        <v>-0.81502261671499998</v>
      </c>
      <c r="G2521">
        <v>2</v>
      </c>
    </row>
    <row r="2522" spans="1:7" x14ac:dyDescent="0.25">
      <c r="A2522" t="s">
        <v>2475</v>
      </c>
      <c r="B2522" s="8">
        <v>42145</v>
      </c>
      <c r="C2522">
        <v>223</v>
      </c>
      <c r="D2522">
        <v>34.85</v>
      </c>
      <c r="E2522">
        <v>39.4933904114</v>
      </c>
      <c r="F2522">
        <v>-7.6332253689399998</v>
      </c>
      <c r="G2522">
        <v>-0.75</v>
      </c>
    </row>
    <row r="2523" spans="1:7" x14ac:dyDescent="0.25">
      <c r="A2523" t="s">
        <v>2476</v>
      </c>
      <c r="B2523" s="8">
        <v>42145</v>
      </c>
      <c r="C2523">
        <v>109</v>
      </c>
      <c r="D2523">
        <v>60.35</v>
      </c>
      <c r="E2523">
        <v>37.903711391800002</v>
      </c>
      <c r="F2523">
        <v>-8.4685564664800008</v>
      </c>
      <c r="G2523">
        <v>-0.75</v>
      </c>
    </row>
    <row r="2524" spans="1:7" x14ac:dyDescent="0.25">
      <c r="A2524" t="s">
        <v>2477</v>
      </c>
      <c r="B2524" s="8">
        <v>42145</v>
      </c>
      <c r="C2524">
        <v>34</v>
      </c>
      <c r="D2524">
        <v>36.35</v>
      </c>
      <c r="E2524">
        <v>34.726825335400001</v>
      </c>
      <c r="F2524">
        <v>-5.0737112120600001</v>
      </c>
      <c r="G2524">
        <v>-0.75</v>
      </c>
    </row>
    <row r="2525" spans="1:7" x14ac:dyDescent="0.25">
      <c r="A2525" t="s">
        <v>2478</v>
      </c>
      <c r="B2525" s="8">
        <v>42145</v>
      </c>
      <c r="C2525">
        <v>114</v>
      </c>
      <c r="D2525">
        <v>31.5</v>
      </c>
      <c r="E2525">
        <v>33.148410482099997</v>
      </c>
      <c r="F2525">
        <v>2.6675624043100001E-2</v>
      </c>
      <c r="G2525">
        <v>18</v>
      </c>
    </row>
    <row r="2526" spans="1:7" x14ac:dyDescent="0.25">
      <c r="A2526" t="s">
        <v>2479</v>
      </c>
      <c r="B2526" s="8">
        <v>42146</v>
      </c>
      <c r="C2526">
        <v>278</v>
      </c>
      <c r="D2526">
        <v>41.25</v>
      </c>
      <c r="E2526">
        <v>37.712264952600002</v>
      </c>
      <c r="F2526">
        <v>-3.4692807249299999</v>
      </c>
      <c r="G2526">
        <v>18</v>
      </c>
    </row>
    <row r="2527" spans="1:7" x14ac:dyDescent="0.25">
      <c r="A2527" t="s">
        <v>2480</v>
      </c>
      <c r="B2527" s="8">
        <v>42146</v>
      </c>
      <c r="C2527">
        <v>58</v>
      </c>
      <c r="D2527">
        <v>21.75</v>
      </c>
      <c r="E2527">
        <v>33.551434677000003</v>
      </c>
      <c r="F2527">
        <v>-0.182674179277</v>
      </c>
      <c r="G2527">
        <v>8</v>
      </c>
    </row>
    <row r="2528" spans="1:7" x14ac:dyDescent="0.25">
      <c r="A2528" t="s">
        <v>2481</v>
      </c>
      <c r="B2528" s="8">
        <v>42147</v>
      </c>
      <c r="C2528">
        <v>118</v>
      </c>
      <c r="D2528">
        <v>28.25</v>
      </c>
      <c r="E2528">
        <v>38.149089915200001</v>
      </c>
      <c r="F2528">
        <v>-1.42088434092</v>
      </c>
      <c r="G2528">
        <v>10</v>
      </c>
    </row>
    <row r="2529" spans="1:7" x14ac:dyDescent="0.25">
      <c r="A2529" t="s">
        <v>2482</v>
      </c>
      <c r="B2529" s="8">
        <v>42147</v>
      </c>
      <c r="C2529">
        <v>61</v>
      </c>
      <c r="D2529">
        <v>22.75</v>
      </c>
      <c r="E2529">
        <v>36.472596319700003</v>
      </c>
      <c r="F2529">
        <v>-1.0633131252800001</v>
      </c>
      <c r="G2529">
        <v>10</v>
      </c>
    </row>
    <row r="2530" spans="1:7" x14ac:dyDescent="0.25">
      <c r="A2530" t="s">
        <v>2483</v>
      </c>
      <c r="B2530" s="8">
        <v>42147</v>
      </c>
      <c r="C2530">
        <v>34</v>
      </c>
      <c r="D2530">
        <v>30.5</v>
      </c>
      <c r="E2530">
        <v>35.2409193007</v>
      </c>
      <c r="F2530">
        <v>-0.63725713292999997</v>
      </c>
      <c r="G2530">
        <v>10</v>
      </c>
    </row>
    <row r="2531" spans="1:7" x14ac:dyDescent="0.25">
      <c r="A2531" t="s">
        <v>2484</v>
      </c>
      <c r="B2531" s="8">
        <v>42148</v>
      </c>
      <c r="C2531">
        <v>281</v>
      </c>
      <c r="D2531">
        <v>25</v>
      </c>
      <c r="E2531">
        <v>36.789451130400003</v>
      </c>
      <c r="F2531">
        <v>-9.2268847283500008</v>
      </c>
      <c r="G2531">
        <v>13</v>
      </c>
    </row>
    <row r="2532" spans="1:7" x14ac:dyDescent="0.25">
      <c r="A2532" t="s">
        <v>2485</v>
      </c>
      <c r="B2532" s="8">
        <v>42148</v>
      </c>
      <c r="C2532">
        <v>209</v>
      </c>
      <c r="D2532">
        <v>37.75</v>
      </c>
      <c r="E2532">
        <v>36.040479275499997</v>
      </c>
      <c r="F2532">
        <v>-9.8738428973100003</v>
      </c>
      <c r="G2532">
        <v>13</v>
      </c>
    </row>
    <row r="2533" spans="1:7" x14ac:dyDescent="0.25">
      <c r="A2533" t="s">
        <v>2486</v>
      </c>
      <c r="B2533" s="8">
        <v>42148</v>
      </c>
      <c r="C2533">
        <v>72</v>
      </c>
      <c r="D2533">
        <v>25.75</v>
      </c>
      <c r="E2533">
        <v>33.1432952312</v>
      </c>
      <c r="F2533">
        <v>-4.2229257530500002</v>
      </c>
      <c r="G2533">
        <v>15</v>
      </c>
    </row>
    <row r="2534" spans="1:7" x14ac:dyDescent="0.25">
      <c r="A2534" t="s">
        <v>2487</v>
      </c>
      <c r="B2534" s="8">
        <v>42149</v>
      </c>
      <c r="C2534">
        <v>280</v>
      </c>
      <c r="D2534">
        <v>22.5</v>
      </c>
      <c r="E2534">
        <v>35.728144183700003</v>
      </c>
      <c r="F2534">
        <v>-5.7438574756599996</v>
      </c>
      <c r="G2534">
        <v>11</v>
      </c>
    </row>
    <row r="2535" spans="1:7" x14ac:dyDescent="0.25">
      <c r="A2535" t="s">
        <v>2488</v>
      </c>
      <c r="B2535" s="8">
        <v>42149</v>
      </c>
      <c r="C2535">
        <v>96</v>
      </c>
      <c r="D2535">
        <v>25.5</v>
      </c>
      <c r="E2535">
        <v>34.631321159499997</v>
      </c>
      <c r="F2535">
        <v>-0.74005602373000001</v>
      </c>
      <c r="G2535">
        <v>11</v>
      </c>
    </row>
    <row r="2536" spans="1:7" x14ac:dyDescent="0.25">
      <c r="A2536" t="s">
        <v>2489</v>
      </c>
      <c r="B2536" s="8">
        <v>42149</v>
      </c>
      <c r="C2536">
        <v>184</v>
      </c>
      <c r="D2536">
        <v>35.700000000000003</v>
      </c>
      <c r="E2536">
        <v>34.539808793399999</v>
      </c>
      <c r="F2536">
        <v>-7.73311293125</v>
      </c>
      <c r="G2536">
        <v>5.2</v>
      </c>
    </row>
    <row r="2537" spans="1:7" x14ac:dyDescent="0.25">
      <c r="A2537" t="s">
        <v>2490</v>
      </c>
      <c r="B2537" s="8">
        <v>42150</v>
      </c>
      <c r="C2537">
        <v>279</v>
      </c>
      <c r="D2537">
        <v>49</v>
      </c>
      <c r="E2537">
        <v>39.838771483199999</v>
      </c>
      <c r="F2537">
        <v>-3.1138342744299998</v>
      </c>
      <c r="G2537">
        <v>1.5</v>
      </c>
    </row>
    <row r="2538" spans="1:7" x14ac:dyDescent="0.25">
      <c r="A2538" t="s">
        <v>2491</v>
      </c>
      <c r="B2538" s="8">
        <v>42151</v>
      </c>
      <c r="C2538">
        <v>279</v>
      </c>
      <c r="D2538">
        <v>53.75</v>
      </c>
      <c r="E2538">
        <v>37.728578786699998</v>
      </c>
      <c r="F2538">
        <v>0.59032337335399998</v>
      </c>
      <c r="G2538">
        <v>21</v>
      </c>
    </row>
    <row r="2539" spans="1:7" x14ac:dyDescent="0.25">
      <c r="A2539" t="s">
        <v>2492</v>
      </c>
      <c r="B2539" s="8">
        <v>42151</v>
      </c>
      <c r="C2539">
        <v>166</v>
      </c>
      <c r="D2539">
        <v>48.75</v>
      </c>
      <c r="E2539">
        <v>37.513857647800002</v>
      </c>
      <c r="F2539">
        <v>0.30758495215699999</v>
      </c>
      <c r="G2539">
        <v>21</v>
      </c>
    </row>
    <row r="2540" spans="1:7" x14ac:dyDescent="0.25">
      <c r="A2540" t="s">
        <v>2493</v>
      </c>
      <c r="B2540" s="8">
        <v>42151</v>
      </c>
      <c r="C2540">
        <v>73</v>
      </c>
      <c r="D2540">
        <v>33.5</v>
      </c>
      <c r="E2540">
        <v>33.361273260300003</v>
      </c>
      <c r="F2540">
        <v>-9.8075789498199999</v>
      </c>
      <c r="G2540">
        <v>0.5</v>
      </c>
    </row>
    <row r="2541" spans="1:7" x14ac:dyDescent="0.25">
      <c r="A2541" t="s">
        <v>2494</v>
      </c>
      <c r="B2541" s="8">
        <v>42151</v>
      </c>
      <c r="C2541">
        <v>93</v>
      </c>
      <c r="D2541">
        <v>30</v>
      </c>
      <c r="E2541">
        <v>36.289956758000002</v>
      </c>
      <c r="F2541">
        <v>6.4804875404299994E-2</v>
      </c>
      <c r="G2541">
        <v>21</v>
      </c>
    </row>
    <row r="2542" spans="1:7" x14ac:dyDescent="0.25">
      <c r="A2542" t="s">
        <v>2495</v>
      </c>
      <c r="B2542" s="8">
        <v>42152</v>
      </c>
      <c r="C2542">
        <v>140</v>
      </c>
      <c r="D2542">
        <v>37.200000000000003</v>
      </c>
      <c r="E2542">
        <v>37.997408225699999</v>
      </c>
      <c r="F2542">
        <v>-4.4863845807700002</v>
      </c>
      <c r="G2542">
        <v>23.2</v>
      </c>
    </row>
    <row r="2543" spans="1:7" x14ac:dyDescent="0.25">
      <c r="A2543" t="s">
        <v>2495</v>
      </c>
      <c r="B2543" s="8">
        <v>42152</v>
      </c>
      <c r="C2543">
        <v>140</v>
      </c>
      <c r="D2543">
        <v>37.200000000000003</v>
      </c>
      <c r="E2543">
        <v>37.997408225699999</v>
      </c>
      <c r="F2543">
        <v>-4.4863845807700002</v>
      </c>
      <c r="G2543">
        <v>23.2</v>
      </c>
    </row>
    <row r="2544" spans="1:7" x14ac:dyDescent="0.25">
      <c r="A2544" t="s">
        <v>2496</v>
      </c>
      <c r="B2544" s="8">
        <v>42152</v>
      </c>
      <c r="C2544">
        <v>93</v>
      </c>
      <c r="D2544">
        <v>43.25</v>
      </c>
      <c r="E2544">
        <v>36.456270055200001</v>
      </c>
      <c r="F2544">
        <v>-3.70922498901</v>
      </c>
      <c r="G2544">
        <v>21</v>
      </c>
    </row>
    <row r="2545" spans="1:7" x14ac:dyDescent="0.25">
      <c r="A2545" t="s">
        <v>2497</v>
      </c>
      <c r="B2545" s="8">
        <v>42152</v>
      </c>
      <c r="C2545">
        <v>113</v>
      </c>
      <c r="D2545">
        <v>52.75</v>
      </c>
      <c r="E2545">
        <v>36.467841180500002</v>
      </c>
      <c r="F2545">
        <v>-3.6978877623000002</v>
      </c>
      <c r="G2545">
        <v>21</v>
      </c>
    </row>
    <row r="2546" spans="1:7" x14ac:dyDescent="0.25">
      <c r="A2546" t="s">
        <v>2498</v>
      </c>
      <c r="B2546" s="8">
        <v>42153</v>
      </c>
      <c r="C2546">
        <v>281</v>
      </c>
      <c r="D2546">
        <v>24</v>
      </c>
      <c r="E2546">
        <v>40.358209585499999</v>
      </c>
      <c r="F2546">
        <v>-4.6169484145400004</v>
      </c>
      <c r="G2546">
        <v>-0.5</v>
      </c>
    </row>
    <row r="2547" spans="1:7" x14ac:dyDescent="0.25">
      <c r="A2547" t="s">
        <v>2498</v>
      </c>
      <c r="B2547" s="8">
        <v>42153</v>
      </c>
      <c r="C2547">
        <v>263</v>
      </c>
      <c r="D2547">
        <v>24</v>
      </c>
      <c r="E2547">
        <v>40.358209585499999</v>
      </c>
      <c r="F2547">
        <v>-4.6169484145400004</v>
      </c>
      <c r="G2547">
        <v>-0.5</v>
      </c>
    </row>
    <row r="2548" spans="1:7" x14ac:dyDescent="0.25">
      <c r="A2548" t="s">
        <v>2499</v>
      </c>
      <c r="B2548" s="8">
        <v>42154</v>
      </c>
      <c r="C2548">
        <v>262</v>
      </c>
      <c r="D2548">
        <v>33.25</v>
      </c>
      <c r="E2548">
        <v>36.882602195499999</v>
      </c>
      <c r="F2548">
        <v>-9.0882690693899999</v>
      </c>
      <c r="G2548">
        <v>11</v>
      </c>
    </row>
    <row r="2549" spans="1:7" x14ac:dyDescent="0.25">
      <c r="A2549" t="s">
        <v>2500</v>
      </c>
      <c r="B2549" s="8">
        <v>42154</v>
      </c>
      <c r="C2549">
        <v>130</v>
      </c>
      <c r="D2549">
        <v>26.85</v>
      </c>
      <c r="E2549">
        <v>34.3499801424</v>
      </c>
      <c r="F2549">
        <v>-2.0019491201299999</v>
      </c>
      <c r="G2549">
        <v>4.0999999999999996</v>
      </c>
    </row>
    <row r="2550" spans="1:7" x14ac:dyDescent="0.25">
      <c r="A2550" t="s">
        <v>2501</v>
      </c>
      <c r="B2550" s="8">
        <v>42154</v>
      </c>
      <c r="C2550">
        <v>132</v>
      </c>
      <c r="D2550">
        <v>35</v>
      </c>
      <c r="E2550">
        <v>36.6126383836</v>
      </c>
      <c r="F2550">
        <v>-9.3981525877899994</v>
      </c>
      <c r="G2550">
        <v>11</v>
      </c>
    </row>
    <row r="2551" spans="1:7" x14ac:dyDescent="0.25">
      <c r="A2551" t="s">
        <v>2502</v>
      </c>
      <c r="B2551" s="8">
        <v>42154</v>
      </c>
      <c r="C2551">
        <v>130</v>
      </c>
      <c r="D2551">
        <v>38</v>
      </c>
      <c r="E2551">
        <v>33.204013957000001</v>
      </c>
      <c r="F2551">
        <v>-2.39933741772</v>
      </c>
      <c r="G2551">
        <v>8</v>
      </c>
    </row>
    <row r="2552" spans="1:7" x14ac:dyDescent="0.25">
      <c r="A2552" t="s">
        <v>2503</v>
      </c>
      <c r="B2552" s="8">
        <v>42155</v>
      </c>
      <c r="C2552">
        <v>280</v>
      </c>
      <c r="D2552">
        <v>26.2</v>
      </c>
      <c r="E2552">
        <v>37.510399673999999</v>
      </c>
      <c r="F2552">
        <v>-1.0927580099900001</v>
      </c>
      <c r="G2552">
        <v>9.1999999999999993</v>
      </c>
    </row>
    <row r="2553" spans="1:7" x14ac:dyDescent="0.25">
      <c r="A2553" t="s">
        <v>2504</v>
      </c>
      <c r="B2553" s="8">
        <v>42155</v>
      </c>
      <c r="C2553">
        <v>94</v>
      </c>
      <c r="D2553">
        <v>18.7</v>
      </c>
      <c r="E2553">
        <v>36.0670306186</v>
      </c>
      <c r="F2553">
        <v>-1.52561910402</v>
      </c>
      <c r="G2553">
        <v>9.1999999999999993</v>
      </c>
    </row>
    <row r="2554" spans="1:7" x14ac:dyDescent="0.25">
      <c r="A2554" t="s">
        <v>2505</v>
      </c>
      <c r="B2554" s="8">
        <v>42155</v>
      </c>
      <c r="C2554">
        <v>186</v>
      </c>
      <c r="D2554">
        <v>26.75</v>
      </c>
      <c r="E2554">
        <v>33.960115042300004</v>
      </c>
      <c r="F2554">
        <v>-1.401240394</v>
      </c>
      <c r="G2554">
        <v>0.75</v>
      </c>
    </row>
    <row r="2555" spans="1:7" x14ac:dyDescent="0.25">
      <c r="A2555" t="s">
        <v>2506</v>
      </c>
      <c r="B2555" s="8">
        <v>42155</v>
      </c>
      <c r="C2555">
        <v>112</v>
      </c>
      <c r="D2555">
        <v>23</v>
      </c>
      <c r="E2555">
        <v>33.092132825599997</v>
      </c>
      <c r="F2555">
        <v>-3.0632860552699999</v>
      </c>
      <c r="G2555">
        <v>0.75</v>
      </c>
    </row>
    <row r="2556" spans="1:7" x14ac:dyDescent="0.25">
      <c r="A2556" t="s">
        <v>2507</v>
      </c>
      <c r="B2556" s="8">
        <v>42156</v>
      </c>
      <c r="C2556">
        <v>163</v>
      </c>
      <c r="D2556">
        <v>47.75</v>
      </c>
      <c r="E2556">
        <v>37.387511941699998</v>
      </c>
      <c r="F2556">
        <v>-9.0401931097299997</v>
      </c>
      <c r="G2556">
        <v>5.75</v>
      </c>
    </row>
    <row r="2557" spans="1:7" x14ac:dyDescent="0.25">
      <c r="A2557" t="s">
        <v>2508</v>
      </c>
      <c r="B2557" s="8">
        <v>42157</v>
      </c>
      <c r="C2557">
        <v>293</v>
      </c>
      <c r="D2557">
        <v>16.2</v>
      </c>
      <c r="E2557">
        <v>43.733610870200003</v>
      </c>
      <c r="F2557">
        <v>-3.6922199194999998</v>
      </c>
      <c r="G2557">
        <v>-0.25</v>
      </c>
    </row>
    <row r="2558" spans="1:7" x14ac:dyDescent="0.25">
      <c r="A2558" t="s">
        <v>2509</v>
      </c>
      <c r="B2558" s="8">
        <v>42157</v>
      </c>
      <c r="C2558">
        <v>293</v>
      </c>
      <c r="D2558">
        <v>16.2</v>
      </c>
      <c r="E2558">
        <v>43.733610870200003</v>
      </c>
      <c r="F2558">
        <v>-3.6922199194999998</v>
      </c>
      <c r="G2558">
        <v>-0.25</v>
      </c>
    </row>
    <row r="2559" spans="1:7" x14ac:dyDescent="0.25">
      <c r="A2559" t="s">
        <v>2510</v>
      </c>
      <c r="B2559" s="8">
        <v>42157</v>
      </c>
      <c r="C2559">
        <v>99</v>
      </c>
      <c r="D2559">
        <v>25.75</v>
      </c>
      <c r="E2559">
        <v>34.189425331000002</v>
      </c>
      <c r="F2559">
        <v>-7.6098307953599997</v>
      </c>
      <c r="G2559">
        <v>13</v>
      </c>
    </row>
    <row r="2560" spans="1:7" x14ac:dyDescent="0.25">
      <c r="A2560" t="s">
        <v>2511</v>
      </c>
      <c r="B2560" s="8">
        <v>42158</v>
      </c>
      <c r="C2560">
        <v>287</v>
      </c>
      <c r="D2560">
        <v>27.25</v>
      </c>
      <c r="E2560">
        <v>39.087600723599998</v>
      </c>
      <c r="F2560">
        <v>-8.4249895982500007</v>
      </c>
      <c r="G2560">
        <v>24</v>
      </c>
    </row>
    <row r="2561" spans="1:7" x14ac:dyDescent="0.25">
      <c r="A2561" t="s">
        <v>2512</v>
      </c>
      <c r="B2561" s="8">
        <v>42158</v>
      </c>
      <c r="C2561">
        <v>98</v>
      </c>
      <c r="D2561">
        <v>30.75</v>
      </c>
      <c r="E2561">
        <v>32.806224261099999</v>
      </c>
      <c r="F2561">
        <v>-2.3290464962100002</v>
      </c>
      <c r="G2561">
        <v>19</v>
      </c>
    </row>
    <row r="2562" spans="1:7" x14ac:dyDescent="0.25">
      <c r="A2562" t="s">
        <v>2513</v>
      </c>
      <c r="B2562" s="8">
        <v>42158</v>
      </c>
      <c r="C2562">
        <v>55</v>
      </c>
      <c r="D2562">
        <v>39.5</v>
      </c>
      <c r="E2562">
        <v>31.6077678214</v>
      </c>
      <c r="F2562">
        <v>-9.4397277869699998</v>
      </c>
      <c r="G2562">
        <v>19</v>
      </c>
    </row>
    <row r="2563" spans="1:7" x14ac:dyDescent="0.25">
      <c r="A2563" t="s">
        <v>2514</v>
      </c>
      <c r="B2563" s="8">
        <v>42158</v>
      </c>
      <c r="C2563">
        <v>215</v>
      </c>
      <c r="D2563">
        <v>46.75</v>
      </c>
      <c r="E2563">
        <v>38.9068635366</v>
      </c>
      <c r="F2563">
        <v>-9.1847600776499991</v>
      </c>
      <c r="G2563">
        <v>24</v>
      </c>
    </row>
    <row r="2564" spans="1:7" x14ac:dyDescent="0.25">
      <c r="A2564" t="s">
        <v>2515</v>
      </c>
      <c r="B2564" s="8">
        <v>42159</v>
      </c>
      <c r="C2564">
        <v>190</v>
      </c>
      <c r="D2564">
        <v>40</v>
      </c>
      <c r="E2564">
        <v>42.274825873600001</v>
      </c>
      <c r="F2564">
        <v>-6.9336530743400004</v>
      </c>
      <c r="G2564">
        <v>0.5</v>
      </c>
    </row>
    <row r="2565" spans="1:7" x14ac:dyDescent="0.25">
      <c r="A2565" t="s">
        <v>2516</v>
      </c>
      <c r="B2565" s="8">
        <v>42159</v>
      </c>
      <c r="C2565">
        <v>130</v>
      </c>
      <c r="D2565">
        <v>33.5</v>
      </c>
      <c r="E2565">
        <v>39.805024085100001</v>
      </c>
      <c r="F2565">
        <v>-0.63523274514299999</v>
      </c>
      <c r="G2565">
        <v>0.5</v>
      </c>
    </row>
    <row r="2566" spans="1:7" x14ac:dyDescent="0.25">
      <c r="A2566" t="s">
        <v>2517</v>
      </c>
      <c r="B2566" s="8">
        <v>42159</v>
      </c>
      <c r="C2566">
        <v>60</v>
      </c>
      <c r="D2566">
        <v>36.1</v>
      </c>
      <c r="E2566">
        <v>32.462760464299997</v>
      </c>
      <c r="F2566">
        <v>-6.7464285484099999</v>
      </c>
      <c r="G2566">
        <v>13.1</v>
      </c>
    </row>
    <row r="2567" spans="1:7" x14ac:dyDescent="0.25">
      <c r="A2567" t="s">
        <v>2526</v>
      </c>
      <c r="B2567" s="8">
        <v>42160</v>
      </c>
      <c r="C2567">
        <v>280</v>
      </c>
      <c r="D2567">
        <v>41.25</v>
      </c>
      <c r="E2567">
        <v>36.764840713300003</v>
      </c>
      <c r="F2567">
        <v>-6.9035247002000002</v>
      </c>
      <c r="G2567">
        <v>14</v>
      </c>
    </row>
    <row r="2568" spans="1:7" x14ac:dyDescent="0.25">
      <c r="A2568" t="s">
        <v>2527</v>
      </c>
      <c r="B2568" s="8">
        <v>42160</v>
      </c>
      <c r="C2568">
        <v>54</v>
      </c>
      <c r="D2568">
        <v>17.600000000000001</v>
      </c>
      <c r="E2568">
        <v>33.203455777499997</v>
      </c>
      <c r="F2568">
        <v>-1.16900476594</v>
      </c>
      <c r="G2568">
        <v>8.1</v>
      </c>
    </row>
    <row r="2569" spans="1:7" x14ac:dyDescent="0.25">
      <c r="A2569" t="s">
        <v>2528</v>
      </c>
      <c r="B2569" s="8">
        <v>42160</v>
      </c>
      <c r="C2569">
        <v>77</v>
      </c>
      <c r="D2569">
        <v>34</v>
      </c>
      <c r="E2569">
        <v>31.903101189200001</v>
      </c>
      <c r="F2569">
        <v>-2.9210206050199998</v>
      </c>
      <c r="G2569">
        <v>8</v>
      </c>
    </row>
    <row r="2570" spans="1:7" x14ac:dyDescent="0.25">
      <c r="A2570" t="s">
        <v>2529</v>
      </c>
      <c r="B2570" s="8">
        <v>42161</v>
      </c>
      <c r="C2570">
        <v>134</v>
      </c>
      <c r="D2570">
        <v>1.2</v>
      </c>
      <c r="E2570">
        <v>36.069092060899997</v>
      </c>
      <c r="F2570">
        <v>-9.8658595785000003</v>
      </c>
      <c r="G2570">
        <v>-4.8</v>
      </c>
    </row>
    <row r="2571" spans="1:7" x14ac:dyDescent="0.25">
      <c r="A2571" t="s">
        <v>2530</v>
      </c>
      <c r="B2571" s="8">
        <v>42161</v>
      </c>
      <c r="C2571">
        <v>110</v>
      </c>
      <c r="D2571">
        <v>29.25</v>
      </c>
      <c r="E2571">
        <v>36.728443280199997</v>
      </c>
      <c r="F2571">
        <v>-8.1657950603000007</v>
      </c>
      <c r="G2571">
        <v>-0.5</v>
      </c>
    </row>
    <row r="2572" spans="1:7" x14ac:dyDescent="0.25">
      <c r="A2572" t="s">
        <v>2531</v>
      </c>
      <c r="B2572" s="8">
        <v>42161</v>
      </c>
      <c r="C2572">
        <v>153</v>
      </c>
      <c r="D2572">
        <v>33</v>
      </c>
      <c r="E2572">
        <v>34.867184830500001</v>
      </c>
      <c r="F2572">
        <v>-9.5509851815599998</v>
      </c>
      <c r="G2572">
        <v>2.5</v>
      </c>
    </row>
    <row r="2573" spans="1:7" x14ac:dyDescent="0.25">
      <c r="A2573" t="s">
        <v>2532</v>
      </c>
      <c r="B2573" s="8">
        <v>42162</v>
      </c>
      <c r="C2573">
        <v>90</v>
      </c>
      <c r="D2573">
        <v>26.25</v>
      </c>
      <c r="E2573">
        <v>36.496616889999999</v>
      </c>
      <c r="F2573">
        <v>-2.28603651281</v>
      </c>
      <c r="G2573">
        <v>19</v>
      </c>
    </row>
    <row r="2574" spans="1:7" x14ac:dyDescent="0.25">
      <c r="A2574" t="s">
        <v>2533</v>
      </c>
      <c r="B2574" s="8">
        <v>42163</v>
      </c>
      <c r="C2574">
        <v>146</v>
      </c>
      <c r="D2574">
        <v>40.25</v>
      </c>
      <c r="E2574">
        <v>37.217365942699999</v>
      </c>
      <c r="F2574">
        <v>-4.1724131826399997</v>
      </c>
      <c r="G2574">
        <v>25</v>
      </c>
    </row>
    <row r="2575" spans="1:7" x14ac:dyDescent="0.25">
      <c r="A2575" t="s">
        <v>2535</v>
      </c>
      <c r="B2575" s="8">
        <v>42164</v>
      </c>
      <c r="C2575">
        <v>281</v>
      </c>
      <c r="D2575">
        <v>33.700000000000003</v>
      </c>
      <c r="E2575">
        <v>38.474636744999998</v>
      </c>
      <c r="F2575">
        <v>-1.72493019779</v>
      </c>
      <c r="G2575">
        <v>9.1999999999999993</v>
      </c>
    </row>
    <row r="2576" spans="1:7" x14ac:dyDescent="0.25">
      <c r="A2576" t="s">
        <v>2536</v>
      </c>
      <c r="B2576" s="8">
        <v>42165</v>
      </c>
      <c r="C2576">
        <v>280</v>
      </c>
      <c r="D2576">
        <v>34.75</v>
      </c>
      <c r="E2576">
        <v>38.192586450199997</v>
      </c>
      <c r="F2576">
        <v>-1.24760195539</v>
      </c>
      <c r="G2576">
        <v>15</v>
      </c>
    </row>
    <row r="2577" spans="1:7" x14ac:dyDescent="0.25">
      <c r="A2577" t="s">
        <v>2537</v>
      </c>
      <c r="B2577" s="8">
        <v>42165</v>
      </c>
      <c r="C2577">
        <v>205</v>
      </c>
      <c r="D2577">
        <v>49</v>
      </c>
      <c r="E2577">
        <v>37.349081020500002</v>
      </c>
      <c r="F2577">
        <v>-0.42198059923300002</v>
      </c>
      <c r="G2577">
        <v>15</v>
      </c>
    </row>
    <row r="2578" spans="1:7" x14ac:dyDescent="0.25">
      <c r="A2578" t="s">
        <v>2538</v>
      </c>
      <c r="B2578" s="8">
        <v>42165</v>
      </c>
      <c r="C2578">
        <v>57</v>
      </c>
      <c r="D2578">
        <v>26.5</v>
      </c>
      <c r="E2578">
        <v>30.771197294499999</v>
      </c>
      <c r="F2578">
        <v>-0.69021273048499998</v>
      </c>
      <c r="G2578">
        <v>8</v>
      </c>
    </row>
    <row r="2579" spans="1:7" x14ac:dyDescent="0.25">
      <c r="A2579" t="s">
        <v>2539</v>
      </c>
      <c r="B2579" s="8">
        <v>42166</v>
      </c>
      <c r="C2579">
        <v>106</v>
      </c>
      <c r="D2579">
        <v>40.75</v>
      </c>
      <c r="E2579">
        <v>34.691315808100001</v>
      </c>
      <c r="F2579">
        <v>-4.89780754449</v>
      </c>
      <c r="G2579">
        <v>16</v>
      </c>
    </row>
    <row r="2580" spans="1:7" x14ac:dyDescent="0.25">
      <c r="A2580" t="s">
        <v>2540</v>
      </c>
      <c r="B2580" s="8">
        <v>42166</v>
      </c>
      <c r="C2580">
        <v>33</v>
      </c>
      <c r="D2580">
        <v>34.5</v>
      </c>
      <c r="E2580">
        <v>32.242975395099997</v>
      </c>
      <c r="F2580">
        <v>-4.2011047449800003</v>
      </c>
      <c r="G2580">
        <v>11</v>
      </c>
    </row>
    <row r="2581" spans="1:7" x14ac:dyDescent="0.25">
      <c r="A2581" t="s">
        <v>2541</v>
      </c>
      <c r="B2581" s="8">
        <v>42167</v>
      </c>
      <c r="C2581">
        <v>277</v>
      </c>
      <c r="D2581">
        <v>28.2</v>
      </c>
      <c r="E2581">
        <v>39.358306583299999</v>
      </c>
      <c r="F2581">
        <v>-0.33305589412699999</v>
      </c>
      <c r="G2581">
        <v>-0.5</v>
      </c>
    </row>
    <row r="2582" spans="1:7" x14ac:dyDescent="0.25">
      <c r="A2582" t="s">
        <v>2544</v>
      </c>
      <c r="B2582" s="8">
        <v>42167</v>
      </c>
      <c r="C2582">
        <v>261</v>
      </c>
      <c r="D2582">
        <v>35.200000000000003</v>
      </c>
      <c r="E2582">
        <v>38.610321188500002</v>
      </c>
      <c r="F2582">
        <v>-0.34696423156</v>
      </c>
      <c r="G2582">
        <v>-0.5</v>
      </c>
    </row>
  </sheetData>
  <autoFilter ref="A1936:H2074">
    <sortState ref="A1937:H2074">
      <sortCondition ref="B1936:B2074"/>
    </sortState>
  </autoFilter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B16" sqref="B16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57</v>
      </c>
      <c r="B1" t="s">
        <v>4</v>
      </c>
    </row>
    <row r="2" spans="1:3" x14ac:dyDescent="0.25">
      <c r="A2" t="s">
        <v>59</v>
      </c>
      <c r="B2" s="1" t="s">
        <v>715</v>
      </c>
      <c r="C2" s="2"/>
    </row>
    <row r="3" spans="1:3" ht="12.75" customHeight="1" x14ac:dyDescent="0.25">
      <c r="A3" t="s">
        <v>58</v>
      </c>
      <c r="B3" s="3">
        <v>1170</v>
      </c>
    </row>
    <row r="4" spans="1:3" x14ac:dyDescent="0.25">
      <c r="A4" t="s">
        <v>152</v>
      </c>
      <c r="B4" s="4" t="s">
        <v>685</v>
      </c>
    </row>
    <row r="5" spans="1:3" x14ac:dyDescent="0.25">
      <c r="A5" t="s">
        <v>161</v>
      </c>
    </row>
    <row r="6" spans="1:3" x14ac:dyDescent="0.25">
      <c r="A6" t="s">
        <v>162</v>
      </c>
      <c r="B6">
        <v>10000</v>
      </c>
    </row>
    <row r="7" spans="1:3" x14ac:dyDescent="0.25">
      <c r="A7" t="s">
        <v>305</v>
      </c>
      <c r="B7">
        <f>COUNTA('Best Contests'!B:B)+1</f>
        <v>21</v>
      </c>
    </row>
    <row r="8" spans="1:3" x14ac:dyDescent="0.25">
      <c r="A8" t="s">
        <v>315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19"/>
      <c r="I18" s="5"/>
      <c r="J18" s="19"/>
      <c r="K18" s="19"/>
      <c r="L18" s="5"/>
      <c r="M18" s="20"/>
      <c r="N18" s="20"/>
    </row>
    <row r="19" spans="1:15" x14ac:dyDescent="0.25">
      <c r="A19" s="7"/>
      <c r="C19" s="5"/>
      <c r="D19" s="5"/>
      <c r="E19" s="5"/>
      <c r="F19" s="5"/>
      <c r="G19" s="5"/>
      <c r="H19" s="19"/>
      <c r="I19" s="5"/>
      <c r="J19" s="19"/>
      <c r="K19" s="19"/>
      <c r="L19" s="5"/>
      <c r="M19" s="20"/>
      <c r="N19" s="20"/>
    </row>
    <row r="20" spans="1:15" x14ac:dyDescent="0.25">
      <c r="A20" s="5"/>
      <c r="D20" s="5"/>
      <c r="E20" s="5"/>
      <c r="F20" s="5"/>
      <c r="G20" s="5"/>
      <c r="H20" s="5"/>
      <c r="I20" s="19"/>
      <c r="J20" s="5"/>
      <c r="K20" s="19"/>
      <c r="L20" s="19"/>
      <c r="M20" s="5"/>
      <c r="N20" s="20"/>
      <c r="O20" s="20"/>
    </row>
    <row r="21" spans="1:15" x14ac:dyDescent="0.25">
      <c r="A21" s="5"/>
      <c r="D21" s="5"/>
      <c r="E21" s="5"/>
      <c r="F21" s="5"/>
      <c r="G21" s="5"/>
      <c r="H21" s="5"/>
      <c r="I21" s="19"/>
      <c r="J21" s="5"/>
      <c r="K21" s="19"/>
      <c r="L21" s="19"/>
      <c r="M21" s="5"/>
      <c r="N21" s="20"/>
      <c r="O21" s="20"/>
    </row>
    <row r="22" spans="1:15" x14ac:dyDescent="0.25">
      <c r="A22" s="5"/>
      <c r="D22" s="5"/>
      <c r="E22" s="5"/>
      <c r="F22" s="5"/>
      <c r="G22" s="5"/>
      <c r="H22" s="5"/>
      <c r="I22" s="19"/>
      <c r="J22" s="5"/>
      <c r="K22" s="19"/>
      <c r="L22" s="19"/>
      <c r="M22" s="5"/>
      <c r="N22" s="20"/>
      <c r="O22" s="20"/>
    </row>
    <row r="23" spans="1:15" x14ac:dyDescent="0.25">
      <c r="A23" s="5"/>
      <c r="D23" s="5"/>
      <c r="E23" s="5"/>
      <c r="F23" s="5"/>
      <c r="G23" s="5"/>
      <c r="H23" s="5"/>
      <c r="I23" s="19"/>
      <c r="J23" s="5"/>
      <c r="K23" s="19"/>
      <c r="L23" s="19"/>
      <c r="M23" s="5"/>
      <c r="N23" s="20"/>
      <c r="O23" s="20"/>
    </row>
    <row r="24" spans="1:15" hidden="1" x14ac:dyDescent="0.25">
      <c r="A24" s="5"/>
      <c r="D24" s="5"/>
      <c r="E24" s="5"/>
      <c r="F24" s="5"/>
      <c r="G24" s="5"/>
      <c r="H24" s="5"/>
      <c r="I24" s="19"/>
      <c r="J24" s="5"/>
      <c r="K24" s="19"/>
      <c r="L24" s="19"/>
      <c r="M24" s="5"/>
      <c r="N24" s="20"/>
      <c r="O24" s="20"/>
    </row>
    <row r="25" spans="1:15" x14ac:dyDescent="0.25">
      <c r="A25" s="5"/>
      <c r="D25" s="5"/>
      <c r="E25" s="5"/>
      <c r="F25" s="5"/>
      <c r="G25" s="5"/>
      <c r="H25" s="5"/>
      <c r="I25" s="19"/>
      <c r="J25" s="5"/>
      <c r="K25" s="19"/>
      <c r="L25" s="19"/>
      <c r="M25" s="5"/>
      <c r="N25" s="20"/>
      <c r="O25" s="20"/>
    </row>
    <row r="26" spans="1:15" x14ac:dyDescent="0.25">
      <c r="A26" s="5"/>
      <c r="D26" s="5"/>
      <c r="E26" s="5"/>
      <c r="F26" s="5"/>
      <c r="G26" s="5"/>
      <c r="H26" s="5"/>
      <c r="I26" s="19"/>
      <c r="J26" s="5"/>
      <c r="K26" s="19"/>
      <c r="L26" s="19"/>
      <c r="M26" s="5"/>
      <c r="N26" s="20"/>
      <c r="O26" s="20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19"/>
      <c r="L27" s="19"/>
      <c r="M27" s="5"/>
      <c r="O27" s="20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19"/>
      <c r="M28" s="5"/>
      <c r="O28" s="20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19"/>
      <c r="I41" s="5"/>
      <c r="J41" s="5"/>
      <c r="K41" s="5"/>
      <c r="L41" s="20"/>
      <c r="M41" s="5"/>
    </row>
    <row r="42" spans="1:13" x14ac:dyDescent="0.25">
      <c r="A42" s="5"/>
      <c r="D42" s="5"/>
      <c r="E42" s="5"/>
      <c r="F42" s="5"/>
      <c r="G42" s="5"/>
      <c r="H42" s="19"/>
      <c r="I42" s="5"/>
      <c r="J42" s="5"/>
      <c r="K42" s="5"/>
      <c r="L42" s="20"/>
      <c r="M42" s="5"/>
    </row>
    <row r="43" spans="1:13" x14ac:dyDescent="0.25">
      <c r="A43" s="5"/>
      <c r="D43" s="5"/>
      <c r="E43" s="5"/>
      <c r="F43" s="5"/>
      <c r="G43" s="5"/>
      <c r="H43" s="19"/>
      <c r="I43" s="5"/>
      <c r="J43" s="5"/>
      <c r="K43" s="5"/>
      <c r="L43" s="20"/>
      <c r="M43" s="5"/>
    </row>
    <row r="44" spans="1:13" x14ac:dyDescent="0.25">
      <c r="A44" s="5"/>
      <c r="D44" s="5"/>
      <c r="E44" s="5"/>
      <c r="F44" s="5"/>
      <c r="G44" s="5"/>
      <c r="H44" s="19"/>
      <c r="I44" s="5"/>
      <c r="J44" s="5"/>
      <c r="K44" s="5"/>
      <c r="L44" s="20"/>
      <c r="M44" s="5"/>
    </row>
    <row r="45" spans="1:13" x14ac:dyDescent="0.25">
      <c r="A45" s="5"/>
      <c r="D45" s="5"/>
      <c r="E45" s="5"/>
      <c r="F45" s="5"/>
      <c r="G45" s="5"/>
      <c r="H45" s="19"/>
      <c r="I45" s="5"/>
      <c r="J45" s="5"/>
      <c r="K45" s="5"/>
      <c r="L45" s="20"/>
      <c r="M45" s="5"/>
    </row>
    <row r="46" spans="1:13" x14ac:dyDescent="0.25">
      <c r="A46" s="5"/>
      <c r="D46" s="5"/>
      <c r="E46" s="5"/>
      <c r="F46" s="5"/>
      <c r="G46" s="5"/>
      <c r="H46" s="19"/>
      <c r="I46" s="5"/>
      <c r="J46" s="5"/>
      <c r="K46" s="5"/>
      <c r="L46" s="20"/>
      <c r="M46" s="5"/>
    </row>
    <row r="47" spans="1:13" x14ac:dyDescent="0.25">
      <c r="A47" s="5"/>
      <c r="D47" s="5"/>
      <c r="E47" s="5"/>
      <c r="F47" s="5"/>
      <c r="G47" s="5"/>
      <c r="H47" s="19"/>
      <c r="I47" s="5"/>
      <c r="J47" s="5"/>
      <c r="K47" s="5"/>
      <c r="L47" s="20"/>
      <c r="M47" s="5"/>
    </row>
    <row r="48" spans="1:13" x14ac:dyDescent="0.25">
      <c r="A48" s="5"/>
      <c r="D48" s="5"/>
      <c r="E48" s="5"/>
      <c r="F48" s="5"/>
      <c r="G48" s="5"/>
      <c r="H48" s="19"/>
      <c r="I48" s="5"/>
      <c r="J48" s="5"/>
      <c r="K48" s="5"/>
      <c r="L48" s="20"/>
      <c r="M48" s="5"/>
    </row>
    <row r="49" spans="1:13" x14ac:dyDescent="0.25">
      <c r="A49" s="5"/>
      <c r="D49" s="5"/>
      <c r="E49" s="5"/>
      <c r="F49" s="5"/>
      <c r="G49" s="5"/>
      <c r="H49" s="19"/>
      <c r="I49" s="5"/>
      <c r="J49" s="5"/>
      <c r="K49" s="5"/>
      <c r="L49" s="20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19"/>
      <c r="J51" s="5"/>
      <c r="K51" s="5"/>
      <c r="L51" s="20"/>
      <c r="M51" s="5"/>
    </row>
    <row r="52" spans="1:13" x14ac:dyDescent="0.25">
      <c r="D52" s="5"/>
      <c r="E52" s="5"/>
      <c r="F52" s="5"/>
      <c r="G52" s="5"/>
      <c r="H52" s="5"/>
      <c r="I52" s="19"/>
      <c r="J52" s="5"/>
      <c r="K52" s="5"/>
      <c r="L52" s="20"/>
      <c r="M52" s="5"/>
    </row>
    <row r="53" spans="1:13" x14ac:dyDescent="0.25">
      <c r="D53" s="5"/>
      <c r="E53" s="5"/>
      <c r="F53" s="5"/>
      <c r="G53" s="5"/>
      <c r="H53" s="5"/>
      <c r="I53" s="19"/>
      <c r="J53" s="5"/>
      <c r="K53" s="5"/>
      <c r="L53" s="20"/>
      <c r="M53" s="5"/>
    </row>
    <row r="54" spans="1:13" x14ac:dyDescent="0.25">
      <c r="D54" s="5"/>
      <c r="E54" s="5"/>
      <c r="F54" s="5"/>
      <c r="G54" s="5"/>
      <c r="H54" s="5"/>
      <c r="I54" s="19"/>
      <c r="J54" s="5"/>
      <c r="K54" s="5"/>
      <c r="L54" s="20"/>
      <c r="M54" s="5"/>
    </row>
    <row r="55" spans="1:13" x14ac:dyDescent="0.25">
      <c r="A55" s="7" t="s">
        <v>717</v>
      </c>
      <c r="D55" s="5"/>
      <c r="E55" s="5"/>
      <c r="F55" s="5"/>
      <c r="G55" s="5"/>
      <c r="H55" s="5"/>
      <c r="I55" s="19"/>
      <c r="J55" s="5"/>
      <c r="K55" s="5"/>
      <c r="L55" s="20"/>
      <c r="M55" s="5"/>
    </row>
    <row r="56" spans="1:13" x14ac:dyDescent="0.25">
      <c r="D56" s="5"/>
      <c r="E56" s="5"/>
      <c r="F56" s="5"/>
      <c r="G56" s="5"/>
      <c r="H56" s="5"/>
      <c r="I56" s="19"/>
      <c r="J56" s="5"/>
      <c r="K56" s="5"/>
      <c r="L56" s="20"/>
      <c r="M56" s="5"/>
    </row>
    <row r="57" spans="1:13" x14ac:dyDescent="0.25">
      <c r="D57" s="5"/>
      <c r="E57" s="5"/>
      <c r="F57" s="5"/>
      <c r="G57" s="5"/>
      <c r="H57" s="5"/>
      <c r="I57" s="19"/>
      <c r="J57" s="5"/>
      <c r="K57" s="5"/>
      <c r="L57" s="20"/>
      <c r="M57" s="5"/>
    </row>
    <row r="58" spans="1:13" x14ac:dyDescent="0.25">
      <c r="D58" s="5"/>
      <c r="E58" s="5"/>
      <c r="F58" s="5"/>
      <c r="G58" s="5"/>
      <c r="H58" s="5"/>
      <c r="I58" s="19"/>
      <c r="J58" s="5"/>
      <c r="K58" s="5"/>
      <c r="L58" s="20"/>
      <c r="M58" s="5"/>
    </row>
    <row r="59" spans="1:13" x14ac:dyDescent="0.25">
      <c r="D59" s="5"/>
      <c r="E59" s="5"/>
      <c r="F59" s="5"/>
      <c r="G59" s="5"/>
      <c r="H59" s="5"/>
      <c r="I59" s="19"/>
      <c r="J59" s="5"/>
      <c r="K59" s="5"/>
      <c r="L59" s="20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A21" sqref="A21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  <col min="20" max="20" width="18.140625" bestFit="1" customWidth="1"/>
    <col min="21" max="21" width="21" bestFit="1" customWidth="1"/>
  </cols>
  <sheetData>
    <row r="1" spans="1:21" s="5" customFormat="1" ht="45" x14ac:dyDescent="0.25">
      <c r="N1" s="22" t="s">
        <v>1422</v>
      </c>
      <c r="O1" s="22" t="s">
        <v>1423</v>
      </c>
      <c r="P1" s="22"/>
      <c r="Q1" s="26" t="s">
        <v>1421</v>
      </c>
      <c r="T1" s="27" t="s">
        <v>1521</v>
      </c>
      <c r="U1" s="27" t="s">
        <v>1522</v>
      </c>
    </row>
    <row r="2" spans="1:21" x14ac:dyDescent="0.25">
      <c r="A2" t="s">
        <v>686</v>
      </c>
      <c r="B2" t="s">
        <v>419</v>
      </c>
      <c r="C2" t="s">
        <v>110</v>
      </c>
      <c r="D2" t="s">
        <v>174</v>
      </c>
      <c r="E2" t="s">
        <v>197</v>
      </c>
      <c r="F2" t="s">
        <v>198</v>
      </c>
      <c r="G2" t="s">
        <v>237</v>
      </c>
      <c r="H2" t="s">
        <v>199</v>
      </c>
      <c r="I2" t="s">
        <v>175</v>
      </c>
      <c r="J2" t="s">
        <v>176</v>
      </c>
      <c r="K2" t="s">
        <v>246</v>
      </c>
      <c r="N2" s="5" t="s">
        <v>1135</v>
      </c>
      <c r="O2" s="5" t="s">
        <v>1136</v>
      </c>
      <c r="Q2" s="7" t="s">
        <v>1497</v>
      </c>
      <c r="T2" s="32" t="s">
        <v>906</v>
      </c>
      <c r="U2" s="32" t="s">
        <v>836</v>
      </c>
    </row>
    <row r="3" spans="1:21" x14ac:dyDescent="0.25">
      <c r="A3" t="s">
        <v>687</v>
      </c>
      <c r="B3" t="s">
        <v>187</v>
      </c>
      <c r="C3" t="s">
        <v>186</v>
      </c>
      <c r="D3" t="s">
        <v>351</v>
      </c>
      <c r="E3" t="s">
        <v>600</v>
      </c>
      <c r="F3" t="s">
        <v>342</v>
      </c>
      <c r="G3" t="s">
        <v>346</v>
      </c>
      <c r="H3" t="s">
        <v>343</v>
      </c>
      <c r="I3" t="s">
        <v>347</v>
      </c>
      <c r="J3" t="s">
        <v>208</v>
      </c>
      <c r="K3" t="s">
        <v>185</v>
      </c>
      <c r="N3" s="5" t="s">
        <v>1012</v>
      </c>
      <c r="O3" s="5" t="s">
        <v>1013</v>
      </c>
      <c r="Q3" s="7" t="s">
        <v>1498</v>
      </c>
      <c r="T3" s="31" t="s">
        <v>1510</v>
      </c>
      <c r="U3" s="31" t="s">
        <v>1520</v>
      </c>
    </row>
    <row r="4" spans="1:21" x14ac:dyDescent="0.25">
      <c r="A4" t="s">
        <v>587</v>
      </c>
      <c r="B4" t="s">
        <v>218</v>
      </c>
      <c r="C4" t="s">
        <v>397</v>
      </c>
      <c r="D4" t="s">
        <v>517</v>
      </c>
      <c r="E4" t="s">
        <v>266</v>
      </c>
      <c r="F4" t="s">
        <v>299</v>
      </c>
      <c r="G4" t="s">
        <v>300</v>
      </c>
      <c r="H4" t="s">
        <v>348</v>
      </c>
      <c r="I4" t="s">
        <v>349</v>
      </c>
      <c r="J4" t="s">
        <v>185</v>
      </c>
      <c r="K4" t="s">
        <v>61</v>
      </c>
      <c r="N4" s="5" t="s">
        <v>988</v>
      </c>
      <c r="O4" s="5" t="s">
        <v>989</v>
      </c>
      <c r="Q4" s="7" t="s">
        <v>1499</v>
      </c>
      <c r="T4" s="32" t="s">
        <v>1509</v>
      </c>
      <c r="U4" s="32" t="s">
        <v>850</v>
      </c>
    </row>
    <row r="5" spans="1:21" x14ac:dyDescent="0.25">
      <c r="A5" t="s">
        <v>688</v>
      </c>
      <c r="B5" t="s">
        <v>597</v>
      </c>
      <c r="C5" t="s">
        <v>418</v>
      </c>
      <c r="D5" t="s">
        <v>378</v>
      </c>
      <c r="E5" t="s">
        <v>275</v>
      </c>
      <c r="F5" t="s">
        <v>254</v>
      </c>
      <c r="G5" t="s">
        <v>234</v>
      </c>
      <c r="H5" t="s">
        <v>214</v>
      </c>
      <c r="I5" t="s">
        <v>214</v>
      </c>
      <c r="J5" t="s">
        <v>199</v>
      </c>
      <c r="K5" t="s">
        <v>238</v>
      </c>
      <c r="L5" t="s">
        <v>283</v>
      </c>
      <c r="M5" t="s">
        <v>283</v>
      </c>
      <c r="N5" s="5" t="s">
        <v>1010</v>
      </c>
      <c r="O5" s="5" t="s">
        <v>1011</v>
      </c>
      <c r="Q5" s="7" t="s">
        <v>881</v>
      </c>
      <c r="T5" s="32" t="s">
        <v>910</v>
      </c>
      <c r="U5" s="32" t="s">
        <v>845</v>
      </c>
    </row>
    <row r="6" spans="1:21" x14ac:dyDescent="0.25">
      <c r="A6" t="s">
        <v>634</v>
      </c>
      <c r="B6" t="s">
        <v>337</v>
      </c>
      <c r="C6" t="s">
        <v>300</v>
      </c>
      <c r="D6" t="s">
        <v>633</v>
      </c>
      <c r="E6" t="s">
        <v>250</v>
      </c>
      <c r="F6" t="s">
        <v>297</v>
      </c>
      <c r="G6" t="s">
        <v>254</v>
      </c>
      <c r="H6" t="s">
        <v>252</v>
      </c>
      <c r="I6" t="s">
        <v>238</v>
      </c>
      <c r="J6" t="s">
        <v>333</v>
      </c>
      <c r="K6" t="s">
        <v>66</v>
      </c>
      <c r="N6" s="5" t="s">
        <v>1202</v>
      </c>
      <c r="O6" s="5" t="s">
        <v>1203</v>
      </c>
      <c r="Q6" s="7" t="s">
        <v>1500</v>
      </c>
      <c r="T6" s="32" t="s">
        <v>879</v>
      </c>
      <c r="U6" s="32" t="s">
        <v>796</v>
      </c>
    </row>
    <row r="7" spans="1:21" x14ac:dyDescent="0.25">
      <c r="A7" t="s">
        <v>640</v>
      </c>
      <c r="B7" t="s">
        <v>641</v>
      </c>
      <c r="C7" t="s">
        <v>642</v>
      </c>
      <c r="D7" t="s">
        <v>433</v>
      </c>
      <c r="E7" t="s">
        <v>434</v>
      </c>
      <c r="F7" t="s">
        <v>435</v>
      </c>
      <c r="G7" t="s">
        <v>231</v>
      </c>
      <c r="H7" t="s">
        <v>436</v>
      </c>
      <c r="I7" t="s">
        <v>437</v>
      </c>
      <c r="J7" t="s">
        <v>266</v>
      </c>
      <c r="K7" t="s">
        <v>349</v>
      </c>
      <c r="N7" s="5" t="s">
        <v>1149</v>
      </c>
      <c r="O7" s="5" t="s">
        <v>1150</v>
      </c>
      <c r="Q7" s="7" t="s">
        <v>883</v>
      </c>
      <c r="T7" s="31" t="s">
        <v>1515</v>
      </c>
      <c r="U7" s="31" t="s">
        <v>1519</v>
      </c>
    </row>
    <row r="8" spans="1:21" x14ac:dyDescent="0.25">
      <c r="A8" t="s">
        <v>689</v>
      </c>
      <c r="B8" t="s">
        <v>609</v>
      </c>
      <c r="C8" t="s">
        <v>248</v>
      </c>
      <c r="D8" t="s">
        <v>633</v>
      </c>
      <c r="E8" t="s">
        <v>338</v>
      </c>
      <c r="F8" t="s">
        <v>353</v>
      </c>
      <c r="G8" t="s">
        <v>234</v>
      </c>
      <c r="H8" t="s">
        <v>254</v>
      </c>
      <c r="I8" t="s">
        <v>252</v>
      </c>
      <c r="J8" t="s">
        <v>252</v>
      </c>
      <c r="N8" s="5" t="s">
        <v>1202</v>
      </c>
      <c r="O8" s="5" t="s">
        <v>1150</v>
      </c>
      <c r="Q8" s="7" t="s">
        <v>940</v>
      </c>
      <c r="T8" s="32" t="s">
        <v>1471</v>
      </c>
      <c r="U8" s="32" t="s">
        <v>1470</v>
      </c>
    </row>
    <row r="9" spans="1:21" x14ac:dyDescent="0.25">
      <c r="A9" t="s">
        <v>591</v>
      </c>
      <c r="B9" t="s">
        <v>544</v>
      </c>
      <c r="C9" t="s">
        <v>515</v>
      </c>
      <c r="D9" t="s">
        <v>296</v>
      </c>
      <c r="E9" t="s">
        <v>263</v>
      </c>
      <c r="F9" t="s">
        <v>264</v>
      </c>
      <c r="G9" t="s">
        <v>182</v>
      </c>
      <c r="H9" t="s">
        <v>214</v>
      </c>
      <c r="I9" t="s">
        <v>199</v>
      </c>
      <c r="J9" t="s">
        <v>238</v>
      </c>
      <c r="K9" t="s">
        <v>333</v>
      </c>
      <c r="N9" s="5" t="s">
        <v>1292</v>
      </c>
      <c r="O9" s="5" t="s">
        <v>1150</v>
      </c>
      <c r="Q9" s="7" t="s">
        <v>884</v>
      </c>
      <c r="T9" s="32" t="s">
        <v>902</v>
      </c>
      <c r="U9" s="32" t="s">
        <v>830</v>
      </c>
    </row>
    <row r="10" spans="1:21" x14ac:dyDescent="0.25">
      <c r="A10" t="s">
        <v>643</v>
      </c>
      <c r="B10" t="s">
        <v>396</v>
      </c>
      <c r="C10" t="s">
        <v>644</v>
      </c>
      <c r="D10" t="s">
        <v>72</v>
      </c>
      <c r="E10" t="s">
        <v>379</v>
      </c>
      <c r="F10" t="s">
        <v>353</v>
      </c>
      <c r="G10" t="s">
        <v>346</v>
      </c>
      <c r="H10" t="s">
        <v>403</v>
      </c>
      <c r="I10" t="s">
        <v>343</v>
      </c>
      <c r="J10" t="s">
        <v>347</v>
      </c>
      <c r="K10" t="s">
        <v>208</v>
      </c>
      <c r="N10" s="5" t="s">
        <v>1099</v>
      </c>
      <c r="O10" s="5" t="s">
        <v>1100</v>
      </c>
      <c r="Q10" s="7" t="s">
        <v>885</v>
      </c>
      <c r="T10" s="32" t="s">
        <v>871</v>
      </c>
      <c r="U10" s="32" t="s">
        <v>777</v>
      </c>
    </row>
    <row r="11" spans="1:21" x14ac:dyDescent="0.25">
      <c r="A11" t="s">
        <v>635</v>
      </c>
      <c r="B11" t="s">
        <v>636</v>
      </c>
      <c r="C11" t="s">
        <v>629</v>
      </c>
      <c r="D11" t="s">
        <v>350</v>
      </c>
      <c r="E11" t="s">
        <v>338</v>
      </c>
      <c r="F11" t="s">
        <v>264</v>
      </c>
      <c r="G11" t="s">
        <v>254</v>
      </c>
      <c r="H11" t="s">
        <v>252</v>
      </c>
      <c r="I11" t="s">
        <v>252</v>
      </c>
      <c r="J11" t="s">
        <v>347</v>
      </c>
      <c r="K11" t="s">
        <v>208</v>
      </c>
      <c r="N11" s="5" t="s">
        <v>1286</v>
      </c>
      <c r="O11" s="5" t="s">
        <v>1287</v>
      </c>
      <c r="Q11" s="7" t="s">
        <v>886</v>
      </c>
      <c r="T11" s="32" t="s">
        <v>876</v>
      </c>
      <c r="U11" s="32" t="s">
        <v>793</v>
      </c>
    </row>
    <row r="12" spans="1:21" x14ac:dyDescent="0.25">
      <c r="A12" t="s">
        <v>360</v>
      </c>
      <c r="B12" t="s">
        <v>361</v>
      </c>
      <c r="C12" t="s">
        <v>253</v>
      </c>
      <c r="D12" t="s">
        <v>179</v>
      </c>
      <c r="E12" t="s">
        <v>181</v>
      </c>
      <c r="F12" t="s">
        <v>182</v>
      </c>
      <c r="G12" t="s">
        <v>332</v>
      </c>
      <c r="H12" t="s">
        <v>252</v>
      </c>
      <c r="I12" t="s">
        <v>254</v>
      </c>
      <c r="J12" t="s">
        <v>252</v>
      </c>
      <c r="K12" t="s">
        <v>368</v>
      </c>
      <c r="N12" s="5" t="s">
        <v>1037</v>
      </c>
      <c r="O12" s="5" t="s">
        <v>1038</v>
      </c>
      <c r="Q12" s="7" t="s">
        <v>891</v>
      </c>
      <c r="T12" s="31" t="s">
        <v>1513</v>
      </c>
      <c r="U12" s="31" t="s">
        <v>1518</v>
      </c>
    </row>
    <row r="13" spans="1:21" x14ac:dyDescent="0.25">
      <c r="A13" t="s">
        <v>690</v>
      </c>
      <c r="B13" t="s">
        <v>598</v>
      </c>
      <c r="C13" t="s">
        <v>691</v>
      </c>
      <c r="D13" t="s">
        <v>179</v>
      </c>
      <c r="E13" t="s">
        <v>181</v>
      </c>
      <c r="F13" t="s">
        <v>182</v>
      </c>
      <c r="G13" t="s">
        <v>214</v>
      </c>
      <c r="H13" t="s">
        <v>403</v>
      </c>
      <c r="I13" t="s">
        <v>343</v>
      </c>
      <c r="J13" t="s">
        <v>347</v>
      </c>
      <c r="K13" t="s">
        <v>208</v>
      </c>
      <c r="N13" s="5" t="s">
        <v>721</v>
      </c>
      <c r="O13" s="5" t="s">
        <v>1247</v>
      </c>
      <c r="Q13" s="7" t="s">
        <v>892</v>
      </c>
      <c r="T13" s="32" t="s">
        <v>880</v>
      </c>
      <c r="U13" s="32" t="s">
        <v>779</v>
      </c>
    </row>
    <row r="14" spans="1:21" x14ac:dyDescent="0.25">
      <c r="A14" t="s">
        <v>405</v>
      </c>
      <c r="B14" t="s">
        <v>650</v>
      </c>
      <c r="C14" t="s">
        <v>186</v>
      </c>
      <c r="D14" t="s">
        <v>351</v>
      </c>
      <c r="E14" t="s">
        <v>600</v>
      </c>
      <c r="F14" t="s">
        <v>342</v>
      </c>
      <c r="G14" t="s">
        <v>346</v>
      </c>
      <c r="H14" t="s">
        <v>403</v>
      </c>
      <c r="I14" t="s">
        <v>343</v>
      </c>
      <c r="J14" t="s">
        <v>347</v>
      </c>
      <c r="K14" t="s">
        <v>208</v>
      </c>
      <c r="N14" s="5" t="s">
        <v>1292</v>
      </c>
      <c r="O14" s="5" t="s">
        <v>1293</v>
      </c>
      <c r="Q14" s="7" t="s">
        <v>1501</v>
      </c>
      <c r="T14" s="32" t="s">
        <v>1475</v>
      </c>
      <c r="U14" s="32" t="s">
        <v>1475</v>
      </c>
    </row>
    <row r="15" spans="1:21" x14ac:dyDescent="0.25">
      <c r="A15" t="s">
        <v>692</v>
      </c>
      <c r="B15" t="s">
        <v>544</v>
      </c>
      <c r="C15" t="s">
        <v>182</v>
      </c>
      <c r="D15" t="s">
        <v>179</v>
      </c>
      <c r="E15" t="s">
        <v>181</v>
      </c>
      <c r="F15" t="s">
        <v>182</v>
      </c>
      <c r="G15" t="s">
        <v>254</v>
      </c>
      <c r="H15" t="s">
        <v>252</v>
      </c>
      <c r="I15" t="s">
        <v>343</v>
      </c>
      <c r="J15" t="s">
        <v>347</v>
      </c>
      <c r="K15" t="s">
        <v>208</v>
      </c>
      <c r="N15" s="5" t="s">
        <v>1092</v>
      </c>
      <c r="O15" s="5" t="s">
        <v>1093</v>
      </c>
      <c r="Q15" s="7" t="s">
        <v>1502</v>
      </c>
      <c r="T15" s="32" t="s">
        <v>889</v>
      </c>
      <c r="U15" s="32" t="s">
        <v>806</v>
      </c>
    </row>
    <row r="16" spans="1:21" x14ac:dyDescent="0.25">
      <c r="A16" t="s">
        <v>399</v>
      </c>
      <c r="B16" t="s">
        <v>693</v>
      </c>
      <c r="C16" t="s">
        <v>300</v>
      </c>
      <c r="D16" t="s">
        <v>651</v>
      </c>
      <c r="E16" t="s">
        <v>337</v>
      </c>
      <c r="F16" t="s">
        <v>298</v>
      </c>
      <c r="G16" t="s">
        <v>332</v>
      </c>
      <c r="H16" t="s">
        <v>343</v>
      </c>
      <c r="I16" t="s">
        <v>347</v>
      </c>
      <c r="J16" t="s">
        <v>208</v>
      </c>
      <c r="K16" t="s">
        <v>185</v>
      </c>
      <c r="N16" s="5" t="s">
        <v>1026</v>
      </c>
      <c r="O16" s="5" t="s">
        <v>1027</v>
      </c>
      <c r="Q16" s="7" t="s">
        <v>893</v>
      </c>
      <c r="T16" s="32" t="s">
        <v>890</v>
      </c>
      <c r="U16" s="32" t="s">
        <v>807</v>
      </c>
    </row>
    <row r="17" spans="1:21" x14ac:dyDescent="0.25">
      <c r="A17" t="s">
        <v>646</v>
      </c>
      <c r="B17" t="s">
        <v>213</v>
      </c>
      <c r="C17" t="s">
        <v>364</v>
      </c>
      <c r="D17" t="s">
        <v>110</v>
      </c>
      <c r="E17" t="s">
        <v>66</v>
      </c>
      <c r="F17" t="s">
        <v>193</v>
      </c>
      <c r="G17" t="s">
        <v>214</v>
      </c>
      <c r="H17" t="s">
        <v>343</v>
      </c>
      <c r="I17" t="s">
        <v>347</v>
      </c>
      <c r="J17" t="s">
        <v>208</v>
      </c>
      <c r="K17" t="s">
        <v>185</v>
      </c>
      <c r="N17" s="5" t="s">
        <v>663</v>
      </c>
      <c r="O17" s="5" t="s">
        <v>1086</v>
      </c>
      <c r="Q17" s="7" t="s">
        <v>896</v>
      </c>
      <c r="T17" s="32" t="s">
        <v>1479</v>
      </c>
      <c r="U17" s="32" t="s">
        <v>1478</v>
      </c>
    </row>
    <row r="18" spans="1:21" x14ac:dyDescent="0.25">
      <c r="A18" t="s">
        <v>694</v>
      </c>
      <c r="B18" t="s">
        <v>377</v>
      </c>
      <c r="C18" t="s">
        <v>627</v>
      </c>
      <c r="D18" t="s">
        <v>72</v>
      </c>
      <c r="E18" t="s">
        <v>379</v>
      </c>
      <c r="F18" t="s">
        <v>353</v>
      </c>
      <c r="G18" t="s">
        <v>214</v>
      </c>
      <c r="H18" t="s">
        <v>343</v>
      </c>
      <c r="I18" t="s">
        <v>347</v>
      </c>
      <c r="J18" t="s">
        <v>208</v>
      </c>
      <c r="K18" t="s">
        <v>185</v>
      </c>
      <c r="N18" s="5" t="s">
        <v>743</v>
      </c>
      <c r="O18" s="5" t="s">
        <v>1043</v>
      </c>
      <c r="Q18" s="7" t="s">
        <v>897</v>
      </c>
      <c r="T18" s="31" t="s">
        <v>1512</v>
      </c>
      <c r="U18" s="31" t="s">
        <v>1516</v>
      </c>
    </row>
    <row r="19" spans="1:21" x14ac:dyDescent="0.25">
      <c r="A19" t="s">
        <v>398</v>
      </c>
      <c r="B19" t="s">
        <v>401</v>
      </c>
      <c r="C19" t="s">
        <v>652</v>
      </c>
      <c r="D19" t="s">
        <v>235</v>
      </c>
      <c r="E19" t="s">
        <v>193</v>
      </c>
      <c r="F19" t="s">
        <v>214</v>
      </c>
      <c r="G19" t="s">
        <v>234</v>
      </c>
      <c r="H19" t="s">
        <v>436</v>
      </c>
      <c r="I19" t="s">
        <v>437</v>
      </c>
      <c r="J19" t="s">
        <v>266</v>
      </c>
      <c r="K19" t="s">
        <v>349</v>
      </c>
      <c r="N19" s="5" t="s">
        <v>984</v>
      </c>
      <c r="O19" s="5" t="s">
        <v>985</v>
      </c>
      <c r="Q19" s="7" t="s">
        <v>1503</v>
      </c>
      <c r="T19" s="30" t="s">
        <v>914</v>
      </c>
      <c r="U19" s="30" t="s">
        <v>849</v>
      </c>
    </row>
    <row r="20" spans="1:21" x14ac:dyDescent="0.25">
      <c r="A20" t="s">
        <v>236</v>
      </c>
      <c r="B20" t="s">
        <v>401</v>
      </c>
      <c r="C20" t="s">
        <v>652</v>
      </c>
      <c r="D20" t="s">
        <v>235</v>
      </c>
      <c r="E20" t="s">
        <v>616</v>
      </c>
      <c r="F20" t="s">
        <v>628</v>
      </c>
      <c r="G20" t="s">
        <v>617</v>
      </c>
      <c r="H20" t="s">
        <v>618</v>
      </c>
      <c r="I20" t="s">
        <v>566</v>
      </c>
      <c r="J20" t="s">
        <v>349</v>
      </c>
      <c r="K20" t="s">
        <v>344</v>
      </c>
      <c r="N20" s="5" t="s">
        <v>1190</v>
      </c>
      <c r="O20" s="5" t="s">
        <v>1191</v>
      </c>
      <c r="Q20" s="7" t="s">
        <v>905</v>
      </c>
      <c r="T20" s="31" t="s">
        <v>900</v>
      </c>
      <c r="U20" s="31" t="s">
        <v>834</v>
      </c>
    </row>
    <row r="21" spans="1:21" x14ac:dyDescent="0.25">
      <c r="A21" t="s">
        <v>561</v>
      </c>
      <c r="B21" t="s">
        <v>653</v>
      </c>
      <c r="C21" t="s">
        <v>375</v>
      </c>
      <c r="D21" t="s">
        <v>71</v>
      </c>
      <c r="E21" t="s">
        <v>600</v>
      </c>
      <c r="F21" t="s">
        <v>342</v>
      </c>
      <c r="G21" t="s">
        <v>346</v>
      </c>
      <c r="H21" t="s">
        <v>347</v>
      </c>
      <c r="I21" t="s">
        <v>208</v>
      </c>
      <c r="J21" t="s">
        <v>185</v>
      </c>
      <c r="K21" t="s">
        <v>61</v>
      </c>
      <c r="N21" s="5" t="s">
        <v>1060</v>
      </c>
      <c r="O21" s="5" t="s">
        <v>1061</v>
      </c>
      <c r="Q21" s="7" t="s">
        <v>907</v>
      </c>
      <c r="T21" s="30" t="s">
        <v>1511</v>
      </c>
      <c r="U21" s="30" t="s">
        <v>812</v>
      </c>
    </row>
    <row r="22" spans="1:21" x14ac:dyDescent="0.25">
      <c r="A22" t="s">
        <v>424</v>
      </c>
      <c r="B22" t="s">
        <v>213</v>
      </c>
      <c r="C22" t="s">
        <v>364</v>
      </c>
      <c r="D22" t="s">
        <v>110</v>
      </c>
      <c r="E22" t="s">
        <v>66</v>
      </c>
      <c r="F22" t="s">
        <v>193</v>
      </c>
      <c r="G22" t="s">
        <v>214</v>
      </c>
      <c r="H22" t="s">
        <v>347</v>
      </c>
      <c r="I22" t="s">
        <v>208</v>
      </c>
      <c r="J22" t="s">
        <v>185</v>
      </c>
      <c r="K22" t="s">
        <v>61</v>
      </c>
      <c r="N22" s="5" t="s">
        <v>1355</v>
      </c>
      <c r="O22" s="5" t="s">
        <v>1356</v>
      </c>
      <c r="Q22" s="7" t="s">
        <v>1504</v>
      </c>
      <c r="T22" s="30" t="s">
        <v>898</v>
      </c>
      <c r="U22" s="30" t="s">
        <v>823</v>
      </c>
    </row>
    <row r="23" spans="1:21" x14ac:dyDescent="0.25">
      <c r="A23" t="s">
        <v>695</v>
      </c>
      <c r="B23" t="s">
        <v>209</v>
      </c>
      <c r="C23" t="s">
        <v>176</v>
      </c>
      <c r="D23" t="s">
        <v>211</v>
      </c>
      <c r="E23" t="s">
        <v>212</v>
      </c>
      <c r="F23" t="s">
        <v>334</v>
      </c>
      <c r="G23" t="s">
        <v>332</v>
      </c>
      <c r="H23" t="s">
        <v>186</v>
      </c>
      <c r="I23" t="s">
        <v>352</v>
      </c>
      <c r="J23" t="s">
        <v>251</v>
      </c>
      <c r="K23" t="s">
        <v>344</v>
      </c>
      <c r="N23" s="5" t="s">
        <v>1245</v>
      </c>
      <c r="O23" s="5" t="s">
        <v>1246</v>
      </c>
      <c r="Q23" s="7" t="s">
        <v>909</v>
      </c>
      <c r="T23" s="31" t="s">
        <v>1514</v>
      </c>
      <c r="U23" s="31" t="s">
        <v>1517</v>
      </c>
    </row>
    <row r="24" spans="1:21" x14ac:dyDescent="0.25">
      <c r="A24" t="s">
        <v>267</v>
      </c>
      <c r="B24" t="s">
        <v>268</v>
      </c>
      <c r="C24" t="s">
        <v>269</v>
      </c>
      <c r="D24" t="s">
        <v>270</v>
      </c>
      <c r="E24" t="s">
        <v>271</v>
      </c>
      <c r="F24" t="s">
        <v>272</v>
      </c>
      <c r="G24" t="s">
        <v>234</v>
      </c>
      <c r="N24" s="5" t="s">
        <v>1176</v>
      </c>
      <c r="O24" s="5" t="s">
        <v>1177</v>
      </c>
      <c r="Q24" s="7" t="s">
        <v>911</v>
      </c>
      <c r="T24" s="30" t="s">
        <v>888</v>
      </c>
      <c r="U24" s="30" t="s">
        <v>808</v>
      </c>
    </row>
    <row r="25" spans="1:21" x14ac:dyDescent="0.25">
      <c r="A25" t="s">
        <v>384</v>
      </c>
      <c r="B25" t="s">
        <v>385</v>
      </c>
      <c r="C25" t="s">
        <v>394</v>
      </c>
      <c r="D25" t="s">
        <v>211</v>
      </c>
      <c r="E25" t="s">
        <v>212</v>
      </c>
      <c r="F25" t="s">
        <v>334</v>
      </c>
      <c r="G25" t="s">
        <v>412</v>
      </c>
      <c r="H25" t="s">
        <v>413</v>
      </c>
      <c r="I25" t="s">
        <v>254</v>
      </c>
      <c r="J25" t="s">
        <v>252</v>
      </c>
      <c r="K25" t="s">
        <v>344</v>
      </c>
      <c r="N25" s="5" t="s">
        <v>1024</v>
      </c>
      <c r="O25" s="5" t="s">
        <v>1025</v>
      </c>
      <c r="Q25" s="7" t="s">
        <v>912</v>
      </c>
      <c r="T25" s="30" t="s">
        <v>878</v>
      </c>
      <c r="U25" s="30" t="s">
        <v>794</v>
      </c>
    </row>
    <row r="26" spans="1:21" x14ac:dyDescent="0.25">
      <c r="A26" t="s">
        <v>582</v>
      </c>
      <c r="B26" t="s">
        <v>578</v>
      </c>
      <c r="C26" t="s">
        <v>696</v>
      </c>
      <c r="D26" t="s">
        <v>110</v>
      </c>
      <c r="E26" t="s">
        <v>66</v>
      </c>
      <c r="F26" t="s">
        <v>193</v>
      </c>
      <c r="G26" t="s">
        <v>214</v>
      </c>
      <c r="H26" t="s">
        <v>252</v>
      </c>
      <c r="I26" t="s">
        <v>368</v>
      </c>
      <c r="J26" t="s">
        <v>334</v>
      </c>
      <c r="K26" t="s">
        <v>369</v>
      </c>
      <c r="N26" s="5" t="s">
        <v>1303</v>
      </c>
      <c r="O26" s="5" t="s">
        <v>1304</v>
      </c>
      <c r="Q26" s="7" t="s">
        <v>851</v>
      </c>
      <c r="T26" s="30" t="s">
        <v>913</v>
      </c>
      <c r="U26" s="30" t="s">
        <v>848</v>
      </c>
    </row>
    <row r="27" spans="1:21" x14ac:dyDescent="0.25">
      <c r="A27" t="s">
        <v>697</v>
      </c>
      <c r="B27" t="s">
        <v>698</v>
      </c>
      <c r="C27" t="s">
        <v>608</v>
      </c>
      <c r="D27" t="s">
        <v>631</v>
      </c>
      <c r="E27" t="s">
        <v>250</v>
      </c>
      <c r="F27" t="s">
        <v>297</v>
      </c>
      <c r="G27" t="s">
        <v>254</v>
      </c>
      <c r="H27" t="s">
        <v>252</v>
      </c>
      <c r="I27" t="s">
        <v>352</v>
      </c>
      <c r="J27" t="s">
        <v>251</v>
      </c>
      <c r="K27" t="s">
        <v>344</v>
      </c>
      <c r="N27" s="5" t="s">
        <v>1107</v>
      </c>
      <c r="O27" s="5" t="s">
        <v>1108</v>
      </c>
      <c r="T27" s="30" t="s">
        <v>882</v>
      </c>
      <c r="U27" s="30" t="s">
        <v>801</v>
      </c>
    </row>
    <row r="28" spans="1:21" x14ac:dyDescent="0.25">
      <c r="A28" t="s">
        <v>403</v>
      </c>
      <c r="B28" t="s">
        <v>600</v>
      </c>
      <c r="C28" t="s">
        <v>342</v>
      </c>
      <c r="D28" t="s">
        <v>351</v>
      </c>
      <c r="E28" t="s">
        <v>343</v>
      </c>
      <c r="F28" t="s">
        <v>208</v>
      </c>
      <c r="G28" t="s">
        <v>185</v>
      </c>
      <c r="H28" t="s">
        <v>186</v>
      </c>
      <c r="I28" t="s">
        <v>352</v>
      </c>
      <c r="J28" t="s">
        <v>251</v>
      </c>
      <c r="K28" t="s">
        <v>344</v>
      </c>
      <c r="N28" s="5" t="s">
        <v>1018</v>
      </c>
      <c r="O28" s="5" t="s">
        <v>1019</v>
      </c>
    </row>
    <row r="29" spans="1:21" x14ac:dyDescent="0.25">
      <c r="A29" t="s">
        <v>438</v>
      </c>
      <c r="B29" t="s">
        <v>439</v>
      </c>
      <c r="C29" t="s">
        <v>253</v>
      </c>
      <c r="D29" t="s">
        <v>534</v>
      </c>
      <c r="E29" t="s">
        <v>616</v>
      </c>
      <c r="F29" t="s">
        <v>628</v>
      </c>
      <c r="G29" t="s">
        <v>617</v>
      </c>
      <c r="H29" t="s">
        <v>618</v>
      </c>
      <c r="I29" t="s">
        <v>566</v>
      </c>
      <c r="J29" t="s">
        <v>367</v>
      </c>
      <c r="K29" t="s">
        <v>368</v>
      </c>
      <c r="N29" s="5" t="s">
        <v>1344</v>
      </c>
      <c r="O29" s="5" t="s">
        <v>1345</v>
      </c>
    </row>
    <row r="30" spans="1:21" x14ac:dyDescent="0.25">
      <c r="A30" t="s">
        <v>288</v>
      </c>
      <c r="B30" t="s">
        <v>439</v>
      </c>
      <c r="C30" t="s">
        <v>185</v>
      </c>
      <c r="D30" t="s">
        <v>351</v>
      </c>
      <c r="E30" t="s">
        <v>600</v>
      </c>
      <c r="F30" t="s">
        <v>346</v>
      </c>
      <c r="G30" t="s">
        <v>208</v>
      </c>
      <c r="H30" t="s">
        <v>186</v>
      </c>
      <c r="I30" t="s">
        <v>344</v>
      </c>
      <c r="J30" t="s">
        <v>443</v>
      </c>
      <c r="K30" t="s">
        <v>187</v>
      </c>
      <c r="N30" s="5" t="s">
        <v>745</v>
      </c>
      <c r="O30" s="5" t="s">
        <v>1258</v>
      </c>
    </row>
    <row r="31" spans="1:21" x14ac:dyDescent="0.25">
      <c r="A31" t="s">
        <v>386</v>
      </c>
      <c r="B31" t="s">
        <v>375</v>
      </c>
      <c r="C31" t="s">
        <v>107</v>
      </c>
      <c r="D31" t="s">
        <v>110</v>
      </c>
      <c r="E31" t="s">
        <v>66</v>
      </c>
      <c r="F31" t="s">
        <v>193</v>
      </c>
      <c r="G31" t="s">
        <v>214</v>
      </c>
      <c r="H31" t="s">
        <v>431</v>
      </c>
      <c r="I31" t="s">
        <v>366</v>
      </c>
      <c r="J31" t="s">
        <v>367</v>
      </c>
      <c r="K31" t="s">
        <v>368</v>
      </c>
      <c r="N31" s="5" t="s">
        <v>1306</v>
      </c>
      <c r="O31" s="5" t="s">
        <v>1307</v>
      </c>
    </row>
    <row r="32" spans="1:21" x14ac:dyDescent="0.25">
      <c r="A32" t="s">
        <v>370</v>
      </c>
      <c r="B32" t="s">
        <v>371</v>
      </c>
      <c r="C32" t="s">
        <v>107</v>
      </c>
      <c r="D32" t="s">
        <v>351</v>
      </c>
      <c r="E32" t="s">
        <v>343</v>
      </c>
      <c r="F32" t="s">
        <v>208</v>
      </c>
      <c r="G32" t="s">
        <v>185</v>
      </c>
      <c r="H32" t="s">
        <v>186</v>
      </c>
      <c r="I32" t="s">
        <v>352</v>
      </c>
      <c r="J32" t="s">
        <v>251</v>
      </c>
      <c r="K32" t="s">
        <v>344</v>
      </c>
      <c r="N32" s="5" t="s">
        <v>1050</v>
      </c>
      <c r="O32" s="5" t="s">
        <v>1051</v>
      </c>
    </row>
    <row r="33" spans="1:15" x14ac:dyDescent="0.25">
      <c r="A33" t="s">
        <v>643</v>
      </c>
      <c r="B33" t="s">
        <v>396</v>
      </c>
      <c r="C33" t="s">
        <v>644</v>
      </c>
      <c r="D33" t="s">
        <v>627</v>
      </c>
      <c r="E33" t="s">
        <v>212</v>
      </c>
      <c r="F33" t="s">
        <v>334</v>
      </c>
      <c r="G33" t="s">
        <v>617</v>
      </c>
      <c r="H33" t="s">
        <v>618</v>
      </c>
      <c r="I33" t="s">
        <v>566</v>
      </c>
      <c r="J33" t="s">
        <v>176</v>
      </c>
      <c r="K33" t="s">
        <v>367</v>
      </c>
      <c r="N33" s="5" t="s">
        <v>1069</v>
      </c>
      <c r="O33" s="5" t="s">
        <v>1070</v>
      </c>
    </row>
    <row r="34" spans="1:15" x14ac:dyDescent="0.25">
      <c r="A34" t="s">
        <v>646</v>
      </c>
      <c r="B34" t="s">
        <v>396</v>
      </c>
      <c r="C34" t="s">
        <v>644</v>
      </c>
      <c r="D34" t="s">
        <v>351</v>
      </c>
      <c r="E34" t="s">
        <v>343</v>
      </c>
      <c r="F34" t="s">
        <v>208</v>
      </c>
      <c r="G34" t="s">
        <v>185</v>
      </c>
      <c r="H34" t="s">
        <v>186</v>
      </c>
      <c r="I34" t="s">
        <v>352</v>
      </c>
      <c r="J34" t="s">
        <v>251</v>
      </c>
      <c r="K34" t="s">
        <v>344</v>
      </c>
      <c r="N34" s="5" t="s">
        <v>743</v>
      </c>
      <c r="O34" s="5" t="s">
        <v>1044</v>
      </c>
    </row>
    <row r="35" spans="1:15" x14ac:dyDescent="0.25">
      <c r="A35" t="s">
        <v>265</v>
      </c>
      <c r="B35" t="s">
        <v>266</v>
      </c>
      <c r="C35" t="s">
        <v>637</v>
      </c>
      <c r="D35" t="s">
        <v>213</v>
      </c>
      <c r="E35" t="s">
        <v>237</v>
      </c>
      <c r="F35" t="s">
        <v>110</v>
      </c>
      <c r="G35" t="s">
        <v>66</v>
      </c>
      <c r="H35" t="s">
        <v>252</v>
      </c>
      <c r="I35" t="s">
        <v>352</v>
      </c>
      <c r="J35" t="s">
        <v>251</v>
      </c>
      <c r="K35" t="s">
        <v>344</v>
      </c>
      <c r="N35" s="5" t="s">
        <v>1359</v>
      </c>
      <c r="O35" s="5" t="s">
        <v>1360</v>
      </c>
    </row>
    <row r="36" spans="1:15" x14ac:dyDescent="0.25">
      <c r="A36" t="s">
        <v>273</v>
      </c>
      <c r="B36" t="s">
        <v>266</v>
      </c>
      <c r="C36" t="s">
        <v>253</v>
      </c>
      <c r="D36" t="s">
        <v>351</v>
      </c>
      <c r="E36" t="s">
        <v>208</v>
      </c>
      <c r="F36" t="s">
        <v>185</v>
      </c>
      <c r="G36" t="s">
        <v>186</v>
      </c>
      <c r="H36" t="s">
        <v>352</v>
      </c>
      <c r="I36" t="s">
        <v>251</v>
      </c>
      <c r="J36" t="s">
        <v>344</v>
      </c>
      <c r="K36" t="s">
        <v>252</v>
      </c>
      <c r="N36" s="5" t="s">
        <v>1366</v>
      </c>
      <c r="O36" s="5" t="s">
        <v>1367</v>
      </c>
    </row>
    <row r="37" spans="1:15" x14ac:dyDescent="0.25">
      <c r="A37" t="s">
        <v>273</v>
      </c>
      <c r="B37" t="s">
        <v>396</v>
      </c>
      <c r="C37" t="s">
        <v>644</v>
      </c>
      <c r="D37" t="s">
        <v>211</v>
      </c>
      <c r="E37" t="s">
        <v>212</v>
      </c>
      <c r="F37" t="s">
        <v>334</v>
      </c>
      <c r="G37" t="s">
        <v>431</v>
      </c>
      <c r="H37" t="s">
        <v>366</v>
      </c>
      <c r="I37" t="s">
        <v>367</v>
      </c>
      <c r="J37" t="s">
        <v>368</v>
      </c>
      <c r="K37" t="s">
        <v>334</v>
      </c>
      <c r="N37" s="5" t="s">
        <v>1350</v>
      </c>
      <c r="O37" s="5" t="s">
        <v>1351</v>
      </c>
    </row>
    <row r="38" spans="1:15" x14ac:dyDescent="0.25">
      <c r="A38" t="s">
        <v>654</v>
      </c>
      <c r="B38" t="s">
        <v>237</v>
      </c>
      <c r="C38" t="s">
        <v>110</v>
      </c>
      <c r="D38" t="s">
        <v>383</v>
      </c>
      <c r="E38" t="s">
        <v>258</v>
      </c>
      <c r="F38" t="s">
        <v>257</v>
      </c>
      <c r="G38" t="s">
        <v>578</v>
      </c>
      <c r="H38" t="s">
        <v>431</v>
      </c>
      <c r="I38" t="s">
        <v>366</v>
      </c>
      <c r="J38" t="s">
        <v>176</v>
      </c>
      <c r="K38" t="s">
        <v>367</v>
      </c>
      <c r="N38" s="5" t="s">
        <v>1339</v>
      </c>
      <c r="O38" s="5" t="s">
        <v>1340</v>
      </c>
    </row>
    <row r="39" spans="1:15" x14ac:dyDescent="0.25">
      <c r="A39" t="s">
        <v>646</v>
      </c>
      <c r="B39" t="s">
        <v>368</v>
      </c>
      <c r="C39" t="s">
        <v>578</v>
      </c>
      <c r="D39" t="s">
        <v>610</v>
      </c>
      <c r="E39" t="s">
        <v>367</v>
      </c>
      <c r="F39" t="s">
        <v>611</v>
      </c>
      <c r="G39" t="s">
        <v>208</v>
      </c>
      <c r="H39" t="s">
        <v>186</v>
      </c>
      <c r="I39" t="s">
        <v>344</v>
      </c>
      <c r="J39" t="s">
        <v>443</v>
      </c>
      <c r="K39" t="s">
        <v>187</v>
      </c>
      <c r="N39" s="5" t="s">
        <v>1323</v>
      </c>
      <c r="O39" s="5" t="s">
        <v>1324</v>
      </c>
    </row>
    <row r="40" spans="1:15" x14ac:dyDescent="0.25">
      <c r="A40" t="s">
        <v>265</v>
      </c>
      <c r="B40" t="s">
        <v>430</v>
      </c>
      <c r="C40" t="s">
        <v>218</v>
      </c>
      <c r="D40" t="s">
        <v>276</v>
      </c>
      <c r="E40" t="s">
        <v>258</v>
      </c>
      <c r="F40" t="s">
        <v>257</v>
      </c>
      <c r="G40" t="s">
        <v>578</v>
      </c>
      <c r="H40" t="s">
        <v>431</v>
      </c>
      <c r="I40" t="s">
        <v>366</v>
      </c>
      <c r="J40" t="s">
        <v>176</v>
      </c>
      <c r="K40" t="s">
        <v>367</v>
      </c>
      <c r="N40" s="5" t="s">
        <v>722</v>
      </c>
      <c r="O40" s="5" t="s">
        <v>990</v>
      </c>
    </row>
    <row r="41" spans="1:15" x14ac:dyDescent="0.25">
      <c r="A41" t="s">
        <v>273</v>
      </c>
      <c r="B41" t="s">
        <v>232</v>
      </c>
      <c r="C41" t="s">
        <v>233</v>
      </c>
      <c r="D41" t="s">
        <v>234</v>
      </c>
      <c r="E41" t="s">
        <v>237</v>
      </c>
      <c r="F41" t="s">
        <v>110</v>
      </c>
      <c r="G41" t="s">
        <v>66</v>
      </c>
      <c r="N41" s="5" t="s">
        <v>1332</v>
      </c>
      <c r="O41" s="5" t="s">
        <v>1333</v>
      </c>
    </row>
    <row r="42" spans="1:15" x14ac:dyDescent="0.25">
      <c r="A42" t="s">
        <v>432</v>
      </c>
      <c r="B42" t="s">
        <v>639</v>
      </c>
      <c r="C42" t="s">
        <v>263</v>
      </c>
      <c r="D42" t="s">
        <v>259</v>
      </c>
      <c r="E42" t="s">
        <v>540</v>
      </c>
      <c r="F42" t="s">
        <v>611</v>
      </c>
      <c r="G42" t="s">
        <v>431</v>
      </c>
      <c r="H42" t="s">
        <v>366</v>
      </c>
      <c r="I42" t="s">
        <v>367</v>
      </c>
      <c r="J42" t="s">
        <v>368</v>
      </c>
      <c r="K42" t="s">
        <v>334</v>
      </c>
      <c r="N42" s="5" t="s">
        <v>722</v>
      </c>
      <c r="O42" s="5" t="s">
        <v>991</v>
      </c>
    </row>
    <row r="43" spans="1:15" x14ac:dyDescent="0.25">
      <c r="A43" t="s">
        <v>640</v>
      </c>
      <c r="B43" t="s">
        <v>641</v>
      </c>
      <c r="C43" t="s">
        <v>642</v>
      </c>
      <c r="D43" t="s">
        <v>433</v>
      </c>
      <c r="E43" t="s">
        <v>434</v>
      </c>
      <c r="F43" t="s">
        <v>435</v>
      </c>
      <c r="G43" t="s">
        <v>231</v>
      </c>
      <c r="H43" t="s">
        <v>436</v>
      </c>
      <c r="I43" t="s">
        <v>437</v>
      </c>
      <c r="J43" t="s">
        <v>266</v>
      </c>
      <c r="K43" t="s">
        <v>349</v>
      </c>
      <c r="N43" s="5" t="s">
        <v>1016</v>
      </c>
      <c r="O43" s="5" t="s">
        <v>1017</v>
      </c>
    </row>
    <row r="44" spans="1:15" x14ac:dyDescent="0.25">
      <c r="A44" t="s">
        <v>384</v>
      </c>
      <c r="B44" t="s">
        <v>385</v>
      </c>
      <c r="C44" t="s">
        <v>253</v>
      </c>
      <c r="D44" t="s">
        <v>375</v>
      </c>
      <c r="E44" t="s">
        <v>110</v>
      </c>
      <c r="F44" t="s">
        <v>66</v>
      </c>
      <c r="G44" t="s">
        <v>578</v>
      </c>
      <c r="H44" t="s">
        <v>431</v>
      </c>
      <c r="I44" t="s">
        <v>366</v>
      </c>
      <c r="J44" t="s">
        <v>176</v>
      </c>
      <c r="K44" t="s">
        <v>367</v>
      </c>
      <c r="N44" s="5" t="s">
        <v>1073</v>
      </c>
      <c r="O44" s="5" t="s">
        <v>1017</v>
      </c>
    </row>
    <row r="45" spans="1:15" x14ac:dyDescent="0.25">
      <c r="A45" t="s">
        <v>596</v>
      </c>
      <c r="B45" t="s">
        <v>458</v>
      </c>
      <c r="C45" t="s">
        <v>263</v>
      </c>
      <c r="D45" t="s">
        <v>259</v>
      </c>
      <c r="E45" t="s">
        <v>540</v>
      </c>
      <c r="F45" t="s">
        <v>611</v>
      </c>
      <c r="G45" t="s">
        <v>176</v>
      </c>
      <c r="H45" t="s">
        <v>366</v>
      </c>
      <c r="I45" t="s">
        <v>367</v>
      </c>
      <c r="J45" t="s">
        <v>368</v>
      </c>
      <c r="K45" t="s">
        <v>334</v>
      </c>
      <c r="N45" s="5" t="s">
        <v>1290</v>
      </c>
      <c r="O45" s="5" t="s">
        <v>1291</v>
      </c>
    </row>
    <row r="46" spans="1:15" x14ac:dyDescent="0.25">
      <c r="A46" t="s">
        <v>236</v>
      </c>
      <c r="B46" t="s">
        <v>389</v>
      </c>
      <c r="C46" t="s">
        <v>390</v>
      </c>
      <c r="D46" t="s">
        <v>295</v>
      </c>
      <c r="E46" t="s">
        <v>190</v>
      </c>
      <c r="F46" t="s">
        <v>191</v>
      </c>
      <c r="G46" t="s">
        <v>192</v>
      </c>
      <c r="N46" s="5" t="s">
        <v>1087</v>
      </c>
      <c r="O46" s="5" t="s">
        <v>1088</v>
      </c>
    </row>
    <row r="47" spans="1:15" x14ac:dyDescent="0.25">
      <c r="A47" t="s">
        <v>591</v>
      </c>
      <c r="B47" t="s">
        <v>544</v>
      </c>
      <c r="C47" t="s">
        <v>515</v>
      </c>
      <c r="D47" t="s">
        <v>296</v>
      </c>
      <c r="E47" t="s">
        <v>367</v>
      </c>
      <c r="F47" t="s">
        <v>257</v>
      </c>
      <c r="G47" t="s">
        <v>578</v>
      </c>
      <c r="H47" t="s">
        <v>366</v>
      </c>
      <c r="I47" t="s">
        <v>176</v>
      </c>
      <c r="J47" t="s">
        <v>367</v>
      </c>
      <c r="K47" t="s">
        <v>368</v>
      </c>
      <c r="N47" s="5" t="s">
        <v>1129</v>
      </c>
      <c r="O47" s="5" t="s">
        <v>1130</v>
      </c>
    </row>
    <row r="48" spans="1:15" x14ac:dyDescent="0.25">
      <c r="A48" t="s">
        <v>643</v>
      </c>
      <c r="B48" t="s">
        <v>396</v>
      </c>
      <c r="C48" t="s">
        <v>644</v>
      </c>
      <c r="D48" t="s">
        <v>446</v>
      </c>
      <c r="E48" t="s">
        <v>638</v>
      </c>
      <c r="F48" t="s">
        <v>499</v>
      </c>
      <c r="G48" t="s">
        <v>534</v>
      </c>
      <c r="H48" t="s">
        <v>618</v>
      </c>
      <c r="I48" t="s">
        <v>616</v>
      </c>
      <c r="J48" t="s">
        <v>628</v>
      </c>
      <c r="N48" s="5" t="s">
        <v>743</v>
      </c>
      <c r="O48" s="5" t="s">
        <v>1045</v>
      </c>
    </row>
    <row r="49" spans="1:15" x14ac:dyDescent="0.25">
      <c r="A49" t="s">
        <v>440</v>
      </c>
      <c r="B49" t="s">
        <v>645</v>
      </c>
      <c r="C49" t="s">
        <v>218</v>
      </c>
      <c r="D49" t="s">
        <v>276</v>
      </c>
      <c r="E49" t="s">
        <v>258</v>
      </c>
      <c r="F49" t="s">
        <v>257</v>
      </c>
      <c r="G49" t="s">
        <v>578</v>
      </c>
      <c r="H49" t="s">
        <v>366</v>
      </c>
      <c r="I49" t="s">
        <v>176</v>
      </c>
      <c r="J49" t="s">
        <v>367</v>
      </c>
      <c r="K49" t="s">
        <v>368</v>
      </c>
      <c r="N49" s="5" t="s">
        <v>1079</v>
      </c>
      <c r="O49" s="5" t="s">
        <v>1080</v>
      </c>
    </row>
    <row r="50" spans="1:15" x14ac:dyDescent="0.25">
      <c r="A50" t="s">
        <v>354</v>
      </c>
      <c r="B50" t="s">
        <v>232</v>
      </c>
      <c r="C50" t="s">
        <v>233</v>
      </c>
      <c r="D50" t="s">
        <v>234</v>
      </c>
      <c r="E50" t="s">
        <v>233</v>
      </c>
      <c r="F50" t="s">
        <v>234</v>
      </c>
      <c r="G50" t="s">
        <v>412</v>
      </c>
      <c r="H50" t="s">
        <v>413</v>
      </c>
      <c r="I50" t="s">
        <v>214</v>
      </c>
      <c r="J50" t="s">
        <v>199</v>
      </c>
      <c r="K50" t="s">
        <v>238</v>
      </c>
      <c r="N50" s="5" t="s">
        <v>723</v>
      </c>
      <c r="O50" s="5" t="s">
        <v>1237</v>
      </c>
    </row>
    <row r="51" spans="1:15" x14ac:dyDescent="0.25">
      <c r="A51" t="s">
        <v>374</v>
      </c>
      <c r="B51" t="s">
        <v>375</v>
      </c>
      <c r="C51" t="s">
        <v>71</v>
      </c>
      <c r="D51" t="s">
        <v>375</v>
      </c>
      <c r="E51" t="s">
        <v>271</v>
      </c>
      <c r="F51" t="s">
        <v>272</v>
      </c>
      <c r="G51" t="s">
        <v>192</v>
      </c>
      <c r="H51" t="s">
        <v>366</v>
      </c>
      <c r="I51" t="s">
        <v>367</v>
      </c>
      <c r="J51" t="s">
        <v>368</v>
      </c>
      <c r="K51" t="s">
        <v>334</v>
      </c>
      <c r="N51" s="5" t="s">
        <v>982</v>
      </c>
      <c r="O51" s="5" t="s">
        <v>983</v>
      </c>
    </row>
    <row r="52" spans="1:15" x14ac:dyDescent="0.25">
      <c r="A52" t="s">
        <v>398</v>
      </c>
      <c r="B52" t="s">
        <v>641</v>
      </c>
      <c r="C52" t="s">
        <v>642</v>
      </c>
      <c r="D52" t="s">
        <v>433</v>
      </c>
      <c r="E52" t="s">
        <v>434</v>
      </c>
      <c r="F52" t="s">
        <v>435</v>
      </c>
      <c r="G52" t="s">
        <v>231</v>
      </c>
      <c r="H52" t="s">
        <v>436</v>
      </c>
      <c r="I52" t="s">
        <v>437</v>
      </c>
      <c r="J52" t="s">
        <v>266</v>
      </c>
      <c r="K52" t="s">
        <v>349</v>
      </c>
      <c r="N52" s="5" t="s">
        <v>1339</v>
      </c>
      <c r="O52" s="5" t="s">
        <v>1193</v>
      </c>
    </row>
    <row r="53" spans="1:15" x14ac:dyDescent="0.25">
      <c r="A53" t="s">
        <v>646</v>
      </c>
      <c r="B53" t="s">
        <v>337</v>
      </c>
      <c r="C53" t="s">
        <v>233</v>
      </c>
      <c r="D53" t="s">
        <v>234</v>
      </c>
      <c r="E53" t="s">
        <v>233</v>
      </c>
      <c r="F53" t="s">
        <v>234</v>
      </c>
      <c r="G53" t="s">
        <v>412</v>
      </c>
      <c r="H53" t="s">
        <v>413</v>
      </c>
      <c r="I53" t="s">
        <v>266</v>
      </c>
      <c r="J53" t="s">
        <v>349</v>
      </c>
      <c r="N53" s="5" t="s">
        <v>1064</v>
      </c>
      <c r="O53" s="5" t="s">
        <v>1065</v>
      </c>
    </row>
    <row r="54" spans="1:15" x14ac:dyDescent="0.25">
      <c r="A54" t="s">
        <v>599</v>
      </c>
      <c r="B54" t="s">
        <v>385</v>
      </c>
      <c r="C54" t="s">
        <v>269</v>
      </c>
      <c r="D54" t="s">
        <v>270</v>
      </c>
      <c r="E54" t="s">
        <v>271</v>
      </c>
      <c r="F54" t="s">
        <v>272</v>
      </c>
      <c r="G54" t="s">
        <v>578</v>
      </c>
      <c r="H54" t="s">
        <v>366</v>
      </c>
      <c r="I54" t="s">
        <v>176</v>
      </c>
      <c r="J54" t="s">
        <v>367</v>
      </c>
      <c r="K54" t="s">
        <v>368</v>
      </c>
      <c r="N54" s="5" t="s">
        <v>1026</v>
      </c>
      <c r="O54" s="5" t="s">
        <v>1028</v>
      </c>
    </row>
    <row r="55" spans="1:15" x14ac:dyDescent="0.25">
      <c r="A55" t="s">
        <v>267</v>
      </c>
      <c r="B55" t="s">
        <v>268</v>
      </c>
      <c r="C55" t="s">
        <v>269</v>
      </c>
      <c r="D55" t="s">
        <v>270</v>
      </c>
      <c r="E55" t="s">
        <v>271</v>
      </c>
      <c r="F55" t="s">
        <v>272</v>
      </c>
      <c r="G55" t="s">
        <v>192</v>
      </c>
      <c r="H55" t="s">
        <v>437</v>
      </c>
      <c r="I55" t="s">
        <v>266</v>
      </c>
      <c r="J55" t="s">
        <v>349</v>
      </c>
      <c r="K55" t="s">
        <v>238</v>
      </c>
      <c r="N55" s="5" t="s">
        <v>1341</v>
      </c>
      <c r="O55" s="5" t="s">
        <v>1342</v>
      </c>
    </row>
    <row r="56" spans="1:15" x14ac:dyDescent="0.25">
      <c r="A56" t="s">
        <v>604</v>
      </c>
      <c r="B56" t="s">
        <v>605</v>
      </c>
      <c r="C56" t="s">
        <v>263</v>
      </c>
      <c r="D56" t="s">
        <v>259</v>
      </c>
      <c r="E56" t="s">
        <v>540</v>
      </c>
      <c r="F56" t="s">
        <v>611</v>
      </c>
      <c r="G56" t="s">
        <v>412</v>
      </c>
      <c r="H56" t="s">
        <v>413</v>
      </c>
      <c r="N56" s="5" t="s">
        <v>1368</v>
      </c>
      <c r="O56" s="5" t="s">
        <v>1369</v>
      </c>
    </row>
    <row r="57" spans="1:15" x14ac:dyDescent="0.25">
      <c r="A57" t="s">
        <v>647</v>
      </c>
      <c r="B57" t="s">
        <v>601</v>
      </c>
      <c r="C57" t="s">
        <v>372</v>
      </c>
      <c r="D57" t="s">
        <v>275</v>
      </c>
      <c r="E57" t="s">
        <v>276</v>
      </c>
      <c r="F57" t="s">
        <v>176</v>
      </c>
      <c r="G57" t="s">
        <v>412</v>
      </c>
      <c r="H57" t="s">
        <v>413</v>
      </c>
      <c r="I57" t="s">
        <v>368</v>
      </c>
      <c r="J57" t="s">
        <v>334</v>
      </c>
      <c r="K57" t="s">
        <v>369</v>
      </c>
      <c r="N57" s="5" t="s">
        <v>723</v>
      </c>
      <c r="O57" s="5" t="s">
        <v>1238</v>
      </c>
    </row>
    <row r="58" spans="1:15" x14ac:dyDescent="0.25">
      <c r="A58" t="s">
        <v>630</v>
      </c>
      <c r="B58" t="s">
        <v>373</v>
      </c>
      <c r="C58" t="s">
        <v>515</v>
      </c>
      <c r="D58" t="s">
        <v>296</v>
      </c>
      <c r="E58" t="s">
        <v>219</v>
      </c>
      <c r="F58" t="s">
        <v>220</v>
      </c>
      <c r="G58" t="s">
        <v>578</v>
      </c>
      <c r="H58" t="s">
        <v>431</v>
      </c>
      <c r="I58" t="s">
        <v>366</v>
      </c>
      <c r="J58" t="s">
        <v>367</v>
      </c>
      <c r="K58" t="s">
        <v>368</v>
      </c>
      <c r="N58" s="5" t="s">
        <v>1129</v>
      </c>
      <c r="O58" s="5" t="s">
        <v>1131</v>
      </c>
    </row>
    <row r="59" spans="1:15" x14ac:dyDescent="0.25">
      <c r="A59" t="s">
        <v>278</v>
      </c>
      <c r="B59" t="s">
        <v>263</v>
      </c>
      <c r="C59" t="s">
        <v>239</v>
      </c>
      <c r="D59" t="s">
        <v>279</v>
      </c>
      <c r="E59" t="s">
        <v>240</v>
      </c>
      <c r="F59" t="s">
        <v>353</v>
      </c>
      <c r="N59" s="5" t="s">
        <v>1192</v>
      </c>
      <c r="O59" s="5" t="s">
        <v>1376</v>
      </c>
    </row>
    <row r="60" spans="1:15" x14ac:dyDescent="0.25">
      <c r="A60" t="s">
        <v>648</v>
      </c>
      <c r="B60" t="s">
        <v>632</v>
      </c>
      <c r="C60" t="s">
        <v>610</v>
      </c>
      <c r="D60" t="s">
        <v>649</v>
      </c>
      <c r="E60" t="s">
        <v>233</v>
      </c>
      <c r="F60" t="s">
        <v>234</v>
      </c>
      <c r="G60" t="s">
        <v>412</v>
      </c>
      <c r="H60" t="s">
        <v>413</v>
      </c>
      <c r="N60" s="5" t="s">
        <v>1310</v>
      </c>
      <c r="O60" s="5" t="s">
        <v>1378</v>
      </c>
    </row>
    <row r="61" spans="1:15" x14ac:dyDescent="0.25">
      <c r="A61" t="s">
        <v>339</v>
      </c>
      <c r="B61" t="s">
        <v>340</v>
      </c>
      <c r="C61" t="s">
        <v>359</v>
      </c>
      <c r="D61" t="s">
        <v>270</v>
      </c>
      <c r="E61" t="s">
        <v>271</v>
      </c>
      <c r="F61" t="s">
        <v>272</v>
      </c>
      <c r="G61" t="s">
        <v>301</v>
      </c>
      <c r="N61" s="5" t="s">
        <v>1168</v>
      </c>
      <c r="O61" s="5" t="s">
        <v>1169</v>
      </c>
    </row>
    <row r="62" spans="1:15" x14ac:dyDescent="0.25">
      <c r="A62" t="s">
        <v>392</v>
      </c>
      <c r="B62" t="s">
        <v>409</v>
      </c>
      <c r="C62" t="s">
        <v>410</v>
      </c>
      <c r="D62" t="s">
        <v>411</v>
      </c>
      <c r="E62" t="s">
        <v>233</v>
      </c>
      <c r="F62" t="s">
        <v>234</v>
      </c>
      <c r="G62" t="s">
        <v>412</v>
      </c>
      <c r="H62" t="s">
        <v>413</v>
      </c>
      <c r="I62" t="s">
        <v>443</v>
      </c>
      <c r="J62" t="s">
        <v>187</v>
      </c>
      <c r="N62" s="5" t="s">
        <v>1094</v>
      </c>
      <c r="O62" s="5" t="s">
        <v>1095</v>
      </c>
    </row>
    <row r="63" spans="1:15" x14ac:dyDescent="0.25">
      <c r="A63" t="s">
        <v>398</v>
      </c>
      <c r="B63" t="s">
        <v>232</v>
      </c>
      <c r="C63" t="s">
        <v>233</v>
      </c>
      <c r="D63" t="s">
        <v>234</v>
      </c>
      <c r="E63" t="s">
        <v>618</v>
      </c>
      <c r="F63" t="s">
        <v>257</v>
      </c>
      <c r="G63" t="s">
        <v>578</v>
      </c>
      <c r="H63" t="s">
        <v>431</v>
      </c>
      <c r="I63" t="s">
        <v>366</v>
      </c>
      <c r="J63" t="s">
        <v>367</v>
      </c>
      <c r="K63" t="s">
        <v>368</v>
      </c>
      <c r="N63" s="5" t="s">
        <v>745</v>
      </c>
      <c r="O63" s="5" t="s">
        <v>1377</v>
      </c>
    </row>
    <row r="64" spans="1:15" x14ac:dyDescent="0.25">
      <c r="A64" t="s">
        <v>646</v>
      </c>
      <c r="B64" t="s">
        <v>209</v>
      </c>
      <c r="C64" t="s">
        <v>334</v>
      </c>
      <c r="D64" t="s">
        <v>275</v>
      </c>
      <c r="E64" t="s">
        <v>276</v>
      </c>
      <c r="F64" t="s">
        <v>176</v>
      </c>
      <c r="G64" t="s">
        <v>301</v>
      </c>
      <c r="N64" s="5" t="s">
        <v>1101</v>
      </c>
      <c r="O64" s="5" t="s">
        <v>1375</v>
      </c>
    </row>
    <row r="65" spans="1:15" x14ac:dyDescent="0.25">
      <c r="A65" t="s">
        <v>599</v>
      </c>
      <c r="B65" t="s">
        <v>249</v>
      </c>
      <c r="C65" t="s">
        <v>611</v>
      </c>
      <c r="D65" t="s">
        <v>606</v>
      </c>
      <c r="E65" t="s">
        <v>219</v>
      </c>
      <c r="F65" t="s">
        <v>220</v>
      </c>
      <c r="G65" t="s">
        <v>192</v>
      </c>
      <c r="N65" s="5" t="s">
        <v>1202</v>
      </c>
      <c r="O65" s="5" t="s">
        <v>1204</v>
      </c>
    </row>
    <row r="66" spans="1:15" x14ac:dyDescent="0.25">
      <c r="A66" t="s">
        <v>267</v>
      </c>
      <c r="B66" t="s">
        <v>268</v>
      </c>
      <c r="C66" t="s">
        <v>269</v>
      </c>
      <c r="D66" t="s">
        <v>270</v>
      </c>
      <c r="E66" t="s">
        <v>271</v>
      </c>
      <c r="F66" t="s">
        <v>272</v>
      </c>
      <c r="G66" t="s">
        <v>187</v>
      </c>
      <c r="H66" t="s">
        <v>342</v>
      </c>
      <c r="I66" t="s">
        <v>346</v>
      </c>
      <c r="J66" t="s">
        <v>343</v>
      </c>
      <c r="N66" s="5" t="s">
        <v>1202</v>
      </c>
      <c r="O66" s="5" t="s">
        <v>1205</v>
      </c>
    </row>
    <row r="67" spans="1:15" x14ac:dyDescent="0.25">
      <c r="A67" t="s">
        <v>604</v>
      </c>
      <c r="B67" t="s">
        <v>605</v>
      </c>
      <c r="C67" t="s">
        <v>410</v>
      </c>
      <c r="D67" t="s">
        <v>411</v>
      </c>
      <c r="E67" t="s">
        <v>233</v>
      </c>
      <c r="F67" t="s">
        <v>234</v>
      </c>
      <c r="G67" t="s">
        <v>412</v>
      </c>
      <c r="H67" t="s">
        <v>413</v>
      </c>
      <c r="N67" s="5" t="s">
        <v>1315</v>
      </c>
      <c r="O67" s="5" t="s">
        <v>1316</v>
      </c>
    </row>
    <row r="68" spans="1:15" x14ac:dyDescent="0.25">
      <c r="A68" t="s">
        <v>274</v>
      </c>
      <c r="B68" t="s">
        <v>209</v>
      </c>
      <c r="C68" t="s">
        <v>334</v>
      </c>
      <c r="D68" t="s">
        <v>275</v>
      </c>
      <c r="E68" t="s">
        <v>276</v>
      </c>
      <c r="F68" t="s">
        <v>176</v>
      </c>
      <c r="G68" t="s">
        <v>192</v>
      </c>
      <c r="N68" s="5" t="s">
        <v>1267</v>
      </c>
      <c r="O68" s="5" t="s">
        <v>1268</v>
      </c>
    </row>
    <row r="69" spans="1:15" x14ac:dyDescent="0.25">
      <c r="A69" t="s">
        <v>647</v>
      </c>
      <c r="B69" t="s">
        <v>601</v>
      </c>
      <c r="C69" t="s">
        <v>71</v>
      </c>
      <c r="D69" t="s">
        <v>383</v>
      </c>
      <c r="E69" t="s">
        <v>271</v>
      </c>
      <c r="F69" t="s">
        <v>272</v>
      </c>
      <c r="N69" s="5" t="s">
        <v>1114</v>
      </c>
      <c r="O69" s="5" t="s">
        <v>1115</v>
      </c>
    </row>
    <row r="70" spans="1:15" x14ac:dyDescent="0.25">
      <c r="A70" t="s">
        <v>630</v>
      </c>
      <c r="B70" t="s">
        <v>373</v>
      </c>
      <c r="C70" t="s">
        <v>345</v>
      </c>
      <c r="D70" t="s">
        <v>296</v>
      </c>
      <c r="E70" t="s">
        <v>69</v>
      </c>
      <c r="F70" t="s">
        <v>189</v>
      </c>
      <c r="G70" t="s">
        <v>178</v>
      </c>
      <c r="N70" s="5" t="s">
        <v>1210</v>
      </c>
      <c r="O70" s="5" t="s">
        <v>1211</v>
      </c>
    </row>
    <row r="71" spans="1:15" x14ac:dyDescent="0.25">
      <c r="A71" t="s">
        <v>277</v>
      </c>
      <c r="B71" t="s">
        <v>249</v>
      </c>
      <c r="C71" t="s">
        <v>611</v>
      </c>
      <c r="D71" t="s">
        <v>606</v>
      </c>
      <c r="E71" t="s">
        <v>219</v>
      </c>
      <c r="F71" t="s">
        <v>220</v>
      </c>
      <c r="G71" t="s">
        <v>301</v>
      </c>
      <c r="N71" s="5" t="s">
        <v>1198</v>
      </c>
      <c r="O71" s="5" t="s">
        <v>1199</v>
      </c>
    </row>
    <row r="72" spans="1:15" x14ac:dyDescent="0.25">
      <c r="A72" t="s">
        <v>278</v>
      </c>
      <c r="B72" t="s">
        <v>263</v>
      </c>
      <c r="C72" t="s">
        <v>239</v>
      </c>
      <c r="D72" t="s">
        <v>279</v>
      </c>
      <c r="E72" t="s">
        <v>240</v>
      </c>
      <c r="F72" t="s">
        <v>178</v>
      </c>
      <c r="N72" s="5" t="s">
        <v>1122</v>
      </c>
      <c r="O72" s="5" t="s">
        <v>1123</v>
      </c>
    </row>
    <row r="73" spans="1:15" x14ac:dyDescent="0.25">
      <c r="A73" t="s">
        <v>648</v>
      </c>
      <c r="B73" t="s">
        <v>632</v>
      </c>
      <c r="C73" t="s">
        <v>610</v>
      </c>
      <c r="D73" t="s">
        <v>649</v>
      </c>
      <c r="E73" t="s">
        <v>271</v>
      </c>
      <c r="F73" t="s">
        <v>272</v>
      </c>
      <c r="G73" t="s">
        <v>218</v>
      </c>
      <c r="N73" s="5" t="s">
        <v>1122</v>
      </c>
      <c r="O73" s="5" t="s">
        <v>1124</v>
      </c>
    </row>
    <row r="74" spans="1:15" x14ac:dyDescent="0.25">
      <c r="A74" t="s">
        <v>339</v>
      </c>
      <c r="B74" t="s">
        <v>340</v>
      </c>
      <c r="C74" t="s">
        <v>359</v>
      </c>
      <c r="D74" t="s">
        <v>270</v>
      </c>
      <c r="E74" t="s">
        <v>271</v>
      </c>
      <c r="F74" t="s">
        <v>272</v>
      </c>
      <c r="G74" t="s">
        <v>218</v>
      </c>
      <c r="N74" s="5" t="s">
        <v>1332</v>
      </c>
      <c r="O74" s="5" t="s">
        <v>1334</v>
      </c>
    </row>
    <row r="75" spans="1:15" x14ac:dyDescent="0.25">
      <c r="A75" t="s">
        <v>392</v>
      </c>
      <c r="B75" t="s">
        <v>409</v>
      </c>
      <c r="C75" t="s">
        <v>410</v>
      </c>
      <c r="D75" t="s">
        <v>411</v>
      </c>
      <c r="E75" t="s">
        <v>233</v>
      </c>
      <c r="F75" t="s">
        <v>234</v>
      </c>
      <c r="G75" t="s">
        <v>412</v>
      </c>
      <c r="H75" t="s">
        <v>413</v>
      </c>
      <c r="N75" s="5" t="s">
        <v>1202</v>
      </c>
      <c r="O75" s="5" t="s">
        <v>1206</v>
      </c>
    </row>
    <row r="76" spans="1:15" x14ac:dyDescent="0.25">
      <c r="A76" t="s">
        <v>376</v>
      </c>
      <c r="B76" t="s">
        <v>377</v>
      </c>
      <c r="C76" t="s">
        <v>177</v>
      </c>
      <c r="D76" t="s">
        <v>110</v>
      </c>
      <c r="E76" t="s">
        <v>383</v>
      </c>
      <c r="F76" t="s">
        <v>272</v>
      </c>
      <c r="G76" t="s">
        <v>264</v>
      </c>
      <c r="N76" s="5" t="s">
        <v>1210</v>
      </c>
      <c r="O76" s="5" t="s">
        <v>1212</v>
      </c>
    </row>
    <row r="77" spans="1:15" x14ac:dyDescent="0.25">
      <c r="A77" t="s">
        <v>554</v>
      </c>
      <c r="B77" t="s">
        <v>469</v>
      </c>
      <c r="C77" t="s">
        <v>515</v>
      </c>
      <c r="D77" t="s">
        <v>296</v>
      </c>
      <c r="E77" t="s">
        <v>356</v>
      </c>
      <c r="F77" t="s">
        <v>263</v>
      </c>
      <c r="G77" t="s">
        <v>264</v>
      </c>
      <c r="N77" s="5" t="s">
        <v>1267</v>
      </c>
      <c r="O77" s="5" t="s">
        <v>1269</v>
      </c>
    </row>
    <row r="78" spans="1:15" x14ac:dyDescent="0.25">
      <c r="A78" t="s">
        <v>542</v>
      </c>
      <c r="B78" t="s">
        <v>512</v>
      </c>
      <c r="C78" t="s">
        <v>619</v>
      </c>
      <c r="D78" t="s">
        <v>620</v>
      </c>
      <c r="E78" t="s">
        <v>508</v>
      </c>
      <c r="F78" t="s">
        <v>66</v>
      </c>
      <c r="N78" s="5" t="s">
        <v>1139</v>
      </c>
      <c r="O78" s="5" t="s">
        <v>1140</v>
      </c>
    </row>
    <row r="79" spans="1:15" x14ac:dyDescent="0.25">
      <c r="A79" t="s">
        <v>393</v>
      </c>
      <c r="B79" t="s">
        <v>179</v>
      </c>
      <c r="C79" t="s">
        <v>394</v>
      </c>
      <c r="D79" t="s">
        <v>270</v>
      </c>
      <c r="E79" t="s">
        <v>271</v>
      </c>
      <c r="F79" t="s">
        <v>272</v>
      </c>
      <c r="N79" s="5" t="s">
        <v>1282</v>
      </c>
      <c r="O79" s="5" t="s">
        <v>1283</v>
      </c>
    </row>
    <row r="80" spans="1:15" x14ac:dyDescent="0.25">
      <c r="A80" t="s">
        <v>576</v>
      </c>
      <c r="B80" t="s">
        <v>389</v>
      </c>
      <c r="C80" t="s">
        <v>390</v>
      </c>
      <c r="D80" t="s">
        <v>295</v>
      </c>
      <c r="E80" t="s">
        <v>190</v>
      </c>
      <c r="F80" t="s">
        <v>191</v>
      </c>
      <c r="G80" t="s">
        <v>192</v>
      </c>
      <c r="N80" s="5" t="s">
        <v>1276</v>
      </c>
      <c r="O80" s="5" t="s">
        <v>1277</v>
      </c>
    </row>
    <row r="81" spans="1:15" x14ac:dyDescent="0.25">
      <c r="A81" t="s">
        <v>395</v>
      </c>
      <c r="B81" t="s">
        <v>234</v>
      </c>
      <c r="C81" t="s">
        <v>390</v>
      </c>
      <c r="D81" t="s">
        <v>295</v>
      </c>
      <c r="E81" t="s">
        <v>190</v>
      </c>
      <c r="F81" t="s">
        <v>191</v>
      </c>
      <c r="G81" t="s">
        <v>192</v>
      </c>
      <c r="N81" s="5" t="s">
        <v>743</v>
      </c>
      <c r="O81" s="5" t="s">
        <v>1046</v>
      </c>
    </row>
    <row r="82" spans="1:15" x14ac:dyDescent="0.25">
      <c r="A82" t="s">
        <v>586</v>
      </c>
      <c r="B82" t="s">
        <v>539</v>
      </c>
      <c r="C82" t="s">
        <v>239</v>
      </c>
      <c r="D82" t="s">
        <v>279</v>
      </c>
      <c r="E82" t="s">
        <v>240</v>
      </c>
      <c r="N82" s="5" t="s">
        <v>1299</v>
      </c>
      <c r="O82" s="5" t="s">
        <v>1300</v>
      </c>
    </row>
    <row r="83" spans="1:15" x14ac:dyDescent="0.25">
      <c r="A83" t="s">
        <v>541</v>
      </c>
      <c r="B83" t="s">
        <v>601</v>
      </c>
      <c r="C83" t="s">
        <v>372</v>
      </c>
      <c r="D83" t="s">
        <v>341</v>
      </c>
      <c r="E83" t="s">
        <v>69</v>
      </c>
      <c r="F83" t="s">
        <v>263</v>
      </c>
      <c r="G83" t="s">
        <v>264</v>
      </c>
      <c r="N83" s="5" t="s">
        <v>1241</v>
      </c>
      <c r="O83" s="5" t="s">
        <v>1242</v>
      </c>
    </row>
    <row r="84" spans="1:15" x14ac:dyDescent="0.25">
      <c r="A84" t="s">
        <v>405</v>
      </c>
      <c r="B84" t="s">
        <v>295</v>
      </c>
      <c r="C84" t="s">
        <v>190</v>
      </c>
      <c r="D84" t="s">
        <v>355</v>
      </c>
      <c r="E84" t="s">
        <v>356</v>
      </c>
      <c r="F84" t="s">
        <v>184</v>
      </c>
      <c r="G84" t="s">
        <v>218</v>
      </c>
      <c r="N84" s="5" t="s">
        <v>1116</v>
      </c>
      <c r="O84" s="5" t="s">
        <v>1117</v>
      </c>
    </row>
    <row r="85" spans="1:15" x14ac:dyDescent="0.25">
      <c r="A85" t="s">
        <v>524</v>
      </c>
      <c r="B85" t="s">
        <v>430</v>
      </c>
      <c r="C85" t="s">
        <v>537</v>
      </c>
      <c r="D85" t="s">
        <v>597</v>
      </c>
      <c r="E85" t="s">
        <v>69</v>
      </c>
      <c r="N85" s="5" t="s">
        <v>1137</v>
      </c>
      <c r="O85" s="5" t="s">
        <v>1138</v>
      </c>
    </row>
    <row r="86" spans="1:15" x14ac:dyDescent="0.25">
      <c r="A86" t="s">
        <v>603</v>
      </c>
      <c r="B86" t="s">
        <v>340</v>
      </c>
      <c r="C86" t="s">
        <v>359</v>
      </c>
      <c r="D86" t="s">
        <v>341</v>
      </c>
      <c r="E86" t="s">
        <v>69</v>
      </c>
      <c r="F86" t="s">
        <v>272</v>
      </c>
      <c r="G86" t="s">
        <v>264</v>
      </c>
      <c r="N86" s="5" t="s">
        <v>1170</v>
      </c>
      <c r="O86" s="5" t="s">
        <v>1015</v>
      </c>
    </row>
    <row r="87" spans="1:15" x14ac:dyDescent="0.25">
      <c r="A87" t="s">
        <v>475</v>
      </c>
      <c r="B87" t="s">
        <v>340</v>
      </c>
      <c r="C87" t="s">
        <v>359</v>
      </c>
      <c r="D87" t="s">
        <v>240</v>
      </c>
      <c r="N87" s="5" t="s">
        <v>721</v>
      </c>
      <c r="O87" s="5" t="s">
        <v>1015</v>
      </c>
    </row>
    <row r="88" spans="1:15" x14ac:dyDescent="0.25">
      <c r="A88" t="s">
        <v>521</v>
      </c>
      <c r="B88" t="s">
        <v>248</v>
      </c>
      <c r="N88" s="5" t="s">
        <v>1365</v>
      </c>
      <c r="O88" s="5" t="s">
        <v>1015</v>
      </c>
    </row>
    <row r="89" spans="1:15" x14ac:dyDescent="0.25">
      <c r="A89" t="s">
        <v>588</v>
      </c>
      <c r="B89" t="s">
        <v>361</v>
      </c>
      <c r="C89" t="s">
        <v>275</v>
      </c>
      <c r="D89" t="s">
        <v>276</v>
      </c>
      <c r="E89" t="s">
        <v>176</v>
      </c>
      <c r="N89" s="5" t="s">
        <v>1014</v>
      </c>
      <c r="O89" s="5" t="s">
        <v>1015</v>
      </c>
    </row>
    <row r="90" spans="1:15" x14ac:dyDescent="0.25">
      <c r="A90" t="s">
        <v>447</v>
      </c>
      <c r="B90" t="s">
        <v>295</v>
      </c>
      <c r="C90" t="s">
        <v>355</v>
      </c>
      <c r="D90" t="s">
        <v>356</v>
      </c>
      <c r="E90" t="s">
        <v>271</v>
      </c>
      <c r="F90" t="s">
        <v>272</v>
      </c>
      <c r="N90" s="5" t="s">
        <v>742</v>
      </c>
      <c r="O90" s="5" t="s">
        <v>1143</v>
      </c>
    </row>
    <row r="91" spans="1:15" x14ac:dyDescent="0.25">
      <c r="A91" t="s">
        <v>343</v>
      </c>
      <c r="B91" t="s">
        <v>351</v>
      </c>
      <c r="C91" t="s">
        <v>600</v>
      </c>
      <c r="D91" t="s">
        <v>346</v>
      </c>
      <c r="E91" t="s">
        <v>208</v>
      </c>
      <c r="F91" t="s">
        <v>186</v>
      </c>
      <c r="G91" t="s">
        <v>344</v>
      </c>
      <c r="H91" t="s">
        <v>187</v>
      </c>
      <c r="N91" s="5" t="s">
        <v>1226</v>
      </c>
      <c r="O91" s="5" t="s">
        <v>1227</v>
      </c>
    </row>
    <row r="92" spans="1:15" x14ac:dyDescent="0.25">
      <c r="A92" t="s">
        <v>210</v>
      </c>
      <c r="B92" t="s">
        <v>430</v>
      </c>
      <c r="C92" t="s">
        <v>258</v>
      </c>
      <c r="D92" t="s">
        <v>257</v>
      </c>
      <c r="E92" t="s">
        <v>366</v>
      </c>
      <c r="F92" t="s">
        <v>367</v>
      </c>
      <c r="G92" t="s">
        <v>368</v>
      </c>
      <c r="H92" t="s">
        <v>334</v>
      </c>
      <c r="N92" s="5" t="s">
        <v>1129</v>
      </c>
      <c r="O92" s="5" t="s">
        <v>1132</v>
      </c>
    </row>
    <row r="93" spans="1:15" x14ac:dyDescent="0.25">
      <c r="A93" t="s">
        <v>569</v>
      </c>
      <c r="B93" t="s">
        <v>613</v>
      </c>
      <c r="C93" t="s">
        <v>279</v>
      </c>
      <c r="D93" t="s">
        <v>240</v>
      </c>
      <c r="E93" t="s">
        <v>176</v>
      </c>
      <c r="N93" s="5" t="s">
        <v>1361</v>
      </c>
      <c r="O93" s="5" t="s">
        <v>1362</v>
      </c>
    </row>
    <row r="94" spans="1:15" x14ac:dyDescent="0.25">
      <c r="A94" t="s">
        <v>455</v>
      </c>
      <c r="B94" t="s">
        <v>215</v>
      </c>
      <c r="C94" t="s">
        <v>216</v>
      </c>
      <c r="D94" t="s">
        <v>217</v>
      </c>
      <c r="N94" s="5" t="s">
        <v>743</v>
      </c>
      <c r="O94" s="5" t="s">
        <v>1047</v>
      </c>
    </row>
    <row r="95" spans="1:15" x14ac:dyDescent="0.25">
      <c r="A95" t="s">
        <v>432</v>
      </c>
      <c r="N95" s="5" t="s">
        <v>1147</v>
      </c>
      <c r="O95" s="5" t="s">
        <v>1047</v>
      </c>
    </row>
    <row r="96" spans="1:15" x14ac:dyDescent="0.25">
      <c r="A96" t="s">
        <v>239</v>
      </c>
      <c r="B96" t="s">
        <v>249</v>
      </c>
      <c r="C96" t="s">
        <v>219</v>
      </c>
      <c r="D96" t="s">
        <v>220</v>
      </c>
      <c r="N96" s="5" t="s">
        <v>1182</v>
      </c>
      <c r="O96" s="5" t="s">
        <v>1047</v>
      </c>
    </row>
    <row r="97" spans="1:15" x14ac:dyDescent="0.25">
      <c r="A97" t="s">
        <v>384</v>
      </c>
      <c r="B97" t="s">
        <v>385</v>
      </c>
      <c r="C97" t="s">
        <v>279</v>
      </c>
      <c r="D97" t="s">
        <v>240</v>
      </c>
      <c r="N97" s="5" t="s">
        <v>984</v>
      </c>
      <c r="O97" s="5" t="s">
        <v>742</v>
      </c>
    </row>
    <row r="98" spans="1:15" x14ac:dyDescent="0.25">
      <c r="A98" t="s">
        <v>438</v>
      </c>
      <c r="B98" t="s">
        <v>439</v>
      </c>
      <c r="C98" t="s">
        <v>293</v>
      </c>
      <c r="N98" s="5" t="s">
        <v>743</v>
      </c>
      <c r="O98" s="5" t="s">
        <v>742</v>
      </c>
    </row>
    <row r="99" spans="1:15" x14ac:dyDescent="0.25">
      <c r="A99" t="s">
        <v>400</v>
      </c>
      <c r="B99" t="s">
        <v>401</v>
      </c>
      <c r="C99" t="s">
        <v>235</v>
      </c>
      <c r="N99" s="5" t="s">
        <v>1257</v>
      </c>
      <c r="O99" s="5" t="s">
        <v>742</v>
      </c>
    </row>
    <row r="100" spans="1:15" x14ac:dyDescent="0.25">
      <c r="A100" t="s">
        <v>602</v>
      </c>
      <c r="B100" t="s">
        <v>389</v>
      </c>
      <c r="N100" s="5" t="s">
        <v>1272</v>
      </c>
      <c r="O100" s="5" t="s">
        <v>742</v>
      </c>
    </row>
    <row r="101" spans="1:15" x14ac:dyDescent="0.25">
      <c r="A101" t="s">
        <v>216</v>
      </c>
      <c r="B101" t="s">
        <v>217</v>
      </c>
      <c r="N101" s="5" t="s">
        <v>1330</v>
      </c>
      <c r="O101" s="5" t="s">
        <v>1331</v>
      </c>
    </row>
    <row r="102" spans="1:15" x14ac:dyDescent="0.25">
      <c r="A102" t="s">
        <v>450</v>
      </c>
      <c r="B102" t="s">
        <v>467</v>
      </c>
      <c r="N102" s="5" t="s">
        <v>1348</v>
      </c>
      <c r="O102" s="5" t="s">
        <v>1349</v>
      </c>
    </row>
    <row r="103" spans="1:15" x14ac:dyDescent="0.25">
      <c r="A103" t="s">
        <v>288</v>
      </c>
      <c r="N103" s="5" t="s">
        <v>1294</v>
      </c>
      <c r="O103" s="5" t="s">
        <v>1295</v>
      </c>
    </row>
    <row r="104" spans="1:15" x14ac:dyDescent="0.25">
      <c r="A104" t="s">
        <v>386</v>
      </c>
      <c r="N104" s="5" t="s">
        <v>980</v>
      </c>
      <c r="O104" s="5" t="s">
        <v>981</v>
      </c>
    </row>
    <row r="105" spans="1:15" x14ac:dyDescent="0.25">
      <c r="A105" t="s">
        <v>247</v>
      </c>
      <c r="B105" t="s">
        <v>110</v>
      </c>
      <c r="N105" s="5" t="s">
        <v>1222</v>
      </c>
      <c r="O105" s="5" t="s">
        <v>1223</v>
      </c>
    </row>
    <row r="106" spans="1:15" x14ac:dyDescent="0.25">
      <c r="A106" t="s">
        <v>518</v>
      </c>
      <c r="N106" s="5" t="s">
        <v>1180</v>
      </c>
      <c r="O106" s="5" t="s">
        <v>1181</v>
      </c>
    </row>
    <row r="107" spans="1:15" x14ac:dyDescent="0.25">
      <c r="A107" t="s">
        <v>236</v>
      </c>
      <c r="N107" s="5" t="s">
        <v>994</v>
      </c>
      <c r="O107" s="5" t="s">
        <v>995</v>
      </c>
    </row>
    <row r="108" spans="1:15" x14ac:dyDescent="0.25">
      <c r="A108" t="s">
        <v>364</v>
      </c>
      <c r="B108" t="s">
        <v>174</v>
      </c>
      <c r="C108" t="s">
        <v>237</v>
      </c>
      <c r="D108" t="s">
        <v>110</v>
      </c>
      <c r="E108" t="s">
        <v>66</v>
      </c>
      <c r="N108" s="5" t="s">
        <v>1094</v>
      </c>
      <c r="O108" s="5" t="s">
        <v>1096</v>
      </c>
    </row>
    <row r="109" spans="1:15" x14ac:dyDescent="0.25">
      <c r="A109" t="s">
        <v>612</v>
      </c>
      <c r="N109" s="5" t="s">
        <v>1210</v>
      </c>
      <c r="O109" s="5" t="s">
        <v>1213</v>
      </c>
    </row>
    <row r="110" spans="1:15" x14ac:dyDescent="0.25">
      <c r="A110" t="s">
        <v>523</v>
      </c>
      <c r="B110" t="s">
        <v>467</v>
      </c>
      <c r="C110" t="s">
        <v>434</v>
      </c>
      <c r="D110" t="s">
        <v>433</v>
      </c>
      <c r="N110" s="5" t="s">
        <v>1161</v>
      </c>
      <c r="O110" s="5" t="s">
        <v>1162</v>
      </c>
    </row>
    <row r="111" spans="1:15" x14ac:dyDescent="0.25">
      <c r="A111" t="s">
        <v>520</v>
      </c>
      <c r="B111" t="s">
        <v>621</v>
      </c>
      <c r="N111" s="5" t="s">
        <v>745</v>
      </c>
      <c r="O111" s="5" t="s">
        <v>1259</v>
      </c>
    </row>
    <row r="112" spans="1:15" x14ac:dyDescent="0.25">
      <c r="A112" t="s">
        <v>519</v>
      </c>
      <c r="B112" t="s">
        <v>607</v>
      </c>
      <c r="N112" s="5" t="s">
        <v>1189</v>
      </c>
      <c r="O112" s="5" t="s">
        <v>1149</v>
      </c>
    </row>
    <row r="113" spans="1:15" x14ac:dyDescent="0.25">
      <c r="A113" t="s">
        <v>440</v>
      </c>
      <c r="N113" s="5" t="s">
        <v>1057</v>
      </c>
      <c r="O113" s="5" t="s">
        <v>1058</v>
      </c>
    </row>
    <row r="114" spans="1:15" x14ac:dyDescent="0.25">
      <c r="A114" t="s">
        <v>273</v>
      </c>
      <c r="N114" s="5" t="s">
        <v>1094</v>
      </c>
      <c r="O114" s="5" t="s">
        <v>1058</v>
      </c>
    </row>
    <row r="115" spans="1:15" x14ac:dyDescent="0.25">
      <c r="A115" t="s">
        <v>396</v>
      </c>
      <c r="B115" t="s">
        <v>615</v>
      </c>
      <c r="N115" s="5" t="s">
        <v>1134</v>
      </c>
      <c r="O115" s="5" t="s">
        <v>1058</v>
      </c>
    </row>
    <row r="116" spans="1:15" x14ac:dyDescent="0.25">
      <c r="A116" t="s">
        <v>543</v>
      </c>
      <c r="N116" s="5" t="s">
        <v>1289</v>
      </c>
      <c r="O116" s="5" t="s">
        <v>1058</v>
      </c>
    </row>
    <row r="117" spans="1:15" x14ac:dyDescent="0.25">
      <c r="A117" t="s">
        <v>573</v>
      </c>
      <c r="B117" t="s">
        <v>538</v>
      </c>
      <c r="C117" t="s">
        <v>609</v>
      </c>
      <c r="N117" s="5" t="s">
        <v>1305</v>
      </c>
      <c r="O117" s="5" t="s">
        <v>1058</v>
      </c>
    </row>
    <row r="118" spans="1:15" x14ac:dyDescent="0.25">
      <c r="A118" t="s">
        <v>374</v>
      </c>
      <c r="B118" t="s">
        <v>71</v>
      </c>
      <c r="N118" s="5" t="s">
        <v>1075</v>
      </c>
      <c r="O118" s="5" t="s">
        <v>1076</v>
      </c>
    </row>
    <row r="119" spans="1:15" x14ac:dyDescent="0.25">
      <c r="A119" t="s">
        <v>181</v>
      </c>
      <c r="B119" t="s">
        <v>598</v>
      </c>
      <c r="N119" s="5" t="s">
        <v>1249</v>
      </c>
      <c r="O119" s="5" t="s">
        <v>1250</v>
      </c>
    </row>
    <row r="120" spans="1:15" x14ac:dyDescent="0.25">
      <c r="A120" t="s">
        <v>278</v>
      </c>
      <c r="B120" t="s">
        <v>263</v>
      </c>
      <c r="C120" t="s">
        <v>240</v>
      </c>
      <c r="N120" s="5" t="s">
        <v>720</v>
      </c>
      <c r="O120" s="5" t="s">
        <v>1102</v>
      </c>
    </row>
    <row r="121" spans="1:15" x14ac:dyDescent="0.25">
      <c r="A121" t="s">
        <v>574</v>
      </c>
      <c r="N121" s="5" t="s">
        <v>1255</v>
      </c>
      <c r="O121" s="5" t="s">
        <v>1256</v>
      </c>
    </row>
    <row r="122" spans="1:15" x14ac:dyDescent="0.25">
      <c r="A122" t="s">
        <v>336</v>
      </c>
      <c r="B122" t="s">
        <v>622</v>
      </c>
      <c r="C122" t="s">
        <v>299</v>
      </c>
      <c r="N122" s="5" t="s">
        <v>1094</v>
      </c>
      <c r="O122" s="5" t="s">
        <v>1097</v>
      </c>
    </row>
    <row r="123" spans="1:15" x14ac:dyDescent="0.25">
      <c r="A123" t="s">
        <v>265</v>
      </c>
      <c r="N123" s="5" t="s">
        <v>999</v>
      </c>
      <c r="O123" s="5" t="s">
        <v>1000</v>
      </c>
    </row>
    <row r="124" spans="1:15" x14ac:dyDescent="0.25">
      <c r="A124" t="s">
        <v>267</v>
      </c>
      <c r="B124" t="s">
        <v>268</v>
      </c>
      <c r="C124" t="s">
        <v>269</v>
      </c>
      <c r="D124" t="s">
        <v>270</v>
      </c>
      <c r="E124" t="s">
        <v>272</v>
      </c>
      <c r="N124" s="5" t="s">
        <v>1297</v>
      </c>
      <c r="O124" s="5" t="s">
        <v>1298</v>
      </c>
    </row>
    <row r="125" spans="1:15" x14ac:dyDescent="0.25">
      <c r="A125" t="s">
        <v>593</v>
      </c>
      <c r="B125" t="s">
        <v>614</v>
      </c>
      <c r="C125" t="s">
        <v>299</v>
      </c>
      <c r="N125" s="5" t="s">
        <v>1341</v>
      </c>
      <c r="O125" s="5" t="s">
        <v>1343</v>
      </c>
    </row>
    <row r="126" spans="1:15" x14ac:dyDescent="0.25">
      <c r="A126" t="s">
        <v>493</v>
      </c>
      <c r="N126" s="5" t="s">
        <v>1251</v>
      </c>
      <c r="O126" s="5" t="s">
        <v>1252</v>
      </c>
    </row>
    <row r="127" spans="1:15" x14ac:dyDescent="0.25">
      <c r="A127" t="s">
        <v>604</v>
      </c>
      <c r="B127" t="s">
        <v>605</v>
      </c>
      <c r="N127" s="5" t="s">
        <v>1217</v>
      </c>
      <c r="O127" s="5" t="s">
        <v>1170</v>
      </c>
    </row>
    <row r="128" spans="1:15" x14ac:dyDescent="0.25">
      <c r="A128" t="s">
        <v>522</v>
      </c>
      <c r="B128" t="s">
        <v>382</v>
      </c>
      <c r="C128" t="s">
        <v>623</v>
      </c>
      <c r="N128" s="5" t="s">
        <v>1228</v>
      </c>
      <c r="O128" s="5" t="s">
        <v>1229</v>
      </c>
    </row>
    <row r="129" spans="1:15" x14ac:dyDescent="0.25">
      <c r="A129" t="s">
        <v>412</v>
      </c>
      <c r="B129" t="s">
        <v>555</v>
      </c>
      <c r="C129" t="s">
        <v>233</v>
      </c>
      <c r="N129" s="5" t="s">
        <v>1052</v>
      </c>
      <c r="O129" s="5" t="s">
        <v>1053</v>
      </c>
    </row>
    <row r="130" spans="1:15" x14ac:dyDescent="0.25">
      <c r="A130" t="s">
        <v>360</v>
      </c>
      <c r="B130" t="s">
        <v>361</v>
      </c>
      <c r="N130" s="5" t="s">
        <v>1195</v>
      </c>
      <c r="O130" s="5" t="s">
        <v>1196</v>
      </c>
    </row>
    <row r="131" spans="1:15" x14ac:dyDescent="0.25">
      <c r="A131" t="s">
        <v>274</v>
      </c>
      <c r="B131" t="s">
        <v>209</v>
      </c>
      <c r="C131" t="s">
        <v>334</v>
      </c>
      <c r="N131" s="5" t="s">
        <v>721</v>
      </c>
      <c r="O131" s="5" t="s">
        <v>1248</v>
      </c>
    </row>
    <row r="132" spans="1:15" x14ac:dyDescent="0.25">
      <c r="A132" t="s">
        <v>277</v>
      </c>
      <c r="B132" t="s">
        <v>606</v>
      </c>
      <c r="C132" t="s">
        <v>219</v>
      </c>
      <c r="D132" t="s">
        <v>220</v>
      </c>
      <c r="N132" s="5" t="s">
        <v>1354</v>
      </c>
      <c r="O132" s="5" t="s">
        <v>1248</v>
      </c>
    </row>
    <row r="133" spans="1:15" x14ac:dyDescent="0.25">
      <c r="A133" t="s">
        <v>184</v>
      </c>
      <c r="B133" t="s">
        <v>545</v>
      </c>
      <c r="C133" t="s">
        <v>624</v>
      </c>
      <c r="D133" t="s">
        <v>257</v>
      </c>
      <c r="N133" s="5" t="s">
        <v>1210</v>
      </c>
      <c r="O133" s="5" t="s">
        <v>1214</v>
      </c>
    </row>
    <row r="134" spans="1:15" x14ac:dyDescent="0.25">
      <c r="A134" t="s">
        <v>188</v>
      </c>
      <c r="B134" t="s">
        <v>250</v>
      </c>
      <c r="C134" t="s">
        <v>488</v>
      </c>
      <c r="D134" t="s">
        <v>378</v>
      </c>
      <c r="N134" s="5" t="s">
        <v>1276</v>
      </c>
      <c r="O134" s="5" t="s">
        <v>740</v>
      </c>
    </row>
    <row r="135" spans="1:15" x14ac:dyDescent="0.25">
      <c r="A135" t="s">
        <v>449</v>
      </c>
      <c r="B135" t="s">
        <v>452</v>
      </c>
      <c r="N135" s="5" t="s">
        <v>1071</v>
      </c>
      <c r="O135" s="5" t="s">
        <v>1328</v>
      </c>
    </row>
    <row r="136" spans="1:15" x14ac:dyDescent="0.25">
      <c r="A136" t="s">
        <v>448</v>
      </c>
      <c r="N136" s="5" t="s">
        <v>1220</v>
      </c>
      <c r="O136" s="5" t="s">
        <v>1221</v>
      </c>
    </row>
    <row r="137" spans="1:15" x14ac:dyDescent="0.25">
      <c r="A137" t="s">
        <v>492</v>
      </c>
      <c r="B137" t="s">
        <v>625</v>
      </c>
      <c r="N137" s="5" t="s">
        <v>1279</v>
      </c>
      <c r="O137" s="5" t="s">
        <v>1280</v>
      </c>
    </row>
    <row r="138" spans="1:15" x14ac:dyDescent="0.25">
      <c r="A138" t="s">
        <v>490</v>
      </c>
      <c r="B138" t="s">
        <v>626</v>
      </c>
      <c r="C138" t="s">
        <v>357</v>
      </c>
      <c r="D138" t="s">
        <v>358</v>
      </c>
      <c r="N138" s="5" t="s">
        <v>1109</v>
      </c>
      <c r="O138" s="5" t="s">
        <v>1110</v>
      </c>
    </row>
    <row r="139" spans="1:15" x14ac:dyDescent="0.25">
      <c r="A139" t="s">
        <v>392</v>
      </c>
      <c r="B139" t="s">
        <v>409</v>
      </c>
      <c r="C139" t="s">
        <v>233</v>
      </c>
      <c r="D139" t="s">
        <v>413</v>
      </c>
      <c r="N139" s="5" t="s">
        <v>1157</v>
      </c>
      <c r="O139" s="5" t="s">
        <v>1158</v>
      </c>
    </row>
    <row r="140" spans="1:15" x14ac:dyDescent="0.25">
      <c r="A140" t="s">
        <v>292</v>
      </c>
      <c r="N140" s="5" t="s">
        <v>1294</v>
      </c>
      <c r="O140" s="5" t="s">
        <v>1296</v>
      </c>
    </row>
    <row r="141" spans="1:15" x14ac:dyDescent="0.25">
      <c r="A141" t="s">
        <v>415</v>
      </c>
      <c r="N141" s="5" t="s">
        <v>738</v>
      </c>
      <c r="O141" s="5" t="s">
        <v>1379</v>
      </c>
    </row>
    <row r="142" spans="1:15" x14ac:dyDescent="0.25">
      <c r="A142" t="s">
        <v>466</v>
      </c>
      <c r="N142" s="5" t="s">
        <v>1350</v>
      </c>
      <c r="O142" s="5" t="s">
        <v>1352</v>
      </c>
    </row>
    <row r="143" spans="1:15" x14ac:dyDescent="0.25">
      <c r="A143" t="s">
        <v>509</v>
      </c>
      <c r="N143" s="5" t="s">
        <v>1141</v>
      </c>
      <c r="O143" s="5" t="s">
        <v>1142</v>
      </c>
    </row>
    <row r="144" spans="1:15" x14ac:dyDescent="0.25">
      <c r="A144" t="s">
        <v>258</v>
      </c>
      <c r="N144" s="5" t="s">
        <v>1163</v>
      </c>
      <c r="O144" s="5" t="s">
        <v>1164</v>
      </c>
    </row>
    <row r="145" spans="1:15" x14ac:dyDescent="0.25">
      <c r="A145" t="s">
        <v>558</v>
      </c>
      <c r="N145" s="5" t="s">
        <v>1335</v>
      </c>
      <c r="O145" s="5" t="s">
        <v>1336</v>
      </c>
    </row>
    <row r="146" spans="1:15" x14ac:dyDescent="0.25">
      <c r="A146" t="s">
        <v>341</v>
      </c>
      <c r="N146" s="5" t="s">
        <v>1026</v>
      </c>
      <c r="O146" s="5" t="s">
        <v>1029</v>
      </c>
    </row>
    <row r="147" spans="1:15" x14ac:dyDescent="0.25">
      <c r="A147" t="s">
        <v>421</v>
      </c>
      <c r="N147" s="5" t="s">
        <v>1077</v>
      </c>
      <c r="O147" s="5" t="s">
        <v>1078</v>
      </c>
    </row>
    <row r="148" spans="1:15" x14ac:dyDescent="0.25">
      <c r="A148" t="s">
        <v>559</v>
      </c>
      <c r="N148" s="5" t="s">
        <v>1105</v>
      </c>
      <c r="O148" s="5" t="s">
        <v>1106</v>
      </c>
    </row>
    <row r="149" spans="1:15" x14ac:dyDescent="0.25">
      <c r="A149" t="s">
        <v>511</v>
      </c>
      <c r="N149" s="5" t="s">
        <v>1313</v>
      </c>
      <c r="O149" s="5" t="s">
        <v>1314</v>
      </c>
    </row>
    <row r="150" spans="1:15" x14ac:dyDescent="0.25">
      <c r="A150" t="s">
        <v>64</v>
      </c>
      <c r="N150" s="5" t="s">
        <v>1202</v>
      </c>
      <c r="O150" s="5" t="s">
        <v>1207</v>
      </c>
    </row>
    <row r="151" spans="1:15" x14ac:dyDescent="0.25">
      <c r="A151" t="s">
        <v>418</v>
      </c>
      <c r="N151" s="5" t="s">
        <v>723</v>
      </c>
      <c r="O151" s="5" t="s">
        <v>1239</v>
      </c>
    </row>
    <row r="152" spans="1:15" x14ac:dyDescent="0.25">
      <c r="A152" t="s">
        <v>501</v>
      </c>
      <c r="N152" s="5" t="s">
        <v>719</v>
      </c>
      <c r="O152" s="5" t="s">
        <v>1173</v>
      </c>
    </row>
    <row r="153" spans="1:15" x14ac:dyDescent="0.25">
      <c r="A153" t="s">
        <v>345</v>
      </c>
      <c r="N153" s="5" t="s">
        <v>1178</v>
      </c>
      <c r="O153" s="5" t="s">
        <v>1179</v>
      </c>
    </row>
    <row r="154" spans="1:15" x14ac:dyDescent="0.25">
      <c r="A154" t="s">
        <v>361</v>
      </c>
      <c r="N154" s="5" t="s">
        <v>1081</v>
      </c>
      <c r="O154" s="5" t="s">
        <v>1082</v>
      </c>
    </row>
    <row r="155" spans="1:15" x14ac:dyDescent="0.25">
      <c r="A155" t="s">
        <v>496</v>
      </c>
      <c r="N155" s="5" t="s">
        <v>1321</v>
      </c>
      <c r="O155" s="5" t="s">
        <v>1322</v>
      </c>
    </row>
    <row r="156" spans="1:15" x14ac:dyDescent="0.25">
      <c r="A156" t="s">
        <v>346</v>
      </c>
      <c r="N156" s="5" t="s">
        <v>1163</v>
      </c>
      <c r="O156" s="5" t="s">
        <v>1165</v>
      </c>
    </row>
    <row r="157" spans="1:15" x14ac:dyDescent="0.25">
      <c r="A157" t="s">
        <v>560</v>
      </c>
      <c r="N157" s="5" t="s">
        <v>1315</v>
      </c>
      <c r="O157" s="5" t="s">
        <v>1317</v>
      </c>
    </row>
    <row r="158" spans="1:15" x14ac:dyDescent="0.25">
      <c r="A158" t="s">
        <v>483</v>
      </c>
      <c r="N158" s="5" t="s">
        <v>1243</v>
      </c>
      <c r="O158" s="5" t="s">
        <v>1244</v>
      </c>
    </row>
    <row r="159" spans="1:15" x14ac:dyDescent="0.25">
      <c r="A159" t="s">
        <v>506</v>
      </c>
      <c r="N159" s="5" t="s">
        <v>743</v>
      </c>
      <c r="O159" s="5" t="s">
        <v>1048</v>
      </c>
    </row>
    <row r="160" spans="1:15" x14ac:dyDescent="0.25">
      <c r="A160" t="s">
        <v>371</v>
      </c>
      <c r="N160" s="5" t="s">
        <v>1281</v>
      </c>
      <c r="O160" s="5" t="s">
        <v>1048</v>
      </c>
    </row>
    <row r="161" spans="1:15" x14ac:dyDescent="0.25">
      <c r="A161" t="s">
        <v>434</v>
      </c>
      <c r="N161" s="5" t="s">
        <v>1355</v>
      </c>
      <c r="O161" s="5" t="s">
        <v>1048</v>
      </c>
    </row>
    <row r="162" spans="1:15" x14ac:dyDescent="0.25">
      <c r="A162" t="s">
        <v>235</v>
      </c>
      <c r="N162" s="5" t="s">
        <v>1183</v>
      </c>
      <c r="O162" s="5" t="s">
        <v>1184</v>
      </c>
    </row>
    <row r="163" spans="1:15" x14ac:dyDescent="0.25">
      <c r="A163" t="s">
        <v>579</v>
      </c>
      <c r="N163" s="5" t="s">
        <v>1171</v>
      </c>
      <c r="O163" s="5" t="s">
        <v>1172</v>
      </c>
    </row>
    <row r="164" spans="1:15" x14ac:dyDescent="0.25">
      <c r="A164" t="s">
        <v>580</v>
      </c>
      <c r="N164" s="5" t="s">
        <v>1276</v>
      </c>
      <c r="O164" s="5" t="s">
        <v>1278</v>
      </c>
    </row>
    <row r="165" spans="1:15" x14ac:dyDescent="0.25">
      <c r="A165" t="s">
        <v>516</v>
      </c>
      <c r="N165" s="5" t="s">
        <v>1234</v>
      </c>
      <c r="O165" s="5" t="s">
        <v>1235</v>
      </c>
    </row>
    <row r="166" spans="1:15" x14ac:dyDescent="0.25">
      <c r="A166" t="s">
        <v>456</v>
      </c>
      <c r="N166" s="5" t="s">
        <v>1185</v>
      </c>
      <c r="O166" s="5" t="s">
        <v>1186</v>
      </c>
    </row>
    <row r="167" spans="1:15" x14ac:dyDescent="0.25">
      <c r="A167" t="s">
        <v>365</v>
      </c>
      <c r="N167" s="5" t="s">
        <v>1308</v>
      </c>
      <c r="O167" s="5" t="s">
        <v>1309</v>
      </c>
    </row>
    <row r="168" spans="1:15" x14ac:dyDescent="0.25">
      <c r="A168" t="s">
        <v>494</v>
      </c>
      <c r="N168" s="5" t="s">
        <v>1103</v>
      </c>
      <c r="O168" s="5" t="s">
        <v>1104</v>
      </c>
    </row>
    <row r="169" spans="1:15" x14ac:dyDescent="0.25">
      <c r="A169" t="s">
        <v>445</v>
      </c>
      <c r="N169" s="5" t="s">
        <v>1335</v>
      </c>
      <c r="O169" s="5" t="s">
        <v>1337</v>
      </c>
    </row>
    <row r="170" spans="1:15" x14ac:dyDescent="0.25">
      <c r="A170" t="s">
        <v>397</v>
      </c>
      <c r="N170" s="5" t="s">
        <v>718</v>
      </c>
      <c r="O170" s="5" t="s">
        <v>1273</v>
      </c>
    </row>
    <row r="171" spans="1:15" x14ac:dyDescent="0.25">
      <c r="A171" t="s">
        <v>424</v>
      </c>
      <c r="N171" s="5" t="s">
        <v>745</v>
      </c>
      <c r="O171" s="5" t="s">
        <v>1260</v>
      </c>
    </row>
    <row r="172" spans="1:15" x14ac:dyDescent="0.25">
      <c r="A172" t="s">
        <v>268</v>
      </c>
      <c r="N172" s="5" t="s">
        <v>1267</v>
      </c>
      <c r="O172" s="5" t="s">
        <v>1270</v>
      </c>
    </row>
    <row r="173" spans="1:15" x14ac:dyDescent="0.25">
      <c r="A173" t="s">
        <v>581</v>
      </c>
      <c r="N173" s="5" t="s">
        <v>718</v>
      </c>
      <c r="O173" s="5" t="s">
        <v>1274</v>
      </c>
    </row>
    <row r="174" spans="1:15" x14ac:dyDescent="0.25">
      <c r="A174" t="s">
        <v>551</v>
      </c>
      <c r="N174" s="5" t="s">
        <v>1064</v>
      </c>
      <c r="O174" s="5" t="s">
        <v>1066</v>
      </c>
    </row>
    <row r="175" spans="1:15" x14ac:dyDescent="0.25">
      <c r="A175" t="s">
        <v>350</v>
      </c>
      <c r="N175" s="5" t="s">
        <v>1195</v>
      </c>
      <c r="O175" s="5" t="s">
        <v>1197</v>
      </c>
    </row>
    <row r="176" spans="1:15" x14ac:dyDescent="0.25">
      <c r="A176" t="s">
        <v>442</v>
      </c>
      <c r="N176" s="5" t="s">
        <v>1234</v>
      </c>
      <c r="O176" s="5" t="s">
        <v>1236</v>
      </c>
    </row>
    <row r="177" spans="1:15" x14ac:dyDescent="0.25">
      <c r="A177" t="s">
        <v>576</v>
      </c>
      <c r="N177" s="5" t="s">
        <v>1147</v>
      </c>
      <c r="O177" s="5" t="s">
        <v>1148</v>
      </c>
    </row>
    <row r="178" spans="1:15" x14ac:dyDescent="0.25">
      <c r="A178" t="s">
        <v>233</v>
      </c>
      <c r="N178" s="5" t="s">
        <v>1301</v>
      </c>
      <c r="O178" s="5" t="s">
        <v>1302</v>
      </c>
    </row>
    <row r="179" spans="1:15" x14ac:dyDescent="0.25">
      <c r="A179" t="s">
        <v>561</v>
      </c>
      <c r="N179" s="5" t="s">
        <v>1315</v>
      </c>
      <c r="O179" s="5" t="s">
        <v>1318</v>
      </c>
    </row>
    <row r="180" spans="1:15" x14ac:dyDescent="0.25">
      <c r="A180" t="s">
        <v>250</v>
      </c>
      <c r="N180" s="5" t="s">
        <v>1159</v>
      </c>
      <c r="O180" s="5" t="s">
        <v>1160</v>
      </c>
    </row>
    <row r="181" spans="1:15" x14ac:dyDescent="0.25">
      <c r="A181" t="s">
        <v>65</v>
      </c>
      <c r="N181" s="5" t="s">
        <v>1120</v>
      </c>
      <c r="O181" s="5" t="s">
        <v>1121</v>
      </c>
    </row>
    <row r="182" spans="1:15" x14ac:dyDescent="0.25">
      <c r="A182" t="s">
        <v>199</v>
      </c>
      <c r="N182" s="5" t="s">
        <v>1035</v>
      </c>
      <c r="O182" s="5" t="s">
        <v>1036</v>
      </c>
    </row>
    <row r="183" spans="1:15" x14ac:dyDescent="0.25">
      <c r="A183" t="s">
        <v>400</v>
      </c>
      <c r="N183" s="5" t="s">
        <v>1118</v>
      </c>
      <c r="O183" s="5" t="s">
        <v>1119</v>
      </c>
    </row>
    <row r="184" spans="1:15" x14ac:dyDescent="0.25">
      <c r="A184" t="s">
        <v>582</v>
      </c>
      <c r="N184" s="5" t="s">
        <v>718</v>
      </c>
      <c r="O184" s="5" t="s">
        <v>1275</v>
      </c>
    </row>
    <row r="185" spans="1:15" x14ac:dyDescent="0.25">
      <c r="A185" t="s">
        <v>583</v>
      </c>
      <c r="N185" s="5" t="s">
        <v>1210</v>
      </c>
      <c r="O185" s="5" t="s">
        <v>1215</v>
      </c>
    </row>
    <row r="186" spans="1:15" x14ac:dyDescent="0.25">
      <c r="A186" t="s">
        <v>550</v>
      </c>
      <c r="N186" s="5" t="s">
        <v>1001</v>
      </c>
      <c r="O186" s="5" t="s">
        <v>1002</v>
      </c>
    </row>
    <row r="187" spans="1:15" x14ac:dyDescent="0.25">
      <c r="A187" t="s">
        <v>402</v>
      </c>
      <c r="N187" s="5" t="s">
        <v>1174</v>
      </c>
      <c r="O187" s="5" t="s">
        <v>1175</v>
      </c>
    </row>
    <row r="188" spans="1:15" x14ac:dyDescent="0.25">
      <c r="A188" t="s">
        <v>403</v>
      </c>
      <c r="N188" s="5" t="s">
        <v>1020</v>
      </c>
      <c r="O188" s="5" t="s">
        <v>1021</v>
      </c>
    </row>
    <row r="189" spans="1:15" x14ac:dyDescent="0.25">
      <c r="A189" t="s">
        <v>562</v>
      </c>
      <c r="N189" s="5" t="s">
        <v>1022</v>
      </c>
      <c r="O189" s="5" t="s">
        <v>1023</v>
      </c>
    </row>
    <row r="190" spans="1:15" x14ac:dyDescent="0.25">
      <c r="A190" t="s">
        <v>422</v>
      </c>
      <c r="N190" s="5" t="s">
        <v>1031</v>
      </c>
      <c r="O190" s="5" t="s">
        <v>1032</v>
      </c>
    </row>
    <row r="191" spans="1:15" x14ac:dyDescent="0.25">
      <c r="A191" t="s">
        <v>408</v>
      </c>
      <c r="N191" s="5" t="s">
        <v>1153</v>
      </c>
      <c r="O191" s="5" t="s">
        <v>1154</v>
      </c>
    </row>
    <row r="192" spans="1:15" x14ac:dyDescent="0.25">
      <c r="A192" t="s">
        <v>414</v>
      </c>
      <c r="N192" s="5" t="s">
        <v>1244</v>
      </c>
      <c r="O192" s="5" t="s">
        <v>1152</v>
      </c>
    </row>
    <row r="193" spans="1:15" x14ac:dyDescent="0.25">
      <c r="A193" t="s">
        <v>459</v>
      </c>
      <c r="N193" s="5" t="s">
        <v>1288</v>
      </c>
      <c r="O193" s="5" t="s">
        <v>1152</v>
      </c>
    </row>
    <row r="194" spans="1:15" x14ac:dyDescent="0.25">
      <c r="A194" t="s">
        <v>584</v>
      </c>
      <c r="N194" s="5" t="s">
        <v>1305</v>
      </c>
      <c r="O194" s="5" t="s">
        <v>1152</v>
      </c>
    </row>
    <row r="195" spans="1:15" x14ac:dyDescent="0.25">
      <c r="A195" t="s">
        <v>514</v>
      </c>
      <c r="N195" s="5" t="s">
        <v>1312</v>
      </c>
      <c r="O195" s="5" t="s">
        <v>1152</v>
      </c>
    </row>
    <row r="196" spans="1:15" x14ac:dyDescent="0.25">
      <c r="A196" t="s">
        <v>504</v>
      </c>
      <c r="N196" s="5" t="s">
        <v>1151</v>
      </c>
      <c r="O196" s="5" t="s">
        <v>1152</v>
      </c>
    </row>
    <row r="197" spans="1:15" x14ac:dyDescent="0.25">
      <c r="A197" t="s">
        <v>261</v>
      </c>
      <c r="N197" s="5" t="s">
        <v>1163</v>
      </c>
      <c r="O197" s="5" t="s">
        <v>1166</v>
      </c>
    </row>
    <row r="198" spans="1:15" x14ac:dyDescent="0.25">
      <c r="A198" t="s">
        <v>487</v>
      </c>
      <c r="N198" s="5" t="s">
        <v>1200</v>
      </c>
      <c r="O198" s="5" t="s">
        <v>1201</v>
      </c>
    </row>
    <row r="199" spans="1:15" x14ac:dyDescent="0.25">
      <c r="A199" t="s">
        <v>476</v>
      </c>
      <c r="N199" s="5" t="s">
        <v>1202</v>
      </c>
      <c r="O199" s="5" t="s">
        <v>1208</v>
      </c>
    </row>
    <row r="200" spans="1:15" x14ac:dyDescent="0.25">
      <c r="A200" t="s">
        <v>524</v>
      </c>
      <c r="N200" s="5" t="s">
        <v>1230</v>
      </c>
      <c r="O200" s="5" t="s">
        <v>1231</v>
      </c>
    </row>
    <row r="201" spans="1:15" x14ac:dyDescent="0.25">
      <c r="A201" t="s">
        <v>503</v>
      </c>
      <c r="N201" s="5" t="s">
        <v>1057</v>
      </c>
      <c r="O201" s="5" t="s">
        <v>1059</v>
      </c>
    </row>
    <row r="202" spans="1:15" x14ac:dyDescent="0.25">
      <c r="A202" t="s">
        <v>563</v>
      </c>
      <c r="N202" s="5" t="s">
        <v>1009</v>
      </c>
      <c r="O202" s="5" t="s">
        <v>998</v>
      </c>
    </row>
    <row r="203" spans="1:15" x14ac:dyDescent="0.25">
      <c r="A203" t="s">
        <v>471</v>
      </c>
      <c r="N203" s="5" t="s">
        <v>1125</v>
      </c>
      <c r="O203" s="5" t="s">
        <v>998</v>
      </c>
    </row>
    <row r="204" spans="1:15" x14ac:dyDescent="0.25">
      <c r="A204" t="s">
        <v>404</v>
      </c>
      <c r="N204" s="5" t="s">
        <v>1144</v>
      </c>
      <c r="O204" s="5" t="s">
        <v>998</v>
      </c>
    </row>
    <row r="205" spans="1:15" x14ac:dyDescent="0.25">
      <c r="A205" t="s">
        <v>369</v>
      </c>
      <c r="N205" s="5" t="s">
        <v>1202</v>
      </c>
      <c r="O205" s="5" t="s">
        <v>998</v>
      </c>
    </row>
    <row r="206" spans="1:15" x14ac:dyDescent="0.25">
      <c r="A206" t="s">
        <v>423</v>
      </c>
      <c r="N206" s="5" t="s">
        <v>997</v>
      </c>
      <c r="O206" s="5" t="s">
        <v>998</v>
      </c>
    </row>
    <row r="207" spans="1:15" x14ac:dyDescent="0.25">
      <c r="A207" t="s">
        <v>446</v>
      </c>
      <c r="N207" s="5" t="s">
        <v>1081</v>
      </c>
      <c r="O207" s="5" t="s">
        <v>1083</v>
      </c>
    </row>
    <row r="208" spans="1:15" x14ac:dyDescent="0.25">
      <c r="A208" t="s">
        <v>585</v>
      </c>
      <c r="N208" s="5" t="s">
        <v>1163</v>
      </c>
      <c r="O208" s="5" t="s">
        <v>1167</v>
      </c>
    </row>
    <row r="209" spans="1:15" x14ac:dyDescent="0.25">
      <c r="A209" t="s">
        <v>484</v>
      </c>
      <c r="N209" s="5" t="s">
        <v>1005</v>
      </c>
      <c r="O209" s="5" t="s">
        <v>1006</v>
      </c>
    </row>
    <row r="210" spans="1:15" x14ac:dyDescent="0.25">
      <c r="A210" t="s">
        <v>269</v>
      </c>
      <c r="N210" s="5" t="s">
        <v>1202</v>
      </c>
      <c r="O210" s="5" t="s">
        <v>1209</v>
      </c>
    </row>
    <row r="211" spans="1:15" x14ac:dyDescent="0.25">
      <c r="A211" t="s">
        <v>517</v>
      </c>
      <c r="N211" s="5" t="s">
        <v>1007</v>
      </c>
      <c r="O211" s="5" t="s">
        <v>1008</v>
      </c>
    </row>
    <row r="212" spans="1:15" x14ac:dyDescent="0.25">
      <c r="A212" t="s">
        <v>564</v>
      </c>
      <c r="N212" s="5" t="s">
        <v>1062</v>
      </c>
      <c r="O212" s="5" t="s">
        <v>1063</v>
      </c>
    </row>
    <row r="213" spans="1:15" x14ac:dyDescent="0.25">
      <c r="A213" t="s">
        <v>417</v>
      </c>
      <c r="N213" s="5" t="s">
        <v>722</v>
      </c>
      <c r="O213" s="5" t="s">
        <v>992</v>
      </c>
    </row>
    <row r="214" spans="1:15" x14ac:dyDescent="0.25">
      <c r="A214" t="s">
        <v>67</v>
      </c>
      <c r="N214" s="5" t="s">
        <v>1326</v>
      </c>
      <c r="O214" s="5" t="s">
        <v>1327</v>
      </c>
    </row>
    <row r="215" spans="1:15" x14ac:dyDescent="0.25">
      <c r="A215" t="s">
        <v>465</v>
      </c>
      <c r="N215" s="5" t="s">
        <v>1145</v>
      </c>
      <c r="O215" s="5" t="s">
        <v>1146</v>
      </c>
    </row>
    <row r="216" spans="1:15" x14ac:dyDescent="0.25">
      <c r="A216" t="s">
        <v>535</v>
      </c>
      <c r="N216" s="5" t="s">
        <v>743</v>
      </c>
      <c r="O216" s="5" t="s">
        <v>741</v>
      </c>
    </row>
    <row r="217" spans="1:15" x14ac:dyDescent="0.25">
      <c r="A217" t="s">
        <v>425</v>
      </c>
      <c r="N217" s="5" t="s">
        <v>722</v>
      </c>
      <c r="O217" s="5" t="s">
        <v>993</v>
      </c>
    </row>
    <row r="218" spans="1:15" x14ac:dyDescent="0.25">
      <c r="A218" t="s">
        <v>565</v>
      </c>
      <c r="N218" s="5" t="s">
        <v>746</v>
      </c>
      <c r="O218" s="5" t="s">
        <v>993</v>
      </c>
    </row>
    <row r="219" spans="1:15" x14ac:dyDescent="0.25">
      <c r="A219" t="s">
        <v>355</v>
      </c>
      <c r="N219" s="5" t="s">
        <v>1039</v>
      </c>
      <c r="O219" s="5" t="s">
        <v>1040</v>
      </c>
    </row>
    <row r="220" spans="1:15" x14ac:dyDescent="0.25">
      <c r="A220" t="s">
        <v>376</v>
      </c>
      <c r="N220" s="5" t="s">
        <v>1147</v>
      </c>
      <c r="O220" s="5" t="s">
        <v>1040</v>
      </c>
    </row>
    <row r="221" spans="1:15" x14ac:dyDescent="0.25">
      <c r="A221" t="s">
        <v>554</v>
      </c>
      <c r="N221" s="5" t="s">
        <v>1370</v>
      </c>
      <c r="O221" s="5" t="s">
        <v>1371</v>
      </c>
    </row>
    <row r="222" spans="1:15" x14ac:dyDescent="0.25">
      <c r="A222" t="s">
        <v>542</v>
      </c>
      <c r="N222" s="5" t="s">
        <v>1034</v>
      </c>
      <c r="O222" s="5" t="s">
        <v>1311</v>
      </c>
    </row>
    <row r="223" spans="1:15" x14ac:dyDescent="0.25">
      <c r="A223" t="s">
        <v>566</v>
      </c>
      <c r="N223" s="5" t="s">
        <v>1111</v>
      </c>
      <c r="O223" s="5" t="s">
        <v>1112</v>
      </c>
    </row>
    <row r="224" spans="1:15" x14ac:dyDescent="0.25">
      <c r="A224" t="s">
        <v>489</v>
      </c>
      <c r="N224" s="5" t="s">
        <v>1033</v>
      </c>
      <c r="O224" s="5" t="s">
        <v>1034</v>
      </c>
    </row>
    <row r="225" spans="1:15" x14ac:dyDescent="0.25">
      <c r="A225" t="s">
        <v>187</v>
      </c>
      <c r="N225" s="5" t="s">
        <v>1155</v>
      </c>
      <c r="O225" s="5" t="s">
        <v>1156</v>
      </c>
    </row>
    <row r="226" spans="1:15" x14ac:dyDescent="0.25">
      <c r="A226" t="s">
        <v>426</v>
      </c>
      <c r="N226" s="5" t="s">
        <v>1055</v>
      </c>
      <c r="O226" s="5" t="s">
        <v>1056</v>
      </c>
    </row>
    <row r="227" spans="1:15" x14ac:dyDescent="0.25">
      <c r="A227" t="s">
        <v>429</v>
      </c>
      <c r="N227" s="5" t="s">
        <v>1052</v>
      </c>
      <c r="O227" s="5" t="s">
        <v>1054</v>
      </c>
    </row>
    <row r="228" spans="1:15" x14ac:dyDescent="0.25">
      <c r="A228" t="s">
        <v>377</v>
      </c>
      <c r="N228" s="5" t="s">
        <v>1147</v>
      </c>
      <c r="O228" s="5" t="s">
        <v>1004</v>
      </c>
    </row>
    <row r="229" spans="1:15" x14ac:dyDescent="0.25">
      <c r="A229" t="s">
        <v>525</v>
      </c>
      <c r="N229" s="5" t="s">
        <v>1339</v>
      </c>
      <c r="O229" s="5" t="s">
        <v>1004</v>
      </c>
    </row>
    <row r="230" spans="1:15" x14ac:dyDescent="0.25">
      <c r="A230" t="s">
        <v>427</v>
      </c>
      <c r="N230" s="5" t="s">
        <v>1003</v>
      </c>
      <c r="O230" s="5" t="s">
        <v>1004</v>
      </c>
    </row>
    <row r="231" spans="1:15" x14ac:dyDescent="0.25">
      <c r="A231" t="s">
        <v>586</v>
      </c>
      <c r="N231" s="5" t="s">
        <v>743</v>
      </c>
      <c r="O231" s="5" t="s">
        <v>1004</v>
      </c>
    </row>
    <row r="232" spans="1:15" x14ac:dyDescent="0.25">
      <c r="A232" t="s">
        <v>444</v>
      </c>
      <c r="N232" s="5" t="s">
        <v>1087</v>
      </c>
      <c r="O232" s="5" t="s">
        <v>1089</v>
      </c>
    </row>
    <row r="233" spans="1:15" x14ac:dyDescent="0.25">
      <c r="A233" t="s">
        <v>541</v>
      </c>
      <c r="N233" s="5" t="s">
        <v>1133</v>
      </c>
      <c r="O233" s="5" t="s">
        <v>1089</v>
      </c>
    </row>
    <row r="234" spans="1:15" x14ac:dyDescent="0.25">
      <c r="A234" t="s">
        <v>470</v>
      </c>
      <c r="N234" s="5" t="s">
        <v>1267</v>
      </c>
      <c r="O234" s="5" t="s">
        <v>1271</v>
      </c>
    </row>
    <row r="235" spans="1:15" x14ac:dyDescent="0.25">
      <c r="A235" t="s">
        <v>587</v>
      </c>
      <c r="N235" s="5" t="s">
        <v>986</v>
      </c>
      <c r="O235" s="5" t="s">
        <v>987</v>
      </c>
    </row>
    <row r="236" spans="1:15" x14ac:dyDescent="0.25">
      <c r="A236" t="s">
        <v>405</v>
      </c>
      <c r="N236" s="5" t="s">
        <v>1222</v>
      </c>
      <c r="O236" s="5" t="s">
        <v>1224</v>
      </c>
    </row>
    <row r="237" spans="1:15" x14ac:dyDescent="0.25">
      <c r="A237" t="s">
        <v>381</v>
      </c>
      <c r="N237" s="5" t="s">
        <v>1067</v>
      </c>
      <c r="O237" s="5" t="s">
        <v>1068</v>
      </c>
    </row>
    <row r="238" spans="1:15" x14ac:dyDescent="0.25">
      <c r="A238" t="s">
        <v>548</v>
      </c>
      <c r="N238" s="5" t="s">
        <v>1319</v>
      </c>
      <c r="O238" s="5" t="s">
        <v>1320</v>
      </c>
    </row>
    <row r="239" spans="1:15" x14ac:dyDescent="0.25">
      <c r="A239" t="s">
        <v>475</v>
      </c>
      <c r="N239" s="5" t="s">
        <v>1350</v>
      </c>
      <c r="O239" s="5" t="s">
        <v>1353</v>
      </c>
    </row>
    <row r="240" spans="1:15" x14ac:dyDescent="0.25">
      <c r="A240" t="s">
        <v>521</v>
      </c>
      <c r="N240" s="5" t="s">
        <v>723</v>
      </c>
      <c r="O240" s="5" t="s">
        <v>1240</v>
      </c>
    </row>
    <row r="241" spans="1:15" x14ac:dyDescent="0.25">
      <c r="A241" t="s">
        <v>567</v>
      </c>
      <c r="N241" s="5" t="s">
        <v>1041</v>
      </c>
      <c r="O241" s="5" t="s">
        <v>1042</v>
      </c>
    </row>
    <row r="242" spans="1:15" x14ac:dyDescent="0.25">
      <c r="A242" t="s">
        <v>454</v>
      </c>
      <c r="N242" s="5" t="s">
        <v>1210</v>
      </c>
      <c r="O242" s="5" t="s">
        <v>1042</v>
      </c>
    </row>
    <row r="243" spans="1:15" x14ac:dyDescent="0.25">
      <c r="A243" t="s">
        <v>588</v>
      </c>
      <c r="N243" s="5" t="s">
        <v>1358</v>
      </c>
      <c r="O243" s="5" t="s">
        <v>1042</v>
      </c>
    </row>
    <row r="244" spans="1:15" x14ac:dyDescent="0.25">
      <c r="A244" t="s">
        <v>60</v>
      </c>
      <c r="N244" s="5" t="s">
        <v>1111</v>
      </c>
      <c r="O244" s="5" t="s">
        <v>1113</v>
      </c>
    </row>
    <row r="245" spans="1:15" x14ac:dyDescent="0.25">
      <c r="A245" t="s">
        <v>447</v>
      </c>
      <c r="N245" s="5" t="s">
        <v>1323</v>
      </c>
      <c r="O245" s="5" t="s">
        <v>1325</v>
      </c>
    </row>
    <row r="246" spans="1:15" x14ac:dyDescent="0.25">
      <c r="A246" t="s">
        <v>406</v>
      </c>
      <c r="N246" s="5" t="s">
        <v>1084</v>
      </c>
      <c r="O246" s="5" t="s">
        <v>1085</v>
      </c>
    </row>
    <row r="247" spans="1:15" x14ac:dyDescent="0.25">
      <c r="A247" t="s">
        <v>463</v>
      </c>
      <c r="N247" s="5" t="s">
        <v>1262</v>
      </c>
      <c r="O247" s="5" t="s">
        <v>1263</v>
      </c>
    </row>
    <row r="248" spans="1:15" x14ac:dyDescent="0.25">
      <c r="A248" t="s">
        <v>557</v>
      </c>
      <c r="N248" s="5" t="s">
        <v>1253</v>
      </c>
      <c r="O248" s="5" t="s">
        <v>1254</v>
      </c>
    </row>
    <row r="249" spans="1:15" x14ac:dyDescent="0.25">
      <c r="A249" t="s">
        <v>185</v>
      </c>
      <c r="N249" s="5" t="s">
        <v>1187</v>
      </c>
      <c r="O249" s="5" t="s">
        <v>1188</v>
      </c>
    </row>
    <row r="250" spans="1:15" x14ac:dyDescent="0.25">
      <c r="A250" t="s">
        <v>534</v>
      </c>
      <c r="N250" s="5" t="s">
        <v>1126</v>
      </c>
      <c r="O250" s="5" t="s">
        <v>1127</v>
      </c>
    </row>
    <row r="251" spans="1:15" x14ac:dyDescent="0.25">
      <c r="A251" t="s">
        <v>589</v>
      </c>
      <c r="N251" s="5" t="s">
        <v>1282</v>
      </c>
      <c r="O251" s="5" t="s">
        <v>1284</v>
      </c>
    </row>
    <row r="252" spans="1:15" x14ac:dyDescent="0.25">
      <c r="A252" t="s">
        <v>515</v>
      </c>
      <c r="N252" s="5" t="s">
        <v>1069</v>
      </c>
      <c r="O252" s="5" t="s">
        <v>1071</v>
      </c>
    </row>
    <row r="253" spans="1:15" x14ac:dyDescent="0.25">
      <c r="A253" t="s">
        <v>498</v>
      </c>
      <c r="N253" s="5" t="s">
        <v>1267</v>
      </c>
      <c r="O253" s="5" t="s">
        <v>1071</v>
      </c>
    </row>
    <row r="254" spans="1:15" x14ac:dyDescent="0.25">
      <c r="A254" t="s">
        <v>568</v>
      </c>
      <c r="N254" s="5" t="s">
        <v>1218</v>
      </c>
      <c r="O254" s="5" t="s">
        <v>1219</v>
      </c>
    </row>
    <row r="255" spans="1:15" x14ac:dyDescent="0.25">
      <c r="A255" t="s">
        <v>451</v>
      </c>
      <c r="N255" s="5" t="s">
        <v>744</v>
      </c>
      <c r="O255" s="5" t="s">
        <v>1194</v>
      </c>
    </row>
    <row r="256" spans="1:15" x14ac:dyDescent="0.25">
      <c r="A256" t="s">
        <v>461</v>
      </c>
      <c r="N256" s="5" t="s">
        <v>1071</v>
      </c>
      <c r="O256" s="5" t="s">
        <v>1329</v>
      </c>
    </row>
    <row r="257" spans="1:15" x14ac:dyDescent="0.25">
      <c r="A257" t="s">
        <v>383</v>
      </c>
      <c r="N257" s="5" t="s">
        <v>1363</v>
      </c>
      <c r="O257" s="5" t="s">
        <v>1364</v>
      </c>
    </row>
    <row r="258" spans="1:15" x14ac:dyDescent="0.25">
      <c r="A258" t="s">
        <v>357</v>
      </c>
      <c r="N258" s="5" t="s">
        <v>1210</v>
      </c>
      <c r="O258" s="5" t="s">
        <v>1216</v>
      </c>
    </row>
    <row r="259" spans="1:15" x14ac:dyDescent="0.25">
      <c r="A259" t="s">
        <v>343</v>
      </c>
      <c r="N259" s="5" t="s">
        <v>994</v>
      </c>
      <c r="O259" s="5" t="s">
        <v>996</v>
      </c>
    </row>
    <row r="260" spans="1:15" x14ac:dyDescent="0.25">
      <c r="A260" t="s">
        <v>210</v>
      </c>
      <c r="N260" s="5" t="s">
        <v>1262</v>
      </c>
      <c r="O260" s="5" t="s">
        <v>1264</v>
      </c>
    </row>
    <row r="261" spans="1:15" x14ac:dyDescent="0.25">
      <c r="A261" t="s">
        <v>569</v>
      </c>
      <c r="N261" s="5" t="s">
        <v>1163</v>
      </c>
      <c r="O261" s="5" t="s">
        <v>739</v>
      </c>
    </row>
    <row r="262" spans="1:15" x14ac:dyDescent="0.25">
      <c r="A262" t="s">
        <v>455</v>
      </c>
      <c r="N262" s="5" t="s">
        <v>1265</v>
      </c>
      <c r="O262" s="5" t="s">
        <v>1266</v>
      </c>
    </row>
    <row r="263" spans="1:15" x14ac:dyDescent="0.25">
      <c r="A263" t="s">
        <v>467</v>
      </c>
      <c r="N263" s="5" t="s">
        <v>1073</v>
      </c>
      <c r="O263" s="5" t="s">
        <v>1074</v>
      </c>
    </row>
    <row r="264" spans="1:15" x14ac:dyDescent="0.25">
      <c r="A264" t="s">
        <v>391</v>
      </c>
      <c r="N264" s="5" t="s">
        <v>1222</v>
      </c>
      <c r="O264" s="5" t="s">
        <v>1225</v>
      </c>
    </row>
    <row r="265" spans="1:15" x14ac:dyDescent="0.25">
      <c r="A265" t="s">
        <v>486</v>
      </c>
      <c r="N265" s="5" t="s">
        <v>743</v>
      </c>
      <c r="O265" s="5" t="s">
        <v>1049</v>
      </c>
    </row>
    <row r="266" spans="1:15" x14ac:dyDescent="0.25">
      <c r="A266" t="s">
        <v>407</v>
      </c>
      <c r="N266" s="5" t="s">
        <v>1282</v>
      </c>
      <c r="O266" s="5" t="s">
        <v>1285</v>
      </c>
    </row>
    <row r="267" spans="1:15" x14ac:dyDescent="0.25">
      <c r="A267" t="s">
        <v>432</v>
      </c>
      <c r="N267" s="5" t="s">
        <v>1346</v>
      </c>
      <c r="O267" s="5" t="s">
        <v>1347</v>
      </c>
    </row>
    <row r="268" spans="1:15" x14ac:dyDescent="0.25">
      <c r="A268" t="s">
        <v>401</v>
      </c>
      <c r="N268" s="5" t="s">
        <v>1370</v>
      </c>
      <c r="O268" s="5" t="s">
        <v>1372</v>
      </c>
    </row>
    <row r="269" spans="1:15" x14ac:dyDescent="0.25">
      <c r="A269" t="s">
        <v>549</v>
      </c>
      <c r="N269" s="5" t="s">
        <v>1373</v>
      </c>
      <c r="O269" s="5" t="s">
        <v>1374</v>
      </c>
    </row>
    <row r="270" spans="1:15" x14ac:dyDescent="0.25">
      <c r="A270" t="s">
        <v>428</v>
      </c>
      <c r="N270" s="5" t="s">
        <v>745</v>
      </c>
      <c r="O270" s="5" t="s">
        <v>1261</v>
      </c>
    </row>
    <row r="271" spans="1:15" x14ac:dyDescent="0.25">
      <c r="A271" t="s">
        <v>239</v>
      </c>
      <c r="N271" s="5" t="s">
        <v>1335</v>
      </c>
      <c r="O271" s="5" t="s">
        <v>1338</v>
      </c>
    </row>
    <row r="272" spans="1:15" x14ac:dyDescent="0.25">
      <c r="A272" t="s">
        <v>253</v>
      </c>
      <c r="N272" s="5" t="s">
        <v>1090</v>
      </c>
      <c r="O272" s="5" t="s">
        <v>1091</v>
      </c>
    </row>
    <row r="273" spans="1:15" x14ac:dyDescent="0.25">
      <c r="A273" t="s">
        <v>507</v>
      </c>
      <c r="N273" s="5" t="s">
        <v>1069</v>
      </c>
      <c r="O273" s="5" t="s">
        <v>1072</v>
      </c>
    </row>
    <row r="274" spans="1:15" x14ac:dyDescent="0.25">
      <c r="A274" t="s">
        <v>505</v>
      </c>
      <c r="N274" s="5" t="s">
        <v>1026</v>
      </c>
      <c r="O274" s="5" t="s">
        <v>1030</v>
      </c>
    </row>
    <row r="275" spans="1:15" x14ac:dyDescent="0.25">
      <c r="A275" t="s">
        <v>513</v>
      </c>
      <c r="N275" s="5" t="s">
        <v>1094</v>
      </c>
      <c r="O275" s="5" t="s">
        <v>1098</v>
      </c>
    </row>
    <row r="276" spans="1:15" x14ac:dyDescent="0.25">
      <c r="A276" t="s">
        <v>384</v>
      </c>
      <c r="N276" s="5" t="s">
        <v>746</v>
      </c>
      <c r="O276" s="5" t="s">
        <v>1098</v>
      </c>
    </row>
    <row r="277" spans="1:15" x14ac:dyDescent="0.25">
      <c r="A277" t="s">
        <v>335</v>
      </c>
      <c r="N277" s="5" t="s">
        <v>1357</v>
      </c>
      <c r="O277" s="5" t="s">
        <v>1098</v>
      </c>
    </row>
    <row r="278" spans="1:15" x14ac:dyDescent="0.25">
      <c r="A278" t="s">
        <v>495</v>
      </c>
      <c r="N278" s="5" t="s">
        <v>1232</v>
      </c>
      <c r="O278" s="5" t="s">
        <v>1233</v>
      </c>
    </row>
    <row r="279" spans="1:15" x14ac:dyDescent="0.25">
      <c r="A279" t="s">
        <v>216</v>
      </c>
      <c r="N279" s="5" t="s">
        <v>1126</v>
      </c>
      <c r="O279" s="5" t="s">
        <v>1128</v>
      </c>
    </row>
    <row r="280" spans="1:15" x14ac:dyDescent="0.25">
      <c r="A280" t="s">
        <v>450</v>
      </c>
    </row>
    <row r="281" spans="1:15" x14ac:dyDescent="0.25">
      <c r="A281" t="s">
        <v>533</v>
      </c>
    </row>
    <row r="282" spans="1:15" x14ac:dyDescent="0.25">
      <c r="A282" t="s">
        <v>247</v>
      </c>
    </row>
    <row r="283" spans="1:15" x14ac:dyDescent="0.25">
      <c r="A283" t="s">
        <v>532</v>
      </c>
    </row>
    <row r="284" spans="1:15" x14ac:dyDescent="0.25">
      <c r="A284" t="s">
        <v>526</v>
      </c>
    </row>
    <row r="285" spans="1:15" x14ac:dyDescent="0.25">
      <c r="A285" t="s">
        <v>485</v>
      </c>
    </row>
    <row r="286" spans="1:15" x14ac:dyDescent="0.25">
      <c r="A286" t="s">
        <v>518</v>
      </c>
    </row>
    <row r="287" spans="1:15" x14ac:dyDescent="0.25">
      <c r="A287" t="s">
        <v>262</v>
      </c>
    </row>
    <row r="288" spans="1:15" x14ac:dyDescent="0.25">
      <c r="A288" t="s">
        <v>477</v>
      </c>
    </row>
    <row r="289" spans="1:1" x14ac:dyDescent="0.25">
      <c r="A289" t="s">
        <v>441</v>
      </c>
    </row>
    <row r="290" spans="1:1" x14ac:dyDescent="0.25">
      <c r="A290" t="s">
        <v>570</v>
      </c>
    </row>
    <row r="291" spans="1:1" x14ac:dyDescent="0.25">
      <c r="A291" t="s">
        <v>362</v>
      </c>
    </row>
    <row r="292" spans="1:1" x14ac:dyDescent="0.25">
      <c r="A292" t="s">
        <v>590</v>
      </c>
    </row>
    <row r="293" spans="1:1" x14ac:dyDescent="0.25">
      <c r="A293" t="s">
        <v>387</v>
      </c>
    </row>
    <row r="294" spans="1:1" x14ac:dyDescent="0.25">
      <c r="A294" t="s">
        <v>236</v>
      </c>
    </row>
    <row r="295" spans="1:1" x14ac:dyDescent="0.25">
      <c r="A295" t="s">
        <v>419</v>
      </c>
    </row>
    <row r="296" spans="1:1" x14ac:dyDescent="0.25">
      <c r="A296" t="s">
        <v>389</v>
      </c>
    </row>
    <row r="297" spans="1:1" x14ac:dyDescent="0.25">
      <c r="A297" t="s">
        <v>388</v>
      </c>
    </row>
    <row r="298" spans="1:1" x14ac:dyDescent="0.25">
      <c r="A298" t="s">
        <v>591</v>
      </c>
    </row>
    <row r="299" spans="1:1" x14ac:dyDescent="0.25">
      <c r="A299" t="s">
        <v>364</v>
      </c>
    </row>
    <row r="300" spans="1:1" x14ac:dyDescent="0.25">
      <c r="A300" t="s">
        <v>480</v>
      </c>
    </row>
    <row r="301" spans="1:1" x14ac:dyDescent="0.25">
      <c r="A301" t="s">
        <v>179</v>
      </c>
    </row>
    <row r="302" spans="1:1" x14ac:dyDescent="0.25">
      <c r="A302" t="s">
        <v>260</v>
      </c>
    </row>
    <row r="303" spans="1:1" x14ac:dyDescent="0.25">
      <c r="A303" t="s">
        <v>359</v>
      </c>
    </row>
    <row r="304" spans="1:1" x14ac:dyDescent="0.25">
      <c r="A304" t="s">
        <v>523</v>
      </c>
    </row>
    <row r="305" spans="1:1" x14ac:dyDescent="0.25">
      <c r="A305" t="s">
        <v>520</v>
      </c>
    </row>
    <row r="306" spans="1:1" x14ac:dyDescent="0.25">
      <c r="A306" t="s">
        <v>191</v>
      </c>
    </row>
    <row r="307" spans="1:1" x14ac:dyDescent="0.25">
      <c r="A307" t="s">
        <v>370</v>
      </c>
    </row>
    <row r="308" spans="1:1" x14ac:dyDescent="0.25">
      <c r="A308" t="s">
        <v>519</v>
      </c>
    </row>
    <row r="309" spans="1:1" x14ac:dyDescent="0.25">
      <c r="A309" t="s">
        <v>399</v>
      </c>
    </row>
    <row r="310" spans="1:1" x14ac:dyDescent="0.25">
      <c r="A310" t="s">
        <v>571</v>
      </c>
    </row>
    <row r="311" spans="1:1" x14ac:dyDescent="0.25">
      <c r="A311" t="s">
        <v>440</v>
      </c>
    </row>
    <row r="312" spans="1:1" x14ac:dyDescent="0.25">
      <c r="A312" t="s">
        <v>74</v>
      </c>
    </row>
    <row r="313" spans="1:1" x14ac:dyDescent="0.25">
      <c r="A313" t="s">
        <v>497</v>
      </c>
    </row>
    <row r="314" spans="1:1" x14ac:dyDescent="0.25">
      <c r="A314" t="s">
        <v>462</v>
      </c>
    </row>
    <row r="315" spans="1:1" x14ac:dyDescent="0.25">
      <c r="A315" t="s">
        <v>510</v>
      </c>
    </row>
    <row r="316" spans="1:1" x14ac:dyDescent="0.25">
      <c r="A316" t="s">
        <v>530</v>
      </c>
    </row>
    <row r="317" spans="1:1" x14ac:dyDescent="0.25">
      <c r="A317" t="s">
        <v>502</v>
      </c>
    </row>
    <row r="318" spans="1:1" x14ac:dyDescent="0.25">
      <c r="A318" t="s">
        <v>453</v>
      </c>
    </row>
    <row r="319" spans="1:1" x14ac:dyDescent="0.25">
      <c r="A319" t="s">
        <v>547</v>
      </c>
    </row>
    <row r="320" spans="1:1" x14ac:dyDescent="0.25">
      <c r="A320" t="s">
        <v>553</v>
      </c>
    </row>
    <row r="321" spans="1:1" x14ac:dyDescent="0.25">
      <c r="A321" t="s">
        <v>457</v>
      </c>
    </row>
    <row r="322" spans="1:1" x14ac:dyDescent="0.25">
      <c r="A322" t="s">
        <v>546</v>
      </c>
    </row>
    <row r="323" spans="1:1" x14ac:dyDescent="0.25">
      <c r="A323" t="s">
        <v>527</v>
      </c>
    </row>
    <row r="324" spans="1:1" x14ac:dyDescent="0.25">
      <c r="A324" t="s">
        <v>536</v>
      </c>
    </row>
    <row r="325" spans="1:1" x14ac:dyDescent="0.25">
      <c r="A325" t="s">
        <v>273</v>
      </c>
    </row>
    <row r="326" spans="1:1" x14ac:dyDescent="0.25">
      <c r="A326" t="s">
        <v>528</v>
      </c>
    </row>
    <row r="327" spans="1:1" x14ac:dyDescent="0.25">
      <c r="A327" t="s">
        <v>577</v>
      </c>
    </row>
    <row r="328" spans="1:1" x14ac:dyDescent="0.25">
      <c r="A328" t="s">
        <v>474</v>
      </c>
    </row>
    <row r="329" spans="1:1" x14ac:dyDescent="0.25">
      <c r="A329" t="s">
        <v>543</v>
      </c>
    </row>
    <row r="330" spans="1:1" x14ac:dyDescent="0.25">
      <c r="A330" t="s">
        <v>572</v>
      </c>
    </row>
    <row r="331" spans="1:1" x14ac:dyDescent="0.25">
      <c r="A331" t="s">
        <v>508</v>
      </c>
    </row>
    <row r="332" spans="1:1" x14ac:dyDescent="0.25">
      <c r="A332" t="s">
        <v>398</v>
      </c>
    </row>
    <row r="333" spans="1:1" x14ac:dyDescent="0.25">
      <c r="A333" t="s">
        <v>555</v>
      </c>
    </row>
    <row r="334" spans="1:1" x14ac:dyDescent="0.25">
      <c r="A334" t="s">
        <v>573</v>
      </c>
    </row>
    <row r="335" spans="1:1" x14ac:dyDescent="0.25">
      <c r="A335" t="s">
        <v>592</v>
      </c>
    </row>
    <row r="336" spans="1:1" x14ac:dyDescent="0.25">
      <c r="A336" t="s">
        <v>181</v>
      </c>
    </row>
    <row r="337" spans="1:1" x14ac:dyDescent="0.25">
      <c r="A337" t="s">
        <v>287</v>
      </c>
    </row>
    <row r="338" spans="1:1" x14ac:dyDescent="0.25">
      <c r="A338" t="s">
        <v>464</v>
      </c>
    </row>
    <row r="339" spans="1:1" x14ac:dyDescent="0.25">
      <c r="A339" t="s">
        <v>552</v>
      </c>
    </row>
    <row r="340" spans="1:1" x14ac:dyDescent="0.25">
      <c r="A340" t="s">
        <v>491</v>
      </c>
    </row>
    <row r="341" spans="1:1" x14ac:dyDescent="0.25">
      <c r="A341" t="s">
        <v>272</v>
      </c>
    </row>
    <row r="342" spans="1:1" x14ac:dyDescent="0.25">
      <c r="A342" t="s">
        <v>574</v>
      </c>
    </row>
    <row r="343" spans="1:1" x14ac:dyDescent="0.25">
      <c r="A343" t="s">
        <v>482</v>
      </c>
    </row>
    <row r="344" spans="1:1" x14ac:dyDescent="0.25">
      <c r="A344" t="s">
        <v>473</v>
      </c>
    </row>
    <row r="345" spans="1:1" x14ac:dyDescent="0.25">
      <c r="A345" t="s">
        <v>336</v>
      </c>
    </row>
    <row r="346" spans="1:1" x14ac:dyDescent="0.25">
      <c r="A346" t="s">
        <v>468</v>
      </c>
    </row>
    <row r="347" spans="1:1" x14ac:dyDescent="0.25">
      <c r="A347" t="s">
        <v>339</v>
      </c>
    </row>
    <row r="348" spans="1:1" x14ac:dyDescent="0.25">
      <c r="A348" t="s">
        <v>575</v>
      </c>
    </row>
    <row r="349" spans="1:1" x14ac:dyDescent="0.25">
      <c r="A349" t="s">
        <v>267</v>
      </c>
    </row>
    <row r="350" spans="1:1" x14ac:dyDescent="0.25">
      <c r="A350" t="s">
        <v>556</v>
      </c>
    </row>
    <row r="351" spans="1:1" x14ac:dyDescent="0.25">
      <c r="A351" t="s">
        <v>460</v>
      </c>
    </row>
    <row r="352" spans="1:1" x14ac:dyDescent="0.25">
      <c r="A352" t="s">
        <v>593</v>
      </c>
    </row>
    <row r="353" spans="1:1" x14ac:dyDescent="0.25">
      <c r="A353" t="s">
        <v>493</v>
      </c>
    </row>
    <row r="354" spans="1:1" x14ac:dyDescent="0.25">
      <c r="A354" t="s">
        <v>420</v>
      </c>
    </row>
    <row r="355" spans="1:1" x14ac:dyDescent="0.25">
      <c r="A355" t="s">
        <v>469</v>
      </c>
    </row>
    <row r="356" spans="1:1" x14ac:dyDescent="0.25">
      <c r="A356" t="s">
        <v>529</v>
      </c>
    </row>
    <row r="357" spans="1:1" x14ac:dyDescent="0.25">
      <c r="A357" t="s">
        <v>413</v>
      </c>
    </row>
    <row r="358" spans="1:1" x14ac:dyDescent="0.25">
      <c r="A358" t="s">
        <v>481</v>
      </c>
    </row>
    <row r="359" spans="1:1" x14ac:dyDescent="0.25">
      <c r="A359" t="s">
        <v>479</v>
      </c>
    </row>
    <row r="360" spans="1:1" x14ac:dyDescent="0.25">
      <c r="A360" t="s">
        <v>522</v>
      </c>
    </row>
    <row r="361" spans="1:1" x14ac:dyDescent="0.25">
      <c r="A361" t="s">
        <v>412</v>
      </c>
    </row>
    <row r="362" spans="1:1" x14ac:dyDescent="0.25">
      <c r="A362" t="s">
        <v>360</v>
      </c>
    </row>
    <row r="363" spans="1:1" x14ac:dyDescent="0.25">
      <c r="A363" t="s">
        <v>274</v>
      </c>
    </row>
    <row r="364" spans="1:1" x14ac:dyDescent="0.25">
      <c r="A364" t="s">
        <v>78</v>
      </c>
    </row>
    <row r="365" spans="1:1" x14ac:dyDescent="0.25">
      <c r="A365" t="s">
        <v>594</v>
      </c>
    </row>
    <row r="366" spans="1:1" x14ac:dyDescent="0.25">
      <c r="A366" t="s">
        <v>478</v>
      </c>
    </row>
    <row r="367" spans="1:1" x14ac:dyDescent="0.25">
      <c r="A367" t="s">
        <v>246</v>
      </c>
    </row>
    <row r="368" spans="1:1" x14ac:dyDescent="0.25">
      <c r="A368" t="s">
        <v>292</v>
      </c>
    </row>
    <row r="369" spans="1:1" x14ac:dyDescent="0.25">
      <c r="A369" t="s">
        <v>277</v>
      </c>
    </row>
    <row r="370" spans="1:1" x14ac:dyDescent="0.25">
      <c r="A370" t="s">
        <v>472</v>
      </c>
    </row>
    <row r="371" spans="1:1" x14ac:dyDescent="0.25">
      <c r="A371" t="s">
        <v>363</v>
      </c>
    </row>
    <row r="372" spans="1:1" x14ac:dyDescent="0.25">
      <c r="A372" t="s">
        <v>278</v>
      </c>
    </row>
    <row r="373" spans="1:1" x14ac:dyDescent="0.25">
      <c r="A373" t="s">
        <v>184</v>
      </c>
    </row>
    <row r="374" spans="1:1" x14ac:dyDescent="0.25">
      <c r="A374" t="s">
        <v>297</v>
      </c>
    </row>
    <row r="375" spans="1:1" x14ac:dyDescent="0.25">
      <c r="A375" t="s">
        <v>531</v>
      </c>
    </row>
    <row r="376" spans="1:1" x14ac:dyDescent="0.25">
      <c r="A376" t="s">
        <v>595</v>
      </c>
    </row>
    <row r="377" spans="1:1" x14ac:dyDescent="0.25">
      <c r="A377" t="s">
        <v>188</v>
      </c>
    </row>
    <row r="378" spans="1:1" x14ac:dyDescent="0.25">
      <c r="A378" t="s">
        <v>449</v>
      </c>
    </row>
    <row r="379" spans="1:1" x14ac:dyDescent="0.25">
      <c r="A379" t="s">
        <v>448</v>
      </c>
    </row>
    <row r="380" spans="1:1" x14ac:dyDescent="0.25">
      <c r="A380" t="s">
        <v>500</v>
      </c>
    </row>
    <row r="381" spans="1:1" x14ac:dyDescent="0.25">
      <c r="A381" t="s">
        <v>492</v>
      </c>
    </row>
    <row r="382" spans="1:1" x14ac:dyDescent="0.25">
      <c r="A382" t="s">
        <v>490</v>
      </c>
    </row>
    <row r="383" spans="1:1" x14ac:dyDescent="0.25">
      <c r="A383" t="s">
        <v>392</v>
      </c>
    </row>
    <row r="384" spans="1:1" x14ac:dyDescent="0.25">
      <c r="A384" t="s">
        <v>382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20"/>
  <sheetViews>
    <sheetView tabSelected="1" topLeftCell="A90" workbookViewId="0">
      <selection activeCell="F129" sqref="F129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  <col min="7" max="7" width="18.140625" bestFit="1" customWidth="1"/>
    <col min="8" max="8" width="12.140625" style="5" customWidth="1"/>
    <col min="9" max="9" width="16.7109375" bestFit="1" customWidth="1"/>
  </cols>
  <sheetData>
    <row r="1" spans="1:10" x14ac:dyDescent="0.25">
      <c r="A1" s="7" t="s">
        <v>1419</v>
      </c>
      <c r="B1" s="7" t="s">
        <v>1420</v>
      </c>
      <c r="C1" s="7" t="s">
        <v>241</v>
      </c>
      <c r="E1" s="22" t="s">
        <v>869</v>
      </c>
      <c r="F1" s="26" t="s">
        <v>1528</v>
      </c>
      <c r="G1" s="27" t="s">
        <v>1521</v>
      </c>
      <c r="H1" s="27" t="s">
        <v>731</v>
      </c>
      <c r="J1" s="27"/>
    </row>
    <row r="2" spans="1:10" x14ac:dyDescent="0.25">
      <c r="A2" s="5" t="s">
        <v>60</v>
      </c>
      <c r="B2" s="5" t="s">
        <v>61</v>
      </c>
      <c r="C2" s="5" t="s">
        <v>60</v>
      </c>
      <c r="E2" s="5" t="s">
        <v>856</v>
      </c>
      <c r="F2" s="25" t="s">
        <v>870</v>
      </c>
      <c r="I2" s="30"/>
      <c r="J2" s="30"/>
    </row>
    <row r="3" spans="1:10" x14ac:dyDescent="0.25">
      <c r="A3" t="s">
        <v>64</v>
      </c>
      <c r="B3" s="5" t="s">
        <v>63</v>
      </c>
      <c r="C3" s="5" t="s">
        <v>64</v>
      </c>
      <c r="E3" s="5" t="s">
        <v>859</v>
      </c>
      <c r="F3" s="25" t="s">
        <v>924</v>
      </c>
      <c r="I3" s="30"/>
      <c r="J3" s="30"/>
    </row>
    <row r="4" spans="1:10" x14ac:dyDescent="0.25">
      <c r="A4" t="s">
        <v>65</v>
      </c>
      <c r="B4" t="s">
        <v>66</v>
      </c>
      <c r="C4" s="5" t="s">
        <v>65</v>
      </c>
      <c r="E4" s="5" t="s">
        <v>813</v>
      </c>
      <c r="F4" s="25" t="s">
        <v>951</v>
      </c>
    </row>
    <row r="5" spans="1:10" x14ac:dyDescent="0.25">
      <c r="A5" t="s">
        <v>67</v>
      </c>
      <c r="B5" t="s">
        <v>380</v>
      </c>
      <c r="C5" s="5" t="s">
        <v>380</v>
      </c>
      <c r="E5" s="5" t="s">
        <v>814</v>
      </c>
      <c r="F5" s="25" t="s">
        <v>977</v>
      </c>
    </row>
    <row r="6" spans="1:10" x14ac:dyDescent="0.25">
      <c r="A6" t="s">
        <v>68</v>
      </c>
      <c r="B6" t="s">
        <v>69</v>
      </c>
      <c r="C6" s="5" t="s">
        <v>68</v>
      </c>
      <c r="E6" s="5" t="s">
        <v>838</v>
      </c>
      <c r="F6" s="25" t="s">
        <v>979</v>
      </c>
    </row>
    <row r="7" spans="1:10" x14ac:dyDescent="0.25">
      <c r="A7" t="s">
        <v>70</v>
      </c>
      <c r="B7" t="s">
        <v>71</v>
      </c>
      <c r="C7" s="5" t="s">
        <v>70</v>
      </c>
      <c r="E7" s="5" t="s">
        <v>836</v>
      </c>
      <c r="F7" s="25" t="s">
        <v>906</v>
      </c>
      <c r="G7" s="5" t="s">
        <v>906</v>
      </c>
    </row>
    <row r="8" spans="1:10" x14ac:dyDescent="0.25">
      <c r="A8" t="s">
        <v>74</v>
      </c>
      <c r="B8" t="s">
        <v>72</v>
      </c>
      <c r="C8" s="5" t="s">
        <v>74</v>
      </c>
      <c r="E8" s="5" t="s">
        <v>825</v>
      </c>
      <c r="F8" s="25" t="s">
        <v>959</v>
      </c>
    </row>
    <row r="9" spans="1:10" x14ac:dyDescent="0.25">
      <c r="A9" s="5" t="s">
        <v>75</v>
      </c>
      <c r="B9" s="5" t="s">
        <v>76</v>
      </c>
      <c r="C9" s="5" t="s">
        <v>75</v>
      </c>
      <c r="E9" s="5" t="s">
        <v>839</v>
      </c>
      <c r="F9" s="25" t="s">
        <v>964</v>
      </c>
    </row>
    <row r="10" spans="1:10" x14ac:dyDescent="0.25">
      <c r="A10" t="s">
        <v>77</v>
      </c>
      <c r="B10" t="s">
        <v>73</v>
      </c>
      <c r="C10" s="5" t="s">
        <v>77</v>
      </c>
      <c r="E10" s="5" t="s">
        <v>785</v>
      </c>
      <c r="F10" s="25" t="s">
        <v>928</v>
      </c>
    </row>
    <row r="11" spans="1:10" x14ac:dyDescent="0.25">
      <c r="A11" s="5" t="s">
        <v>78</v>
      </c>
      <c r="B11" s="5" t="s">
        <v>62</v>
      </c>
      <c r="C11" s="5" t="s">
        <v>78</v>
      </c>
      <c r="E11" s="5" t="s">
        <v>774</v>
      </c>
      <c r="F11" s="25" t="s">
        <v>918</v>
      </c>
    </row>
    <row r="12" spans="1:10" x14ac:dyDescent="0.25">
      <c r="A12" s="5" t="s">
        <v>79</v>
      </c>
      <c r="B12" s="5" t="s">
        <v>80</v>
      </c>
      <c r="C12" s="5" t="s">
        <v>79</v>
      </c>
      <c r="E12" s="5" t="s">
        <v>865</v>
      </c>
      <c r="F12" s="25" t="s">
        <v>950</v>
      </c>
    </row>
    <row r="13" spans="1:10" x14ac:dyDescent="0.25">
      <c r="A13" t="s">
        <v>100</v>
      </c>
      <c r="B13" t="s">
        <v>101</v>
      </c>
      <c r="C13" s="5" t="s">
        <v>100</v>
      </c>
      <c r="E13" s="5" t="s">
        <v>783</v>
      </c>
      <c r="F13" s="25" t="s">
        <v>873</v>
      </c>
    </row>
    <row r="14" spans="1:10" x14ac:dyDescent="0.25">
      <c r="A14" t="s">
        <v>102</v>
      </c>
      <c r="B14" t="s">
        <v>103</v>
      </c>
      <c r="C14" s="5" t="s">
        <v>102</v>
      </c>
      <c r="E14" s="5" t="s">
        <v>843</v>
      </c>
      <c r="F14" s="25" t="s">
        <v>967</v>
      </c>
    </row>
    <row r="15" spans="1:10" x14ac:dyDescent="0.25">
      <c r="A15" t="s">
        <v>104</v>
      </c>
      <c r="B15" t="s">
        <v>105</v>
      </c>
      <c r="C15" s="5" t="s">
        <v>104</v>
      </c>
      <c r="E15" s="5" t="s">
        <v>867</v>
      </c>
      <c r="F15" s="25" t="s">
        <v>975</v>
      </c>
    </row>
    <row r="16" spans="1:10" x14ac:dyDescent="0.25">
      <c r="A16" t="s">
        <v>106</v>
      </c>
      <c r="B16" t="s">
        <v>107</v>
      </c>
      <c r="C16" s="5" t="s">
        <v>106</v>
      </c>
      <c r="E16" s="5" t="s">
        <v>782</v>
      </c>
      <c r="F16" s="25" t="s">
        <v>926</v>
      </c>
    </row>
    <row r="17" spans="1:11" x14ac:dyDescent="0.25">
      <c r="A17" t="s">
        <v>98</v>
      </c>
      <c r="B17" t="s">
        <v>99</v>
      </c>
      <c r="C17" s="5" t="s">
        <v>98</v>
      </c>
      <c r="E17" s="5" t="s">
        <v>792</v>
      </c>
      <c r="F17" s="25" t="s">
        <v>934</v>
      </c>
    </row>
    <row r="18" spans="1:11" x14ac:dyDescent="0.25">
      <c r="A18" t="s">
        <v>111</v>
      </c>
      <c r="B18" t="s">
        <v>112</v>
      </c>
      <c r="C18" s="5" t="s">
        <v>111</v>
      </c>
      <c r="E18" s="5" t="s">
        <v>786</v>
      </c>
      <c r="F18" s="25" t="s">
        <v>929</v>
      </c>
    </row>
    <row r="19" spans="1:11" x14ac:dyDescent="0.25">
      <c r="A19" t="s">
        <v>113</v>
      </c>
      <c r="B19" t="s">
        <v>114</v>
      </c>
      <c r="C19" s="5" t="s">
        <v>113</v>
      </c>
      <c r="E19" s="5" t="s">
        <v>850</v>
      </c>
      <c r="F19" s="25" t="s">
        <v>915</v>
      </c>
      <c r="G19" s="5" t="s">
        <v>1509</v>
      </c>
    </row>
    <row r="20" spans="1:11" x14ac:dyDescent="0.25">
      <c r="A20" t="s">
        <v>115</v>
      </c>
      <c r="B20" t="s">
        <v>116</v>
      </c>
      <c r="C20" s="5" t="s">
        <v>115</v>
      </c>
      <c r="E20" s="5" t="s">
        <v>845</v>
      </c>
      <c r="F20" s="25" t="s">
        <v>910</v>
      </c>
      <c r="G20" s="5" t="s">
        <v>910</v>
      </c>
    </row>
    <row r="21" spans="1:11" x14ac:dyDescent="0.25">
      <c r="A21" t="s">
        <v>153</v>
      </c>
      <c r="B21" t="s">
        <v>110</v>
      </c>
      <c r="C21" s="5" t="s">
        <v>153</v>
      </c>
      <c r="E21" s="5" t="s">
        <v>795</v>
      </c>
      <c r="F21" s="25" t="s">
        <v>935</v>
      </c>
    </row>
    <row r="22" spans="1:11" x14ac:dyDescent="0.25">
      <c r="A22" s="5" t="s">
        <v>247</v>
      </c>
      <c r="B22" t="s">
        <v>183</v>
      </c>
      <c r="C22" s="5" t="s">
        <v>247</v>
      </c>
      <c r="E22" s="5" t="s">
        <v>796</v>
      </c>
      <c r="F22" s="25" t="s">
        <v>879</v>
      </c>
      <c r="G22" s="5" t="s">
        <v>879</v>
      </c>
    </row>
    <row r="23" spans="1:11" x14ac:dyDescent="0.25">
      <c r="A23" t="s">
        <v>280</v>
      </c>
      <c r="B23" s="15" t="s">
        <v>231</v>
      </c>
      <c r="C23" s="5" t="s">
        <v>280</v>
      </c>
      <c r="E23" s="5" t="s">
        <v>815</v>
      </c>
      <c r="F23" s="25" t="s">
        <v>957</v>
      </c>
    </row>
    <row r="24" spans="1:11" x14ac:dyDescent="0.25">
      <c r="A24" s="15" t="s">
        <v>255</v>
      </c>
      <c r="B24" s="15" t="s">
        <v>256</v>
      </c>
      <c r="C24" s="15" t="s">
        <v>255</v>
      </c>
      <c r="E24" s="5" t="s">
        <v>816</v>
      </c>
      <c r="F24" s="25" t="s">
        <v>952</v>
      </c>
    </row>
    <row r="25" spans="1:11" x14ac:dyDescent="0.25">
      <c r="A25" s="15" t="s">
        <v>281</v>
      </c>
      <c r="B25" s="15" t="s">
        <v>281</v>
      </c>
      <c r="C25" t="s">
        <v>282</v>
      </c>
      <c r="E25" s="5" t="s">
        <v>829</v>
      </c>
      <c r="F25" s="25" t="s">
        <v>901</v>
      </c>
    </row>
    <row r="26" spans="1:11" x14ac:dyDescent="0.25">
      <c r="A26" s="15" t="s">
        <v>180</v>
      </c>
      <c r="B26" s="15" t="s">
        <v>180</v>
      </c>
      <c r="C26" s="5" t="s">
        <v>284</v>
      </c>
      <c r="E26" s="5" t="s">
        <v>799</v>
      </c>
      <c r="F26" s="25" t="s">
        <v>937</v>
      </c>
    </row>
    <row r="27" spans="1:11" x14ac:dyDescent="0.25">
      <c r="A27" s="15" t="s">
        <v>283</v>
      </c>
      <c r="B27" s="15" t="s">
        <v>283</v>
      </c>
      <c r="C27" s="5" t="s">
        <v>283</v>
      </c>
      <c r="E27" s="5" t="s">
        <v>830</v>
      </c>
      <c r="F27" s="25" t="s">
        <v>902</v>
      </c>
      <c r="G27" s="5" t="s">
        <v>902</v>
      </c>
    </row>
    <row r="28" spans="1:11" ht="15.75" customHeight="1" x14ac:dyDescent="0.25">
      <c r="A28" s="15" t="s">
        <v>288</v>
      </c>
      <c r="B28" s="15" t="s">
        <v>288</v>
      </c>
      <c r="C28" s="5" t="s">
        <v>285</v>
      </c>
      <c r="E28" s="5" t="s">
        <v>862</v>
      </c>
      <c r="F28" s="25" t="s">
        <v>941</v>
      </c>
    </row>
    <row r="29" spans="1:11" x14ac:dyDescent="0.25">
      <c r="A29" t="s">
        <v>286</v>
      </c>
      <c r="B29" s="15" t="s">
        <v>289</v>
      </c>
      <c r="C29" s="5" t="s">
        <v>286</v>
      </c>
      <c r="E29" s="5" t="s">
        <v>860</v>
      </c>
      <c r="F29" s="25" t="s">
        <v>925</v>
      </c>
    </row>
    <row r="30" spans="1:11" x14ac:dyDescent="0.25">
      <c r="A30" s="15" t="s">
        <v>290</v>
      </c>
      <c r="B30" s="15" t="s">
        <v>290</v>
      </c>
      <c r="C30" s="5" t="s">
        <v>290</v>
      </c>
      <c r="E30" s="5" t="s">
        <v>826</v>
      </c>
      <c r="F30" s="25" t="s">
        <v>960</v>
      </c>
      <c r="I30" s="30"/>
      <c r="K30" s="30"/>
    </row>
    <row r="31" spans="1:11" x14ac:dyDescent="0.25">
      <c r="A31" s="15" t="s">
        <v>291</v>
      </c>
      <c r="B31" s="15" t="s">
        <v>291</v>
      </c>
      <c r="C31" s="5" t="s">
        <v>291</v>
      </c>
      <c r="E31" s="5" t="s">
        <v>855</v>
      </c>
      <c r="F31" s="25" t="s">
        <v>974</v>
      </c>
      <c r="I31" s="30"/>
      <c r="K31" s="30"/>
    </row>
    <row r="32" spans="1:11" x14ac:dyDescent="0.25">
      <c r="A32" s="15"/>
      <c r="E32" s="25" t="s">
        <v>822</v>
      </c>
      <c r="F32" s="25" t="s">
        <v>895</v>
      </c>
      <c r="I32" s="30"/>
      <c r="K32" s="30"/>
    </row>
    <row r="33" spans="5:11" x14ac:dyDescent="0.25">
      <c r="E33" s="5" t="s">
        <v>787</v>
      </c>
      <c r="F33" s="25" t="s">
        <v>930</v>
      </c>
      <c r="I33" s="30"/>
      <c r="K33" s="30"/>
    </row>
    <row r="34" spans="5:11" x14ac:dyDescent="0.25">
      <c r="E34" s="5" t="s">
        <v>804</v>
      </c>
      <c r="F34" s="25" t="s">
        <v>943</v>
      </c>
      <c r="I34" s="30"/>
      <c r="K34" s="30"/>
    </row>
    <row r="35" spans="5:11" x14ac:dyDescent="0.25">
      <c r="E35" s="5" t="s">
        <v>810</v>
      </c>
      <c r="F35" s="25" t="s">
        <v>948</v>
      </c>
      <c r="I35" s="30"/>
      <c r="K35" s="30"/>
    </row>
    <row r="36" spans="5:11" x14ac:dyDescent="0.25">
      <c r="E36" s="5" t="s">
        <v>775</v>
      </c>
      <c r="F36" s="25" t="s">
        <v>919</v>
      </c>
    </row>
    <row r="37" spans="5:11" x14ac:dyDescent="0.25">
      <c r="E37" s="5" t="s">
        <v>788</v>
      </c>
      <c r="F37" s="25" t="s">
        <v>931</v>
      </c>
    </row>
    <row r="38" spans="5:11" x14ac:dyDescent="0.25">
      <c r="E38" s="5" t="s">
        <v>828</v>
      </c>
      <c r="F38" s="25" t="s">
        <v>962</v>
      </c>
    </row>
    <row r="39" spans="5:11" x14ac:dyDescent="0.25">
      <c r="E39" s="5" t="s">
        <v>833</v>
      </c>
      <c r="F39" s="25" t="s">
        <v>963</v>
      </c>
    </row>
    <row r="40" spans="5:11" x14ac:dyDescent="0.25">
      <c r="E40" s="5" t="s">
        <v>851</v>
      </c>
      <c r="F40" s="25" t="s">
        <v>851</v>
      </c>
    </row>
    <row r="41" spans="5:11" x14ac:dyDescent="0.25">
      <c r="E41" s="5" t="s">
        <v>840</v>
      </c>
      <c r="F41" s="25" t="s">
        <v>908</v>
      </c>
    </row>
    <row r="42" spans="5:11" x14ac:dyDescent="0.25">
      <c r="E42" s="5" t="s">
        <v>777</v>
      </c>
      <c r="F42" s="25" t="s">
        <v>871</v>
      </c>
      <c r="G42" s="5" t="s">
        <v>871</v>
      </c>
    </row>
    <row r="43" spans="5:11" x14ac:dyDescent="0.25">
      <c r="E43" s="5" t="s">
        <v>791</v>
      </c>
      <c r="F43" s="25" t="s">
        <v>933</v>
      </c>
    </row>
    <row r="44" spans="5:11" x14ac:dyDescent="0.25">
      <c r="E44" s="5" t="s">
        <v>802</v>
      </c>
      <c r="F44" s="25" t="s">
        <v>939</v>
      </c>
    </row>
    <row r="45" spans="5:11" x14ac:dyDescent="0.25">
      <c r="E45" s="5" t="s">
        <v>841</v>
      </c>
      <c r="F45" s="25" t="s">
        <v>965</v>
      </c>
    </row>
    <row r="46" spans="5:11" x14ac:dyDescent="0.25">
      <c r="E46" s="5" t="s">
        <v>793</v>
      </c>
      <c r="F46" s="25" t="s">
        <v>876</v>
      </c>
      <c r="G46" s="5" t="s">
        <v>876</v>
      </c>
    </row>
    <row r="47" spans="5:11" x14ac:dyDescent="0.25">
      <c r="E47" s="5" t="s">
        <v>779</v>
      </c>
      <c r="F47" s="25" t="s">
        <v>880</v>
      </c>
      <c r="G47" s="5" t="s">
        <v>880</v>
      </c>
    </row>
    <row r="48" spans="5:11" x14ac:dyDescent="0.25">
      <c r="E48" s="5" t="s">
        <v>827</v>
      </c>
      <c r="F48" s="25" t="s">
        <v>961</v>
      </c>
    </row>
    <row r="49" spans="5:7" x14ac:dyDescent="0.25">
      <c r="E49" s="5" t="s">
        <v>852</v>
      </c>
      <c r="F49" s="25" t="s">
        <v>971</v>
      </c>
    </row>
    <row r="50" spans="5:7" x14ac:dyDescent="0.25">
      <c r="E50" s="5" t="s">
        <v>821</v>
      </c>
      <c r="F50" s="25" t="s">
        <v>894</v>
      </c>
    </row>
    <row r="51" spans="5:7" x14ac:dyDescent="0.25">
      <c r="E51" s="5" t="s">
        <v>835</v>
      </c>
      <c r="F51" s="25" t="s">
        <v>904</v>
      </c>
    </row>
    <row r="52" spans="5:7" x14ac:dyDescent="0.25">
      <c r="E52" s="5" t="s">
        <v>806</v>
      </c>
      <c r="F52" s="25" t="s">
        <v>889</v>
      </c>
      <c r="G52" s="5" t="s">
        <v>889</v>
      </c>
    </row>
    <row r="53" spans="5:7" x14ac:dyDescent="0.25">
      <c r="E53" s="5" t="s">
        <v>797</v>
      </c>
      <c r="F53" s="25" t="s">
        <v>877</v>
      </c>
    </row>
    <row r="54" spans="5:7" x14ac:dyDescent="0.25">
      <c r="E54" s="5" t="s">
        <v>847</v>
      </c>
      <c r="F54" s="25" t="s">
        <v>970</v>
      </c>
    </row>
    <row r="55" spans="5:7" x14ac:dyDescent="0.25">
      <c r="E55" s="5" t="s">
        <v>817</v>
      </c>
      <c r="F55" s="25" t="s">
        <v>953</v>
      </c>
    </row>
    <row r="56" spans="5:7" x14ac:dyDescent="0.25">
      <c r="E56" s="5" t="s">
        <v>809</v>
      </c>
      <c r="F56" s="25" t="s">
        <v>947</v>
      </c>
    </row>
    <row r="57" spans="5:7" x14ac:dyDescent="0.25">
      <c r="E57" s="5" t="s">
        <v>807</v>
      </c>
      <c r="F57" s="25" t="s">
        <v>890</v>
      </c>
      <c r="G57" s="5" t="s">
        <v>890</v>
      </c>
    </row>
    <row r="58" spans="5:7" x14ac:dyDescent="0.25">
      <c r="E58" s="5" t="s">
        <v>824</v>
      </c>
      <c r="F58" s="25" t="s">
        <v>958</v>
      </c>
    </row>
    <row r="59" spans="5:7" x14ac:dyDescent="0.25">
      <c r="E59" s="5" t="s">
        <v>789</v>
      </c>
      <c r="F59" s="25" t="s">
        <v>932</v>
      </c>
    </row>
    <row r="60" spans="5:7" x14ac:dyDescent="0.25">
      <c r="E60" s="5" t="s">
        <v>866</v>
      </c>
      <c r="F60" s="25" t="s">
        <v>972</v>
      </c>
    </row>
    <row r="61" spans="5:7" x14ac:dyDescent="0.25">
      <c r="E61" s="5" t="s">
        <v>844</v>
      </c>
      <c r="F61" s="25" t="s">
        <v>968</v>
      </c>
    </row>
    <row r="62" spans="5:7" x14ac:dyDescent="0.25">
      <c r="E62" s="5" t="s">
        <v>849</v>
      </c>
      <c r="F62" s="25" t="s">
        <v>914</v>
      </c>
      <c r="G62" t="s">
        <v>914</v>
      </c>
    </row>
    <row r="63" spans="5:7" x14ac:dyDescent="0.25">
      <c r="E63" s="5" t="s">
        <v>831</v>
      </c>
      <c r="F63" s="25" t="s">
        <v>903</v>
      </c>
    </row>
    <row r="64" spans="5:7" x14ac:dyDescent="0.25">
      <c r="E64" s="5" t="s">
        <v>834</v>
      </c>
      <c r="F64" s="25" t="s">
        <v>900</v>
      </c>
      <c r="G64" s="29" t="s">
        <v>900</v>
      </c>
    </row>
    <row r="65" spans="5:7" x14ac:dyDescent="0.25">
      <c r="E65" s="5" t="s">
        <v>812</v>
      </c>
      <c r="F65" s="25" t="s">
        <v>887</v>
      </c>
      <c r="G65" t="s">
        <v>1511</v>
      </c>
    </row>
    <row r="66" spans="5:7" x14ac:dyDescent="0.25">
      <c r="E66" s="5" t="s">
        <v>823</v>
      </c>
      <c r="F66" s="25" t="s">
        <v>898</v>
      </c>
      <c r="G66" s="29" t="s">
        <v>898</v>
      </c>
    </row>
    <row r="67" spans="5:7" x14ac:dyDescent="0.25">
      <c r="E67" s="5" t="s">
        <v>798</v>
      </c>
      <c r="F67" s="25" t="s">
        <v>936</v>
      </c>
    </row>
    <row r="68" spans="5:7" x14ac:dyDescent="0.25">
      <c r="E68" s="5" t="s">
        <v>780</v>
      </c>
      <c r="F68" s="25" t="s">
        <v>976</v>
      </c>
    </row>
    <row r="69" spans="5:7" x14ac:dyDescent="0.25">
      <c r="E69" s="5" t="s">
        <v>784</v>
      </c>
      <c r="F69" s="25" t="s">
        <v>927</v>
      </c>
    </row>
    <row r="70" spans="5:7" x14ac:dyDescent="0.25">
      <c r="E70" s="5" t="s">
        <v>864</v>
      </c>
      <c r="F70" s="25" t="s">
        <v>946</v>
      </c>
    </row>
    <row r="71" spans="5:7" x14ac:dyDescent="0.25">
      <c r="E71" s="5" t="s">
        <v>837</v>
      </c>
      <c r="F71" s="25" t="s">
        <v>978</v>
      </c>
    </row>
    <row r="72" spans="5:7" x14ac:dyDescent="0.25">
      <c r="E72" s="5" t="s">
        <v>842</v>
      </c>
      <c r="F72" s="25" t="s">
        <v>966</v>
      </c>
    </row>
    <row r="73" spans="5:7" x14ac:dyDescent="0.25">
      <c r="E73" s="5" t="s">
        <v>846</v>
      </c>
      <c r="F73" s="25" t="s">
        <v>969</v>
      </c>
    </row>
    <row r="74" spans="5:7" x14ac:dyDescent="0.25">
      <c r="E74" s="5" t="s">
        <v>857</v>
      </c>
      <c r="F74" s="25" t="s">
        <v>921</v>
      </c>
    </row>
    <row r="75" spans="5:7" x14ac:dyDescent="0.25">
      <c r="E75" s="5" t="s">
        <v>781</v>
      </c>
      <c r="F75" s="25" t="s">
        <v>923</v>
      </c>
    </row>
    <row r="76" spans="5:7" x14ac:dyDescent="0.25">
      <c r="E76" s="5" t="s">
        <v>800</v>
      </c>
      <c r="F76" s="25" t="s">
        <v>938</v>
      </c>
    </row>
    <row r="77" spans="5:7" x14ac:dyDescent="0.25">
      <c r="E77" s="5" t="s">
        <v>803</v>
      </c>
      <c r="F77" s="25" t="s">
        <v>942</v>
      </c>
    </row>
    <row r="78" spans="5:7" x14ac:dyDescent="0.25">
      <c r="E78" s="5" t="s">
        <v>818</v>
      </c>
      <c r="F78" s="25" t="s">
        <v>954</v>
      </c>
    </row>
    <row r="79" spans="5:7" x14ac:dyDescent="0.25">
      <c r="E79" s="5" t="s">
        <v>808</v>
      </c>
      <c r="F79" s="25" t="s">
        <v>888</v>
      </c>
      <c r="G79" s="5" t="s">
        <v>888</v>
      </c>
    </row>
    <row r="80" spans="5:7" x14ac:dyDescent="0.25">
      <c r="E80" s="5" t="s">
        <v>819</v>
      </c>
      <c r="F80" s="25" t="s">
        <v>955</v>
      </c>
    </row>
    <row r="81" spans="5:7" x14ac:dyDescent="0.25">
      <c r="E81" s="5" t="s">
        <v>861</v>
      </c>
      <c r="F81" s="25" t="s">
        <v>875</v>
      </c>
    </row>
    <row r="82" spans="5:7" x14ac:dyDescent="0.25">
      <c r="E82" s="5" t="s">
        <v>776</v>
      </c>
      <c r="F82" s="25" t="s">
        <v>920</v>
      </c>
    </row>
    <row r="83" spans="5:7" x14ac:dyDescent="0.25">
      <c r="E83" s="5" t="s">
        <v>863</v>
      </c>
      <c r="F83" s="25" t="s">
        <v>944</v>
      </c>
    </row>
    <row r="84" spans="5:7" x14ac:dyDescent="0.25">
      <c r="E84" s="5" t="s">
        <v>868</v>
      </c>
      <c r="F84" s="25" t="s">
        <v>917</v>
      </c>
    </row>
    <row r="85" spans="5:7" x14ac:dyDescent="0.25">
      <c r="E85" s="5" t="s">
        <v>790</v>
      </c>
      <c r="F85" s="25" t="s">
        <v>874</v>
      </c>
    </row>
    <row r="86" spans="5:7" x14ac:dyDescent="0.25">
      <c r="E86" s="5" t="s">
        <v>858</v>
      </c>
      <c r="F86" s="25" t="s">
        <v>922</v>
      </c>
    </row>
    <row r="87" spans="5:7" x14ac:dyDescent="0.25">
      <c r="E87" s="25" t="s">
        <v>805</v>
      </c>
      <c r="F87" s="25" t="s">
        <v>945</v>
      </c>
    </row>
    <row r="88" spans="5:7" x14ac:dyDescent="0.25">
      <c r="E88" s="5" t="s">
        <v>794</v>
      </c>
      <c r="F88" s="25" t="s">
        <v>878</v>
      </c>
      <c r="G88" s="29" t="s">
        <v>878</v>
      </c>
    </row>
    <row r="89" spans="5:7" x14ac:dyDescent="0.25">
      <c r="E89" s="25" t="s">
        <v>811</v>
      </c>
      <c r="F89" s="25" t="s">
        <v>949</v>
      </c>
    </row>
    <row r="90" spans="5:7" x14ac:dyDescent="0.25">
      <c r="E90" s="5" t="s">
        <v>853</v>
      </c>
      <c r="F90" s="25" t="s">
        <v>916</v>
      </c>
    </row>
    <row r="91" spans="5:7" x14ac:dyDescent="0.25">
      <c r="E91" s="5" t="s">
        <v>848</v>
      </c>
      <c r="F91" s="25" t="s">
        <v>913</v>
      </c>
      <c r="G91" s="32" t="s">
        <v>913</v>
      </c>
    </row>
    <row r="92" spans="5:7" x14ac:dyDescent="0.25">
      <c r="E92" s="5" t="s">
        <v>832</v>
      </c>
      <c r="F92" s="25" t="s">
        <v>899</v>
      </c>
    </row>
    <row r="93" spans="5:7" x14ac:dyDescent="0.25">
      <c r="E93" s="5" t="s">
        <v>820</v>
      </c>
      <c r="F93" s="25" t="s">
        <v>956</v>
      </c>
    </row>
    <row r="94" spans="5:7" x14ac:dyDescent="0.25">
      <c r="E94" s="5" t="s">
        <v>854</v>
      </c>
      <c r="F94" s="25" t="s">
        <v>973</v>
      </c>
    </row>
    <row r="95" spans="5:7" x14ac:dyDescent="0.25">
      <c r="E95" s="5" t="s">
        <v>778</v>
      </c>
      <c r="F95" s="25" t="s">
        <v>872</v>
      </c>
    </row>
    <row r="96" spans="5:7" x14ac:dyDescent="0.25">
      <c r="E96" s="5" t="s">
        <v>801</v>
      </c>
      <c r="F96" s="25" t="s">
        <v>882</v>
      </c>
      <c r="G96" s="32" t="s">
        <v>882</v>
      </c>
    </row>
    <row r="97" spans="5:7" x14ac:dyDescent="0.25">
      <c r="E97" t="s">
        <v>1462</v>
      </c>
      <c r="F97" t="s">
        <v>1463</v>
      </c>
    </row>
    <row r="98" spans="5:7" x14ac:dyDescent="0.25">
      <c r="E98" t="s">
        <v>1464</v>
      </c>
      <c r="F98" t="s">
        <v>1465</v>
      </c>
    </row>
    <row r="99" spans="5:7" x14ac:dyDescent="0.25">
      <c r="E99" t="s">
        <v>1466</v>
      </c>
      <c r="F99" t="s">
        <v>1467</v>
      </c>
    </row>
    <row r="100" spans="5:7" x14ac:dyDescent="0.25">
      <c r="E100" t="s">
        <v>1468</v>
      </c>
      <c r="F100" t="s">
        <v>1469</v>
      </c>
    </row>
    <row r="101" spans="5:7" x14ac:dyDescent="0.25">
      <c r="E101" t="s">
        <v>1470</v>
      </c>
      <c r="F101" t="s">
        <v>1471</v>
      </c>
      <c r="G101" s="25" t="s">
        <v>1471</v>
      </c>
    </row>
    <row r="102" spans="5:7" x14ac:dyDescent="0.25">
      <c r="E102" t="s">
        <v>1472</v>
      </c>
      <c r="F102" t="s">
        <v>1473</v>
      </c>
    </row>
    <row r="103" spans="5:7" x14ac:dyDescent="0.25">
      <c r="E103" t="s">
        <v>1474</v>
      </c>
      <c r="F103" t="s">
        <v>1475</v>
      </c>
      <c r="G103" s="5" t="s">
        <v>1475</v>
      </c>
    </row>
    <row r="104" spans="5:7" x14ac:dyDescent="0.25">
      <c r="E104" t="s">
        <v>1476</v>
      </c>
      <c r="F104" t="s">
        <v>1477</v>
      </c>
    </row>
    <row r="105" spans="5:7" x14ac:dyDescent="0.25">
      <c r="E105" t="s">
        <v>1478</v>
      </c>
      <c r="F105" t="s">
        <v>1479</v>
      </c>
      <c r="G105" s="25" t="s">
        <v>1479</v>
      </c>
    </row>
    <row r="106" spans="5:7" x14ac:dyDescent="0.25">
      <c r="E106" t="s">
        <v>1480</v>
      </c>
      <c r="F106" t="s">
        <v>1481</v>
      </c>
    </row>
    <row r="107" spans="5:7" x14ac:dyDescent="0.25">
      <c r="E107" t="s">
        <v>1482</v>
      </c>
      <c r="F107" t="s">
        <v>1483</v>
      </c>
    </row>
    <row r="108" spans="5:7" x14ac:dyDescent="0.25">
      <c r="E108" t="s">
        <v>1484</v>
      </c>
      <c r="F108" t="s">
        <v>1485</v>
      </c>
    </row>
    <row r="109" spans="5:7" x14ac:dyDescent="0.25">
      <c r="E109" t="s">
        <v>1486</v>
      </c>
      <c r="F109" t="s">
        <v>1487</v>
      </c>
    </row>
    <row r="110" spans="5:7" x14ac:dyDescent="0.25">
      <c r="E110" t="s">
        <v>1488</v>
      </c>
      <c r="F110" t="s">
        <v>1489</v>
      </c>
    </row>
    <row r="111" spans="5:7" x14ac:dyDescent="0.25">
      <c r="E111" t="s">
        <v>1490</v>
      </c>
      <c r="F111" t="s">
        <v>1491</v>
      </c>
    </row>
    <row r="112" spans="5:7" x14ac:dyDescent="0.25">
      <c r="E112" t="s">
        <v>1492</v>
      </c>
      <c r="F112" t="s">
        <v>1493</v>
      </c>
    </row>
    <row r="113" spans="5:9" x14ac:dyDescent="0.25">
      <c r="E113" s="30" t="s">
        <v>1520</v>
      </c>
      <c r="F113" s="30"/>
      <c r="G113" s="30" t="s">
        <v>1510</v>
      </c>
    </row>
    <row r="114" spans="5:9" x14ac:dyDescent="0.25">
      <c r="E114" s="30" t="s">
        <v>1519</v>
      </c>
      <c r="F114" s="30"/>
      <c r="G114" s="30" t="s">
        <v>1515</v>
      </c>
    </row>
    <row r="115" spans="5:9" x14ac:dyDescent="0.25">
      <c r="E115" s="30" t="s">
        <v>1518</v>
      </c>
      <c r="F115" s="30"/>
      <c r="G115" s="30" t="s">
        <v>1513</v>
      </c>
    </row>
    <row r="116" spans="5:9" x14ac:dyDescent="0.25">
      <c r="E116" s="30" t="s">
        <v>1516</v>
      </c>
      <c r="F116" s="30"/>
      <c r="G116" s="30" t="s">
        <v>1512</v>
      </c>
    </row>
    <row r="117" spans="5:9" x14ac:dyDescent="0.25">
      <c r="E117" s="30" t="s">
        <v>834</v>
      </c>
      <c r="F117" s="30"/>
      <c r="G117" s="30" t="s">
        <v>900</v>
      </c>
    </row>
    <row r="118" spans="5:9" x14ac:dyDescent="0.25">
      <c r="E118" s="30" t="s">
        <v>1517</v>
      </c>
      <c r="F118" s="30"/>
      <c r="G118" s="30" t="s">
        <v>1514</v>
      </c>
    </row>
    <row r="119" spans="5:9" x14ac:dyDescent="0.25">
      <c r="E119" s="30" t="s">
        <v>1526</v>
      </c>
      <c r="F119" s="30" t="s">
        <v>1526</v>
      </c>
      <c r="H119" s="30" t="s">
        <v>1523</v>
      </c>
      <c r="I119" s="30"/>
    </row>
    <row r="120" spans="5:9" x14ac:dyDescent="0.25">
      <c r="E120" s="30" t="s">
        <v>1525</v>
      </c>
      <c r="F120" s="30" t="s">
        <v>1525</v>
      </c>
      <c r="H120" s="30" t="s">
        <v>1524</v>
      </c>
      <c r="I120" s="30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2"/>
  <sheetViews>
    <sheetView workbookViewId="0">
      <selection activeCell="G25" sqref="G25"/>
    </sheetView>
  </sheetViews>
  <sheetFormatPr defaultRowHeight="15" x14ac:dyDescent="0.25"/>
  <cols>
    <col min="1" max="1" width="26.5703125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16" s="5" customFormat="1" x14ac:dyDescent="0.25">
      <c r="A1" s="5" t="s">
        <v>164</v>
      </c>
      <c r="B1" s="5" t="s">
        <v>165</v>
      </c>
      <c r="C1" s="5" t="s">
        <v>166</v>
      </c>
      <c r="D1" s="5" t="s">
        <v>1460</v>
      </c>
      <c r="E1" s="5" t="s">
        <v>1461</v>
      </c>
      <c r="F1" s="5" t="s">
        <v>167</v>
      </c>
    </row>
    <row r="2" spans="1:16" x14ac:dyDescent="0.25">
      <c r="A2" t="s">
        <v>3886</v>
      </c>
      <c r="B2">
        <v>609</v>
      </c>
      <c r="C2" t="s">
        <v>726</v>
      </c>
      <c r="D2" s="9">
        <v>3.1881348350300001</v>
      </c>
      <c r="E2" s="9">
        <v>-9.0102838866600005E-2</v>
      </c>
      <c r="F2">
        <v>2600</v>
      </c>
      <c r="J2" s="30" t="s">
        <v>1533</v>
      </c>
    </row>
    <row r="3" spans="1:16" x14ac:dyDescent="0.25">
      <c r="A3" t="s">
        <v>3884</v>
      </c>
      <c r="B3">
        <v>611</v>
      </c>
      <c r="C3" t="s">
        <v>727</v>
      </c>
      <c r="D3" s="9">
        <v>2.0956577616800001</v>
      </c>
      <c r="E3" s="9">
        <v>-9.4120935653599996E-2</v>
      </c>
      <c r="F3">
        <v>3200</v>
      </c>
      <c r="J3" s="30" t="s">
        <v>1534</v>
      </c>
    </row>
    <row r="4" spans="1:16" x14ac:dyDescent="0.25">
      <c r="A4" t="s">
        <v>1540</v>
      </c>
      <c r="B4">
        <v>609</v>
      </c>
      <c r="C4" t="s">
        <v>728</v>
      </c>
      <c r="D4" s="9">
        <v>2.8533824025599999</v>
      </c>
      <c r="E4" s="9">
        <v>-0.56428615804799998</v>
      </c>
      <c r="F4">
        <v>3400</v>
      </c>
      <c r="J4" s="30" t="s">
        <v>1535</v>
      </c>
    </row>
    <row r="5" spans="1:16" x14ac:dyDescent="0.25">
      <c r="A5" t="s">
        <v>3887</v>
      </c>
      <c r="B5">
        <v>620</v>
      </c>
      <c r="C5" t="s">
        <v>154</v>
      </c>
      <c r="D5" s="9">
        <v>2.4606002111</v>
      </c>
      <c r="E5" s="9">
        <v>-9.8209765914000005E-2</v>
      </c>
      <c r="F5">
        <v>4200</v>
      </c>
      <c r="J5" s="30" t="s">
        <v>1536</v>
      </c>
    </row>
    <row r="6" spans="1:16" x14ac:dyDescent="0.25">
      <c r="A6" t="s">
        <v>3881</v>
      </c>
      <c r="B6">
        <v>618</v>
      </c>
      <c r="C6" t="s">
        <v>729</v>
      </c>
      <c r="D6" s="9">
        <v>2.6683201431699999</v>
      </c>
      <c r="E6" s="9">
        <v>-0.32188451463500001</v>
      </c>
      <c r="F6">
        <v>3000</v>
      </c>
      <c r="J6" s="30" t="s">
        <v>1537</v>
      </c>
    </row>
    <row r="7" spans="1:16" x14ac:dyDescent="0.25">
      <c r="A7" t="s">
        <v>3880</v>
      </c>
      <c r="B7">
        <v>609</v>
      </c>
      <c r="C7" t="s">
        <v>724</v>
      </c>
      <c r="D7" s="9">
        <v>10.667451057799999</v>
      </c>
      <c r="E7" s="9">
        <v>-5.1656525397599999</v>
      </c>
      <c r="F7">
        <v>9600</v>
      </c>
      <c r="J7" s="30" t="s">
        <v>1538</v>
      </c>
    </row>
    <row r="8" spans="1:16" x14ac:dyDescent="0.25">
      <c r="A8" t="s">
        <v>3885</v>
      </c>
      <c r="B8">
        <v>609</v>
      </c>
      <c r="C8" t="s">
        <v>729</v>
      </c>
      <c r="D8" s="9">
        <v>3.1154368791499998</v>
      </c>
      <c r="E8" s="9">
        <v>-0.273922077677</v>
      </c>
      <c r="F8">
        <v>2500</v>
      </c>
      <c r="J8" s="30" t="s">
        <v>1539</v>
      </c>
    </row>
    <row r="9" spans="1:16" x14ac:dyDescent="0.25">
      <c r="A9" t="s">
        <v>3883</v>
      </c>
      <c r="B9">
        <v>611</v>
      </c>
      <c r="C9" t="s">
        <v>729</v>
      </c>
      <c r="D9" s="9">
        <v>1.94068166678</v>
      </c>
      <c r="E9" s="9">
        <v>-0.14802496341999999</v>
      </c>
      <c r="F9">
        <v>3100</v>
      </c>
      <c r="J9" s="30" t="s">
        <v>1540</v>
      </c>
    </row>
    <row r="10" spans="1:16" x14ac:dyDescent="0.25">
      <c r="A10" t="s">
        <v>3882</v>
      </c>
      <c r="B10">
        <v>618</v>
      </c>
      <c r="C10" t="s">
        <v>725</v>
      </c>
      <c r="D10" s="9">
        <v>3.1087145828099998</v>
      </c>
      <c r="E10" s="9">
        <v>8.2511091291300007E-2</v>
      </c>
      <c r="F10">
        <v>3400</v>
      </c>
      <c r="J10" s="30" t="s">
        <v>1541</v>
      </c>
    </row>
    <row r="11" spans="1:16" x14ac:dyDescent="0.25">
      <c r="D11" s="9"/>
      <c r="E11" s="9"/>
    </row>
    <row r="12" spans="1:16" x14ac:dyDescent="0.25">
      <c r="H12" s="30"/>
      <c r="I12" s="30"/>
      <c r="J12" s="30"/>
      <c r="K12" s="30"/>
      <c r="L12" s="30"/>
      <c r="M12" s="30"/>
      <c r="N12" s="30"/>
      <c r="O12" s="30"/>
      <c r="P12" s="30"/>
    </row>
    <row r="14" spans="1:16" x14ac:dyDescent="0.25">
      <c r="A14" s="5"/>
    </row>
    <row r="15" spans="1:16" x14ac:dyDescent="0.25">
      <c r="A15" s="5"/>
    </row>
    <row r="16" spans="1:1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18" sqref="C18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312</v>
      </c>
      <c r="B1" s="16" t="s">
        <v>311</v>
      </c>
      <c r="C1" s="5" t="s">
        <v>108</v>
      </c>
      <c r="D1" s="5" t="s">
        <v>314</v>
      </c>
      <c r="E1" t="s">
        <v>118</v>
      </c>
      <c r="F1" t="s">
        <v>119</v>
      </c>
      <c r="G1" t="s">
        <v>313</v>
      </c>
    </row>
    <row r="2" spans="1:7" s="5" customFormat="1" x14ac:dyDescent="0.25">
      <c r="A2" s="5">
        <v>10196255</v>
      </c>
      <c r="B2" s="16">
        <v>42034</v>
      </c>
      <c r="C2" s="5" t="s">
        <v>222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223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306</v>
      </c>
      <c r="C4" t="s">
        <v>307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306</v>
      </c>
      <c r="C5" t="s">
        <v>308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306</v>
      </c>
      <c r="C6" t="s">
        <v>310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306</v>
      </c>
      <c r="C7" t="s">
        <v>309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319</v>
      </c>
      <c r="C8" s="1" t="s">
        <v>320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319</v>
      </c>
      <c r="C9" t="s">
        <v>321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319</v>
      </c>
      <c r="C10" t="s">
        <v>322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319</v>
      </c>
      <c r="C11" t="s">
        <v>323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319</v>
      </c>
      <c r="C12" t="s">
        <v>324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319</v>
      </c>
      <c r="C13" t="s">
        <v>325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319</v>
      </c>
      <c r="C14" t="s">
        <v>326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319</v>
      </c>
      <c r="C15" t="s">
        <v>327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319</v>
      </c>
      <c r="C16" t="s">
        <v>328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319</v>
      </c>
      <c r="C17" t="s">
        <v>329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319</v>
      </c>
      <c r="C18" t="s">
        <v>330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319</v>
      </c>
      <c r="C19" t="s">
        <v>324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319</v>
      </c>
      <c r="C20" t="s">
        <v>331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312</v>
      </c>
      <c r="B1" s="5" t="s">
        <v>117</v>
      </c>
      <c r="C1" s="5" t="s">
        <v>163</v>
      </c>
      <c r="D1" s="5" t="s">
        <v>109</v>
      </c>
      <c r="E1" t="s">
        <v>118</v>
      </c>
      <c r="F1" t="s">
        <v>119</v>
      </c>
      <c r="G1" s="5" t="s">
        <v>224</v>
      </c>
      <c r="H1" s="5" t="s">
        <v>160</v>
      </c>
      <c r="I1" s="5" t="s">
        <v>242</v>
      </c>
      <c r="J1" s="14" t="s">
        <v>120</v>
      </c>
      <c r="K1" s="14" t="s">
        <v>294</v>
      </c>
      <c r="L1" s="5" t="s">
        <v>173</v>
      </c>
      <c r="M1" s="5" t="s">
        <v>172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1"/>
  <sheetViews>
    <sheetView topLeftCell="C1" zoomScale="85" zoomScaleNormal="85" workbookViewId="0">
      <selection activeCell="L33" sqref="L33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1" max="11" width="18.140625" bestFit="1" customWidth="1"/>
    <col min="12" max="13" width="18.140625" style="30" customWidth="1"/>
    <col min="14" max="14" width="19.42578125" bestFit="1" customWidth="1"/>
    <col min="15" max="15" width="17.5703125" bestFit="1" customWidth="1"/>
  </cols>
  <sheetData>
    <row r="1" spans="1:18" x14ac:dyDescent="0.25">
      <c r="A1" t="s">
        <v>122</v>
      </c>
      <c r="B1" t="s">
        <v>121</v>
      </c>
      <c r="C1" t="s">
        <v>1417</v>
      </c>
      <c r="F1" s="5" t="s">
        <v>122</v>
      </c>
      <c r="G1" s="5" t="s">
        <v>1416</v>
      </c>
      <c r="H1" s="5" t="s">
        <v>1457</v>
      </c>
      <c r="I1" s="5" t="s">
        <v>1494</v>
      </c>
      <c r="J1" t="s">
        <v>753</v>
      </c>
      <c r="K1" t="s">
        <v>1548</v>
      </c>
      <c r="L1" s="30" t="s">
        <v>2534</v>
      </c>
      <c r="M1" s="30" t="s">
        <v>2559</v>
      </c>
      <c r="N1" s="5" t="s">
        <v>122</v>
      </c>
      <c r="O1" s="5" t="s">
        <v>1418</v>
      </c>
    </row>
    <row r="2" spans="1:18" x14ac:dyDescent="0.25">
      <c r="A2" t="s">
        <v>123</v>
      </c>
      <c r="B2">
        <v>13</v>
      </c>
      <c r="C2" t="s">
        <v>684</v>
      </c>
      <c r="F2" s="5" t="s">
        <v>145</v>
      </c>
      <c r="G2" s="5" t="s">
        <v>655</v>
      </c>
      <c r="H2" s="2" t="s">
        <v>1446</v>
      </c>
      <c r="I2" s="2" t="s">
        <v>145</v>
      </c>
      <c r="J2" s="54">
        <v>15212</v>
      </c>
      <c r="K2" s="54">
        <v>112.5</v>
      </c>
      <c r="L2" s="30" t="s">
        <v>1553</v>
      </c>
      <c r="M2" s="30" t="s">
        <v>2589</v>
      </c>
      <c r="O2" s="5" t="s">
        <v>1382</v>
      </c>
      <c r="R2" s="30"/>
    </row>
    <row r="3" spans="1:18" x14ac:dyDescent="0.25">
      <c r="A3" t="s">
        <v>151</v>
      </c>
      <c r="B3">
        <v>14</v>
      </c>
      <c r="C3" t="s">
        <v>674</v>
      </c>
      <c r="F3" s="5" t="s">
        <v>754</v>
      </c>
      <c r="G3" s="5" t="s">
        <v>1397</v>
      </c>
      <c r="H3" s="2" t="s">
        <v>1449</v>
      </c>
      <c r="I3" s="2" t="s">
        <v>1532</v>
      </c>
      <c r="J3" s="54">
        <v>90012</v>
      </c>
      <c r="K3" s="54">
        <v>22.5</v>
      </c>
      <c r="L3" s="30" t="s">
        <v>2523</v>
      </c>
      <c r="M3" s="30" t="s">
        <v>2578</v>
      </c>
      <c r="O3" s="5" t="s">
        <v>1389</v>
      </c>
      <c r="R3" s="30"/>
    </row>
    <row r="4" spans="1:18" x14ac:dyDescent="0.25">
      <c r="A4" t="s">
        <v>125</v>
      </c>
      <c r="B4">
        <v>15</v>
      </c>
      <c r="C4" t="s">
        <v>660</v>
      </c>
      <c r="F4" s="5" t="s">
        <v>755</v>
      </c>
      <c r="G4" s="5" t="s">
        <v>1382</v>
      </c>
      <c r="H4" s="2" t="s">
        <v>1440</v>
      </c>
      <c r="I4" s="2" t="s">
        <v>755</v>
      </c>
      <c r="J4" s="54">
        <v>30315</v>
      </c>
      <c r="K4" s="54">
        <v>22.5</v>
      </c>
      <c r="L4" s="30" t="s">
        <v>1620</v>
      </c>
      <c r="M4" s="30" t="s">
        <v>2579</v>
      </c>
      <c r="O4" s="5" t="s">
        <v>671</v>
      </c>
      <c r="R4" s="30"/>
    </row>
    <row r="5" spans="1:18" x14ac:dyDescent="0.25">
      <c r="A5" t="s">
        <v>132</v>
      </c>
      <c r="B5">
        <v>16</v>
      </c>
      <c r="C5" t="s">
        <v>675</v>
      </c>
      <c r="F5" s="5" t="s">
        <v>124</v>
      </c>
      <c r="G5" s="5" t="s">
        <v>681</v>
      </c>
      <c r="H5" s="2" t="s">
        <v>1455</v>
      </c>
      <c r="I5" s="2" t="s">
        <v>124</v>
      </c>
      <c r="J5" s="54">
        <v>85004</v>
      </c>
      <c r="K5" s="54">
        <v>0</v>
      </c>
      <c r="L5" s="30" t="s">
        <v>1660</v>
      </c>
      <c r="M5" s="30" t="s">
        <v>2580</v>
      </c>
      <c r="O5" s="5" t="s">
        <v>659</v>
      </c>
      <c r="R5" s="30"/>
    </row>
    <row r="6" spans="1:18" x14ac:dyDescent="0.25">
      <c r="A6" t="s">
        <v>126</v>
      </c>
      <c r="B6">
        <v>17</v>
      </c>
      <c r="C6" t="s">
        <v>665</v>
      </c>
      <c r="F6" s="5" t="s">
        <v>756</v>
      </c>
      <c r="G6" s="5" t="s">
        <v>1380</v>
      </c>
      <c r="H6" s="2" t="s">
        <v>1441</v>
      </c>
      <c r="I6" s="2" t="s">
        <v>756</v>
      </c>
      <c r="J6" s="54">
        <v>33125</v>
      </c>
      <c r="K6" s="54">
        <v>112.5</v>
      </c>
      <c r="L6" s="30" t="s">
        <v>1680</v>
      </c>
      <c r="M6" s="30" t="s">
        <v>2581</v>
      </c>
      <c r="O6" s="5" t="s">
        <v>677</v>
      </c>
      <c r="R6" s="30"/>
    </row>
    <row r="7" spans="1:18" x14ac:dyDescent="0.25">
      <c r="A7" t="s">
        <v>127</v>
      </c>
      <c r="B7">
        <v>18</v>
      </c>
      <c r="C7" t="s">
        <v>672</v>
      </c>
      <c r="F7" s="5" t="s">
        <v>757</v>
      </c>
      <c r="G7" s="5" t="s">
        <v>677</v>
      </c>
      <c r="H7" s="2" t="s">
        <v>1439</v>
      </c>
      <c r="I7" s="2" t="s">
        <v>757</v>
      </c>
      <c r="J7" s="54">
        <v>20003</v>
      </c>
      <c r="K7" s="54">
        <v>22.5</v>
      </c>
      <c r="L7" s="30" t="s">
        <v>1673</v>
      </c>
      <c r="M7" s="30" t="s">
        <v>2582</v>
      </c>
      <c r="O7" s="5" t="s">
        <v>1385</v>
      </c>
      <c r="R7" s="30"/>
    </row>
    <row r="8" spans="1:18" x14ac:dyDescent="0.25">
      <c r="A8" t="s">
        <v>128</v>
      </c>
      <c r="B8">
        <v>19</v>
      </c>
      <c r="C8" t="s">
        <v>671</v>
      </c>
      <c r="F8" s="5" t="s">
        <v>144</v>
      </c>
      <c r="G8" s="5" t="s">
        <v>667</v>
      </c>
      <c r="H8" s="2" t="s">
        <v>1435</v>
      </c>
      <c r="I8" s="2" t="s">
        <v>144</v>
      </c>
      <c r="J8" s="54">
        <v>19148</v>
      </c>
      <c r="K8" s="54">
        <v>22.5</v>
      </c>
      <c r="L8" s="30" t="s">
        <v>1551</v>
      </c>
      <c r="M8" s="30" t="s">
        <v>2583</v>
      </c>
      <c r="O8" s="5" t="s">
        <v>660</v>
      </c>
      <c r="R8" s="30"/>
    </row>
    <row r="9" spans="1:18" x14ac:dyDescent="0.25">
      <c r="A9" t="s">
        <v>129</v>
      </c>
      <c r="B9">
        <v>20</v>
      </c>
      <c r="C9" t="s">
        <v>682</v>
      </c>
      <c r="F9" s="5" t="s">
        <v>149</v>
      </c>
      <c r="G9" t="s">
        <v>659</v>
      </c>
      <c r="H9" s="2" t="s">
        <v>1428</v>
      </c>
      <c r="I9" s="2" t="s">
        <v>149</v>
      </c>
      <c r="J9" s="54" t="s">
        <v>1682</v>
      </c>
      <c r="K9" s="54">
        <v>337.5</v>
      </c>
      <c r="L9" s="30" t="s">
        <v>1641</v>
      </c>
      <c r="M9" s="30" t="s">
        <v>2584</v>
      </c>
      <c r="O9" s="5" t="s">
        <v>1401</v>
      </c>
      <c r="R9" s="30"/>
    </row>
    <row r="10" spans="1:18" x14ac:dyDescent="0.25">
      <c r="A10" t="s">
        <v>133</v>
      </c>
      <c r="B10">
        <v>21</v>
      </c>
      <c r="C10" t="s">
        <v>656</v>
      </c>
      <c r="F10" s="5" t="s">
        <v>137</v>
      </c>
      <c r="G10" s="5" t="s">
        <v>658</v>
      </c>
      <c r="H10" s="2" t="s">
        <v>1430</v>
      </c>
      <c r="I10" s="2" t="s">
        <v>137</v>
      </c>
      <c r="J10" s="54">
        <v>55403</v>
      </c>
      <c r="K10" s="54">
        <v>90</v>
      </c>
      <c r="L10" s="30" t="s">
        <v>1606</v>
      </c>
      <c r="M10" s="30" t="s">
        <v>2585</v>
      </c>
      <c r="O10" s="5" t="s">
        <v>1406</v>
      </c>
      <c r="R10" s="30"/>
    </row>
    <row r="11" spans="1:18" x14ac:dyDescent="0.25">
      <c r="A11" t="s">
        <v>130</v>
      </c>
      <c r="B11" s="5">
        <v>22</v>
      </c>
      <c r="C11" t="s">
        <v>663</v>
      </c>
      <c r="F11" s="5" t="s">
        <v>758</v>
      </c>
      <c r="G11" s="5" t="s">
        <v>1390</v>
      </c>
      <c r="H11" s="2" t="s">
        <v>1442</v>
      </c>
      <c r="I11" s="2" t="s">
        <v>1496</v>
      </c>
      <c r="J11" s="54">
        <v>60616</v>
      </c>
      <c r="K11" s="54">
        <v>112.5</v>
      </c>
      <c r="L11" s="30" t="s">
        <v>2524</v>
      </c>
      <c r="M11" s="30" t="s">
        <v>2586</v>
      </c>
      <c r="O11" s="5" t="s">
        <v>1380</v>
      </c>
      <c r="R11" s="30"/>
    </row>
    <row r="12" spans="1:18" x14ac:dyDescent="0.25">
      <c r="A12" t="s">
        <v>131</v>
      </c>
      <c r="B12" s="5">
        <v>23</v>
      </c>
      <c r="C12" t="s">
        <v>657</v>
      </c>
      <c r="F12" s="5" t="s">
        <v>759</v>
      </c>
      <c r="G12" s="5" t="s">
        <v>1392</v>
      </c>
      <c r="H12" s="2" t="s">
        <v>1436</v>
      </c>
      <c r="I12" s="2" t="s">
        <v>759</v>
      </c>
      <c r="J12" s="54">
        <v>21201</v>
      </c>
      <c r="K12" s="54">
        <v>22.5</v>
      </c>
      <c r="L12" s="30" t="s">
        <v>1647</v>
      </c>
      <c r="M12" s="30" t="s">
        <v>2587</v>
      </c>
      <c r="O12" s="5" t="s">
        <v>1407</v>
      </c>
      <c r="R12" s="30"/>
    </row>
    <row r="13" spans="1:18" x14ac:dyDescent="0.25">
      <c r="A13" t="s">
        <v>134</v>
      </c>
      <c r="B13" s="5">
        <v>24</v>
      </c>
      <c r="C13" t="s">
        <v>666</v>
      </c>
      <c r="F13" s="5" t="s">
        <v>760</v>
      </c>
      <c r="G13" s="5" t="s">
        <v>1385</v>
      </c>
      <c r="H13" s="2" t="s">
        <v>1433</v>
      </c>
      <c r="I13" s="2" t="s">
        <v>760</v>
      </c>
      <c r="J13" s="54">
        <v>53214</v>
      </c>
      <c r="K13" s="54">
        <v>135</v>
      </c>
      <c r="L13" s="30" t="s">
        <v>1666</v>
      </c>
      <c r="M13" s="30" t="s">
        <v>2588</v>
      </c>
      <c r="O13" s="5" t="s">
        <v>657</v>
      </c>
      <c r="R13" s="30"/>
    </row>
    <row r="14" spans="1:18" x14ac:dyDescent="0.25">
      <c r="A14" t="s">
        <v>135</v>
      </c>
      <c r="B14" s="5">
        <v>25</v>
      </c>
      <c r="C14" t="s">
        <v>669</v>
      </c>
      <c r="F14" s="5" t="s">
        <v>129</v>
      </c>
      <c r="G14" s="5" t="s">
        <v>682</v>
      </c>
      <c r="H14" s="2" t="s">
        <v>1432</v>
      </c>
      <c r="I14" s="2" t="s">
        <v>129</v>
      </c>
      <c r="J14" s="54">
        <v>80205</v>
      </c>
      <c r="K14" s="54">
        <v>0</v>
      </c>
      <c r="L14" s="30" t="s">
        <v>1652</v>
      </c>
      <c r="M14" s="30" t="s">
        <v>2562</v>
      </c>
      <c r="O14" s="5" t="s">
        <v>1408</v>
      </c>
      <c r="R14" s="30"/>
    </row>
    <row r="15" spans="1:18" x14ac:dyDescent="0.25">
      <c r="A15" t="s">
        <v>136</v>
      </c>
      <c r="B15" s="5">
        <v>26</v>
      </c>
      <c r="C15" t="s">
        <v>683</v>
      </c>
      <c r="F15" s="5" t="s">
        <v>761</v>
      </c>
      <c r="G15" s="5" t="s">
        <v>1386</v>
      </c>
      <c r="H15" s="2" t="s">
        <v>1452</v>
      </c>
      <c r="I15" s="2" t="s">
        <v>761</v>
      </c>
      <c r="J15" s="54">
        <v>76011</v>
      </c>
      <c r="K15" s="54">
        <v>135</v>
      </c>
      <c r="L15" s="30" t="s">
        <v>1634</v>
      </c>
      <c r="M15" s="30" t="s">
        <v>2560</v>
      </c>
      <c r="O15" s="5" t="s">
        <v>667</v>
      </c>
      <c r="R15" s="30"/>
    </row>
    <row r="16" spans="1:18" x14ac:dyDescent="0.25">
      <c r="A16" t="s">
        <v>137</v>
      </c>
      <c r="B16" s="5">
        <v>27</v>
      </c>
      <c r="C16" t="s">
        <v>658</v>
      </c>
      <c r="F16" s="5" t="s">
        <v>147</v>
      </c>
      <c r="G16" s="5" t="s">
        <v>670</v>
      </c>
      <c r="H16" s="2" t="s">
        <v>1456</v>
      </c>
      <c r="I16" s="2" t="s">
        <v>147</v>
      </c>
      <c r="J16" s="54">
        <v>63102</v>
      </c>
      <c r="K16" s="54">
        <v>157.5</v>
      </c>
      <c r="L16" s="30" t="s">
        <v>1622</v>
      </c>
      <c r="M16" s="30" t="s">
        <v>2563</v>
      </c>
      <c r="O16" s="5" t="s">
        <v>1409</v>
      </c>
      <c r="R16" s="30"/>
    </row>
    <row r="17" spans="1:18" x14ac:dyDescent="0.25">
      <c r="A17" t="s">
        <v>138</v>
      </c>
      <c r="B17" s="5">
        <v>28</v>
      </c>
      <c r="C17" t="s">
        <v>668</v>
      </c>
      <c r="F17" s="5" t="s">
        <v>762</v>
      </c>
      <c r="G17" s="5" t="s">
        <v>1381</v>
      </c>
      <c r="H17" s="5" t="s">
        <v>1429</v>
      </c>
      <c r="I17" s="5" t="s">
        <v>762</v>
      </c>
      <c r="J17" s="54">
        <v>10451</v>
      </c>
      <c r="K17" s="54">
        <v>67.5</v>
      </c>
      <c r="L17" s="30" t="s">
        <v>2522</v>
      </c>
      <c r="M17" s="30" t="s">
        <v>2574</v>
      </c>
      <c r="O17" s="5" t="s">
        <v>1404</v>
      </c>
      <c r="R17" s="30"/>
    </row>
    <row r="18" spans="1:18" x14ac:dyDescent="0.25">
      <c r="A18" t="s">
        <v>139</v>
      </c>
      <c r="B18" s="5">
        <v>29</v>
      </c>
      <c r="C18" t="s">
        <v>664</v>
      </c>
      <c r="F18" s="5" t="s">
        <v>763</v>
      </c>
      <c r="G18" s="5" t="s">
        <v>1396</v>
      </c>
      <c r="H18" s="2" t="s">
        <v>1444</v>
      </c>
      <c r="I18" s="5" t="s">
        <v>763</v>
      </c>
      <c r="J18" s="54">
        <v>92806</v>
      </c>
      <c r="K18" s="54">
        <v>45</v>
      </c>
      <c r="L18" s="30" t="s">
        <v>2519</v>
      </c>
      <c r="M18" s="30" t="s">
        <v>2577</v>
      </c>
      <c r="O18" s="5" t="s">
        <v>1387</v>
      </c>
      <c r="R18" s="30"/>
    </row>
    <row r="19" spans="1:18" x14ac:dyDescent="0.25">
      <c r="A19" t="s">
        <v>140</v>
      </c>
      <c r="B19" s="5">
        <v>30</v>
      </c>
      <c r="C19" t="s">
        <v>661</v>
      </c>
      <c r="F19" s="5" t="s">
        <v>131</v>
      </c>
      <c r="G19" s="5" t="s">
        <v>657</v>
      </c>
      <c r="H19" s="2" t="s">
        <v>1431</v>
      </c>
      <c r="I19" s="5" t="s">
        <v>131</v>
      </c>
      <c r="J19" s="54">
        <v>48201</v>
      </c>
      <c r="K19" s="54">
        <v>157.5</v>
      </c>
      <c r="L19" s="30" t="s">
        <v>1574</v>
      </c>
      <c r="M19" s="30" t="s">
        <v>2576</v>
      </c>
      <c r="O19" s="5" t="s">
        <v>1403</v>
      </c>
      <c r="R19" s="30"/>
    </row>
    <row r="20" spans="1:18" x14ac:dyDescent="0.25">
      <c r="A20" t="s">
        <v>141</v>
      </c>
      <c r="B20" s="5">
        <v>31</v>
      </c>
      <c r="C20" t="s">
        <v>676</v>
      </c>
      <c r="F20" s="5" t="s">
        <v>764</v>
      </c>
      <c r="G20" s="5" t="s">
        <v>1393</v>
      </c>
      <c r="H20" s="2" t="s">
        <v>1443</v>
      </c>
      <c r="I20" s="5" t="s">
        <v>1495</v>
      </c>
      <c r="J20" s="54">
        <v>64129</v>
      </c>
      <c r="K20" s="54">
        <v>45</v>
      </c>
      <c r="L20" s="30" t="s">
        <v>1636</v>
      </c>
      <c r="M20" s="30" t="s">
        <v>2565</v>
      </c>
      <c r="O20" s="5" t="s">
        <v>1399</v>
      </c>
      <c r="R20" s="30"/>
    </row>
    <row r="21" spans="1:18" x14ac:dyDescent="0.25">
      <c r="A21" t="s">
        <v>142</v>
      </c>
      <c r="B21" s="5">
        <v>32</v>
      </c>
      <c r="C21" t="s">
        <v>662</v>
      </c>
      <c r="F21" s="5" t="s">
        <v>765</v>
      </c>
      <c r="G21" s="5" t="s">
        <v>1383</v>
      </c>
      <c r="H21" s="5" t="s">
        <v>1438</v>
      </c>
      <c r="I21" s="5" t="s">
        <v>765</v>
      </c>
      <c r="J21" s="54">
        <v>11368</v>
      </c>
      <c r="K21" s="54">
        <v>22.5</v>
      </c>
      <c r="L21" s="30" t="s">
        <v>2520</v>
      </c>
      <c r="M21" s="30" t="s">
        <v>2575</v>
      </c>
      <c r="O21" s="5" t="s">
        <v>1400</v>
      </c>
      <c r="R21" s="30"/>
    </row>
    <row r="22" spans="1:18" x14ac:dyDescent="0.25">
      <c r="A22" t="s">
        <v>143</v>
      </c>
      <c r="B22" s="5">
        <v>33</v>
      </c>
      <c r="C22" t="s">
        <v>678</v>
      </c>
      <c r="F22" s="5" t="s">
        <v>766</v>
      </c>
      <c r="G22" s="5" t="s">
        <v>1394</v>
      </c>
      <c r="H22" s="2" t="s">
        <v>1448</v>
      </c>
      <c r="I22" s="5" t="s">
        <v>1530</v>
      </c>
      <c r="J22" s="54">
        <v>92101</v>
      </c>
      <c r="K22" s="54">
        <v>0</v>
      </c>
      <c r="L22" s="30" t="s">
        <v>1631</v>
      </c>
      <c r="M22" s="30" t="s">
        <v>2573</v>
      </c>
      <c r="O22" s="5" t="s">
        <v>1402</v>
      </c>
      <c r="R22" s="30"/>
    </row>
    <row r="23" spans="1:18" x14ac:dyDescent="0.25">
      <c r="A23" t="s">
        <v>144</v>
      </c>
      <c r="B23" s="5">
        <v>34</v>
      </c>
      <c r="C23" t="s">
        <v>667</v>
      </c>
      <c r="F23" s="5" t="s">
        <v>125</v>
      </c>
      <c r="G23" s="5" t="s">
        <v>660</v>
      </c>
      <c r="H23" s="2" t="s">
        <v>1434</v>
      </c>
      <c r="I23" s="5" t="s">
        <v>125</v>
      </c>
      <c r="J23" s="54" t="s">
        <v>1683</v>
      </c>
      <c r="K23" s="53">
        <v>45</v>
      </c>
      <c r="L23" s="30" t="s">
        <v>2521</v>
      </c>
      <c r="M23" s="30" t="s">
        <v>2566</v>
      </c>
      <c r="O23" s="5" t="s">
        <v>663</v>
      </c>
      <c r="R23" s="30"/>
    </row>
    <row r="24" spans="1:18" x14ac:dyDescent="0.25">
      <c r="A24" t="s">
        <v>124</v>
      </c>
      <c r="B24" s="5">
        <v>35</v>
      </c>
      <c r="C24" t="s">
        <v>681</v>
      </c>
      <c r="F24" s="5" t="s">
        <v>767</v>
      </c>
      <c r="G24" s="5" t="s">
        <v>679</v>
      </c>
      <c r="H24" s="2" t="s">
        <v>1437</v>
      </c>
      <c r="I24" s="5" t="s">
        <v>1529</v>
      </c>
      <c r="J24" s="53">
        <v>33705</v>
      </c>
      <c r="K24" s="53">
        <v>45</v>
      </c>
      <c r="L24" s="30" t="s">
        <v>1658</v>
      </c>
      <c r="M24" s="30" t="s">
        <v>2567</v>
      </c>
      <c r="O24" s="5" t="s">
        <v>1405</v>
      </c>
      <c r="R24" s="30"/>
    </row>
    <row r="25" spans="1:18" x14ac:dyDescent="0.25">
      <c r="A25" t="s">
        <v>145</v>
      </c>
      <c r="B25" s="5">
        <v>36</v>
      </c>
      <c r="C25" t="s">
        <v>655</v>
      </c>
      <c r="F25" s="5" t="s">
        <v>735</v>
      </c>
      <c r="G25" s="5" t="s">
        <v>1398</v>
      </c>
      <c r="H25" s="2" t="s">
        <v>1454</v>
      </c>
      <c r="I25" s="5" t="s">
        <v>1531</v>
      </c>
      <c r="J25" s="53">
        <v>94107</v>
      </c>
      <c r="K25" s="53">
        <v>112.5</v>
      </c>
      <c r="L25" s="30" t="s">
        <v>2518</v>
      </c>
      <c r="M25" s="30" t="s">
        <v>2564</v>
      </c>
      <c r="O25" s="5" t="s">
        <v>1410</v>
      </c>
      <c r="R25" s="30"/>
    </row>
    <row r="26" spans="1:18" x14ac:dyDescent="0.25">
      <c r="A26" t="s">
        <v>146</v>
      </c>
      <c r="B26" s="5">
        <v>37</v>
      </c>
      <c r="C26" t="s">
        <v>680</v>
      </c>
      <c r="F26" s="5" t="s">
        <v>768</v>
      </c>
      <c r="G26" s="5" t="s">
        <v>1384</v>
      </c>
      <c r="H26" s="2" t="s">
        <v>1447</v>
      </c>
      <c r="I26" s="5" t="s">
        <v>768</v>
      </c>
      <c r="J26" s="53">
        <v>45202</v>
      </c>
      <c r="K26" s="53">
        <v>112.5</v>
      </c>
      <c r="L26" s="30" t="s">
        <v>1572</v>
      </c>
      <c r="M26" s="30" t="s">
        <v>2568</v>
      </c>
      <c r="O26" s="5" t="s">
        <v>1411</v>
      </c>
      <c r="R26" s="30"/>
    </row>
    <row r="27" spans="1:18" x14ac:dyDescent="0.25">
      <c r="A27" t="s">
        <v>147</v>
      </c>
      <c r="B27" s="5">
        <v>38</v>
      </c>
      <c r="C27" t="s">
        <v>670</v>
      </c>
      <c r="F27" s="5" t="s">
        <v>769</v>
      </c>
      <c r="G27" s="5" t="s">
        <v>1391</v>
      </c>
      <c r="H27" s="2" t="s">
        <v>1458</v>
      </c>
      <c r="I27" s="5" t="s">
        <v>769</v>
      </c>
      <c r="J27" s="54">
        <v>60613</v>
      </c>
      <c r="K27" s="54">
        <v>45</v>
      </c>
      <c r="L27" s="30" t="s">
        <v>2525</v>
      </c>
      <c r="M27" s="30" t="s">
        <v>2561</v>
      </c>
      <c r="O27" s="5" t="s">
        <v>1412</v>
      </c>
      <c r="R27" s="30"/>
    </row>
    <row r="28" spans="1:18" x14ac:dyDescent="0.25">
      <c r="A28" t="s">
        <v>148</v>
      </c>
      <c r="B28" s="5">
        <v>39</v>
      </c>
      <c r="C28" t="s">
        <v>679</v>
      </c>
      <c r="F28" s="5" t="s">
        <v>770</v>
      </c>
      <c r="G28" s="5" t="s">
        <v>1389</v>
      </c>
      <c r="H28" s="2" t="s">
        <v>1450</v>
      </c>
      <c r="I28" s="5" t="s">
        <v>770</v>
      </c>
      <c r="J28" s="54">
        <v>44115</v>
      </c>
      <c r="K28" s="54">
        <v>0</v>
      </c>
      <c r="L28" s="30" t="s">
        <v>1560</v>
      </c>
      <c r="M28" s="30" t="s">
        <v>2569</v>
      </c>
      <c r="O28" s="5" t="s">
        <v>1413</v>
      </c>
      <c r="R28" s="30"/>
    </row>
    <row r="29" spans="1:18" x14ac:dyDescent="0.25">
      <c r="A29" t="s">
        <v>149</v>
      </c>
      <c r="B29" s="5">
        <v>40</v>
      </c>
      <c r="C29" t="s">
        <v>659</v>
      </c>
      <c r="F29" s="5" t="s">
        <v>771</v>
      </c>
      <c r="G29" s="5" t="s">
        <v>1387</v>
      </c>
      <c r="H29" s="2" t="s">
        <v>1451</v>
      </c>
      <c r="I29" s="5" t="s">
        <v>771</v>
      </c>
      <c r="J29" s="54">
        <v>77002</v>
      </c>
      <c r="K29" s="54">
        <v>67.5</v>
      </c>
      <c r="L29" s="30" t="s">
        <v>1616</v>
      </c>
      <c r="M29" s="30" t="s">
        <v>2570</v>
      </c>
      <c r="O29" s="5" t="s">
        <v>1414</v>
      </c>
      <c r="R29" s="30"/>
    </row>
    <row r="30" spans="1:18" x14ac:dyDescent="0.25">
      <c r="A30" t="s">
        <v>150</v>
      </c>
      <c r="B30" s="5">
        <v>41</v>
      </c>
      <c r="C30" t="s">
        <v>673</v>
      </c>
      <c r="F30" s="5" t="s">
        <v>772</v>
      </c>
      <c r="G30" s="5" t="s">
        <v>1388</v>
      </c>
      <c r="H30" s="2" t="s">
        <v>1445</v>
      </c>
      <c r="I30" s="5" t="s">
        <v>772</v>
      </c>
      <c r="J30" s="54">
        <v>98134</v>
      </c>
      <c r="K30" s="54">
        <v>45</v>
      </c>
      <c r="L30" s="30" t="s">
        <v>1639</v>
      </c>
      <c r="M30" s="30" t="s">
        <v>2571</v>
      </c>
      <c r="O30" s="5" t="s">
        <v>1415</v>
      </c>
      <c r="R30" s="30"/>
    </row>
    <row r="31" spans="1:18" x14ac:dyDescent="0.25">
      <c r="A31" t="s">
        <v>416</v>
      </c>
      <c r="B31" s="5">
        <v>42</v>
      </c>
      <c r="C31" t="s">
        <v>677</v>
      </c>
      <c r="F31" s="5" t="s">
        <v>773</v>
      </c>
      <c r="G31" s="5" t="s">
        <v>1395</v>
      </c>
      <c r="H31" s="2" t="s">
        <v>1453</v>
      </c>
      <c r="I31" s="5" t="s">
        <v>773</v>
      </c>
      <c r="J31" s="54">
        <v>94621</v>
      </c>
      <c r="K31" s="54">
        <v>45</v>
      </c>
      <c r="L31" s="30" t="s">
        <v>1624</v>
      </c>
      <c r="M31" s="30" t="s">
        <v>2572</v>
      </c>
      <c r="O31" s="5" t="s">
        <v>658</v>
      </c>
      <c r="R31" s="30"/>
    </row>
  </sheetData>
  <sortState ref="A2:B31">
    <sortCondition ref="B2:B3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95"/>
  <sheetViews>
    <sheetView topLeftCell="A2" zoomScale="70" zoomScaleNormal="70" workbookViewId="0">
      <selection activeCell="B2" sqref="B2:B36"/>
    </sheetView>
  </sheetViews>
  <sheetFormatPr defaultRowHeight="15" x14ac:dyDescent="0.25"/>
  <cols>
    <col min="1" max="1" width="27.7109375" style="5" customWidth="1"/>
    <col min="2" max="2" width="37.42578125" style="5" customWidth="1"/>
    <col min="3" max="3" width="32.7109375" style="5" customWidth="1"/>
    <col min="4" max="4" width="15.28515625" customWidth="1"/>
    <col min="8" max="8" width="18.85546875" bestFit="1" customWidth="1"/>
    <col min="9" max="9" width="15.140625" customWidth="1"/>
  </cols>
  <sheetData>
    <row r="1" spans="1:9" s="30" customFormat="1" x14ac:dyDescent="0.25">
      <c r="A1" s="38" t="s">
        <v>311</v>
      </c>
      <c r="B1" s="38" t="s">
        <v>1527</v>
      </c>
      <c r="C1" s="38" t="s">
        <v>3007</v>
      </c>
    </row>
    <row r="2" spans="1:9" ht="17.25" customHeight="1" x14ac:dyDescent="0.25">
      <c r="A2" s="8">
        <v>42195</v>
      </c>
      <c r="B2" s="31">
        <v>27.95</v>
      </c>
      <c r="C2" s="30" t="s">
        <v>2991</v>
      </c>
      <c r="D2" s="31"/>
      <c r="E2" s="31"/>
      <c r="H2" s="21"/>
      <c r="I2" s="5"/>
    </row>
    <row r="3" spans="1:9" ht="19.5" customHeight="1" x14ac:dyDescent="0.25">
      <c r="A3" s="33">
        <v>42185</v>
      </c>
      <c r="B3" s="31">
        <v>42.75</v>
      </c>
      <c r="C3" s="8" t="s">
        <v>2991</v>
      </c>
      <c r="D3" s="35"/>
      <c r="E3" s="13"/>
      <c r="H3" s="2"/>
      <c r="I3" s="5"/>
    </row>
    <row r="4" spans="1:9" ht="36" customHeight="1" x14ac:dyDescent="0.25">
      <c r="A4" s="33">
        <v>42166</v>
      </c>
      <c r="B4" s="31">
        <v>30.2</v>
      </c>
      <c r="C4" s="8" t="s">
        <v>2991</v>
      </c>
      <c r="D4" s="35"/>
      <c r="E4" s="13"/>
      <c r="H4" s="5"/>
      <c r="I4" s="5"/>
    </row>
    <row r="5" spans="1:9" ht="25.5" customHeight="1" x14ac:dyDescent="0.25">
      <c r="A5" s="8">
        <v>42165</v>
      </c>
      <c r="B5" s="30">
        <v>21.75</v>
      </c>
      <c r="C5" s="30" t="s">
        <v>2992</v>
      </c>
      <c r="D5" s="35"/>
      <c r="E5" s="13"/>
      <c r="H5" s="5"/>
      <c r="I5" s="5"/>
    </row>
    <row r="6" spans="1:9" ht="36.75" customHeight="1" x14ac:dyDescent="0.25">
      <c r="A6" s="8">
        <v>42168</v>
      </c>
      <c r="B6" s="30">
        <v>37.75</v>
      </c>
      <c r="C6" s="30" t="s">
        <v>2993</v>
      </c>
      <c r="D6" s="35"/>
      <c r="E6" s="13"/>
      <c r="H6" s="5"/>
      <c r="I6" s="5"/>
    </row>
    <row r="7" spans="1:9" x14ac:dyDescent="0.25">
      <c r="A7" s="8">
        <v>42167</v>
      </c>
      <c r="B7" s="31">
        <v>26.7</v>
      </c>
      <c r="C7" s="30" t="s">
        <v>2994</v>
      </c>
      <c r="D7" s="35"/>
      <c r="E7" s="36"/>
      <c r="H7" s="5"/>
      <c r="I7" s="5"/>
    </row>
    <row r="8" spans="1:9" x14ac:dyDescent="0.25">
      <c r="A8" s="8">
        <v>42170</v>
      </c>
      <c r="B8" s="31">
        <v>51.5</v>
      </c>
      <c r="C8" s="30" t="s">
        <v>2995</v>
      </c>
      <c r="D8" s="35"/>
      <c r="E8" s="13"/>
      <c r="F8" s="5"/>
      <c r="H8" s="5"/>
      <c r="I8" s="5"/>
    </row>
    <row r="9" spans="1:9" x14ac:dyDescent="0.25">
      <c r="A9" s="33">
        <v>42169</v>
      </c>
      <c r="B9" s="31">
        <v>62.5</v>
      </c>
      <c r="C9" s="56" t="s">
        <v>2991</v>
      </c>
      <c r="D9" s="35"/>
      <c r="E9" s="13"/>
      <c r="F9" s="5"/>
      <c r="H9" s="5"/>
      <c r="I9" s="5"/>
    </row>
    <row r="10" spans="1:9" x14ac:dyDescent="0.25">
      <c r="A10" s="8">
        <v>42172</v>
      </c>
      <c r="B10" s="31">
        <v>39.25</v>
      </c>
      <c r="C10" s="30" t="s">
        <v>2996</v>
      </c>
      <c r="D10" s="35"/>
      <c r="E10" s="13"/>
      <c r="F10" s="5"/>
      <c r="H10" s="5" t="s">
        <v>3156</v>
      </c>
      <c r="I10" s="5"/>
    </row>
    <row r="11" spans="1:9" x14ac:dyDescent="0.25">
      <c r="A11" s="33">
        <v>42171</v>
      </c>
      <c r="B11" s="31">
        <v>37.25</v>
      </c>
      <c r="C11" s="8" t="s">
        <v>2991</v>
      </c>
      <c r="D11" s="35"/>
      <c r="E11" s="13"/>
      <c r="F11" s="5"/>
      <c r="H11" s="5"/>
      <c r="I11" s="5"/>
    </row>
    <row r="12" spans="1:9" x14ac:dyDescent="0.25">
      <c r="A12" s="33">
        <v>42174</v>
      </c>
      <c r="B12" s="31">
        <v>31.25</v>
      </c>
      <c r="C12" s="33" t="s">
        <v>2997</v>
      </c>
      <c r="D12" s="5"/>
      <c r="F12" s="5"/>
      <c r="H12" s="5"/>
      <c r="I12" s="5"/>
    </row>
    <row r="13" spans="1:9" x14ac:dyDescent="0.25">
      <c r="A13" s="33">
        <v>42161</v>
      </c>
      <c r="B13" s="31">
        <v>52.25</v>
      </c>
      <c r="C13" s="8" t="s">
        <v>2998</v>
      </c>
      <c r="D13" s="5"/>
      <c r="F13" s="5"/>
    </row>
    <row r="14" spans="1:9" x14ac:dyDescent="0.25">
      <c r="A14" s="33">
        <v>42162</v>
      </c>
      <c r="B14" s="31">
        <v>22.45</v>
      </c>
      <c r="C14" s="8" t="s">
        <v>2991</v>
      </c>
      <c r="D14" s="5"/>
      <c r="F14" s="5"/>
    </row>
    <row r="15" spans="1:9" ht="15" customHeight="1" x14ac:dyDescent="0.25">
      <c r="A15" s="8">
        <v>42160</v>
      </c>
      <c r="B15" s="31">
        <v>33.200000000000003</v>
      </c>
      <c r="C15" s="5" t="s">
        <v>2991</v>
      </c>
      <c r="D15" s="5"/>
      <c r="F15" s="5"/>
    </row>
    <row r="16" spans="1:9" x14ac:dyDescent="0.25">
      <c r="A16" s="33">
        <v>42194</v>
      </c>
      <c r="B16" s="31">
        <v>38</v>
      </c>
      <c r="C16" s="8" t="s">
        <v>3014</v>
      </c>
      <c r="D16" s="5"/>
      <c r="F16" s="5"/>
    </row>
    <row r="17" spans="1:11" x14ac:dyDescent="0.25">
      <c r="A17" s="71">
        <v>42193</v>
      </c>
      <c r="B17" s="31">
        <v>29.75</v>
      </c>
      <c r="C17" s="5" t="s">
        <v>3015</v>
      </c>
      <c r="D17" s="5"/>
      <c r="E17" s="5"/>
      <c r="F17" s="5"/>
    </row>
    <row r="18" spans="1:11" x14ac:dyDescent="0.25">
      <c r="A18" s="8">
        <v>42173</v>
      </c>
      <c r="B18" s="30">
        <v>30.7</v>
      </c>
      <c r="C18" s="5" t="s">
        <v>2999</v>
      </c>
      <c r="D18" s="5"/>
      <c r="F18" s="5"/>
    </row>
    <row r="19" spans="1:11" x14ac:dyDescent="0.25">
      <c r="A19" s="8">
        <v>42190</v>
      </c>
      <c r="B19" s="30">
        <v>34.950000000000003</v>
      </c>
      <c r="C19" s="5" t="s">
        <v>2991</v>
      </c>
      <c r="D19" s="5"/>
      <c r="F19" s="5"/>
    </row>
    <row r="20" spans="1:11" x14ac:dyDescent="0.25">
      <c r="A20" s="8">
        <v>42189</v>
      </c>
      <c r="B20" s="30">
        <v>9.4499999999999993</v>
      </c>
      <c r="C20" s="5" t="s">
        <v>3016</v>
      </c>
      <c r="D20" s="5"/>
      <c r="F20" s="5"/>
    </row>
    <row r="21" spans="1:11" x14ac:dyDescent="0.25">
      <c r="A21" s="33">
        <v>42192</v>
      </c>
      <c r="B21" s="31">
        <v>30.7</v>
      </c>
      <c r="C21" s="34" t="s">
        <v>3017</v>
      </c>
      <c r="D21" s="5"/>
      <c r="F21" s="5"/>
    </row>
    <row r="22" spans="1:11" x14ac:dyDescent="0.25">
      <c r="A22" s="8">
        <v>42191</v>
      </c>
      <c r="B22" s="31">
        <v>23.5</v>
      </c>
      <c r="C22" s="5" t="s">
        <v>3018</v>
      </c>
      <c r="D22" s="5"/>
      <c r="F22" s="5"/>
    </row>
    <row r="23" spans="1:11" x14ac:dyDescent="0.25">
      <c r="A23" s="8">
        <v>42186</v>
      </c>
      <c r="B23" s="31">
        <v>31.25</v>
      </c>
      <c r="C23" s="5" t="s">
        <v>3000</v>
      </c>
      <c r="D23" s="5"/>
      <c r="F23" s="5"/>
    </row>
    <row r="24" spans="1:11" x14ac:dyDescent="0.25">
      <c r="A24" s="8">
        <v>42188</v>
      </c>
      <c r="B24" s="30">
        <v>23.5</v>
      </c>
      <c r="C24" s="5" t="s">
        <v>3001</v>
      </c>
      <c r="D24" s="5"/>
      <c r="F24" s="5"/>
      <c r="H24" s="23"/>
      <c r="K24" s="23"/>
    </row>
    <row r="25" spans="1:11" x14ac:dyDescent="0.25">
      <c r="A25" s="8">
        <v>42187</v>
      </c>
      <c r="B25" s="30">
        <v>34.25</v>
      </c>
      <c r="C25" s="5" t="s">
        <v>2991</v>
      </c>
      <c r="D25" s="5"/>
      <c r="E25" s="5"/>
      <c r="F25" s="5"/>
      <c r="H25" s="23"/>
      <c r="K25" s="23"/>
    </row>
    <row r="26" spans="1:11" x14ac:dyDescent="0.25">
      <c r="A26" s="8">
        <v>42179</v>
      </c>
      <c r="B26" s="31">
        <v>28.75</v>
      </c>
      <c r="C26" s="30" t="s">
        <v>3002</v>
      </c>
      <c r="D26" s="5"/>
      <c r="F26" s="5"/>
      <c r="H26" s="23"/>
      <c r="K26" s="23"/>
    </row>
    <row r="27" spans="1:11" x14ac:dyDescent="0.25">
      <c r="A27" s="8">
        <v>42180</v>
      </c>
      <c r="B27" s="31">
        <v>27.75</v>
      </c>
      <c r="C27" s="5" t="s">
        <v>2991</v>
      </c>
      <c r="D27" s="5"/>
      <c r="F27" s="5"/>
      <c r="H27" s="23"/>
      <c r="K27" s="23"/>
    </row>
    <row r="28" spans="1:11" x14ac:dyDescent="0.25">
      <c r="A28" s="8">
        <v>42181</v>
      </c>
      <c r="B28" s="31">
        <v>52.5</v>
      </c>
      <c r="C28" s="5" t="s">
        <v>3003</v>
      </c>
      <c r="D28" s="5"/>
      <c r="E28" s="5"/>
      <c r="F28" s="5"/>
      <c r="H28" s="23"/>
      <c r="K28" s="23"/>
    </row>
    <row r="29" spans="1:11" x14ac:dyDescent="0.25">
      <c r="A29" s="8">
        <v>42175</v>
      </c>
      <c r="B29" s="31">
        <v>38.75</v>
      </c>
      <c r="C29" s="5" t="s">
        <v>2991</v>
      </c>
      <c r="D29" s="5"/>
      <c r="E29" s="5"/>
      <c r="F29" s="5"/>
      <c r="H29" s="23"/>
      <c r="K29" s="23"/>
    </row>
    <row r="30" spans="1:11" x14ac:dyDescent="0.25">
      <c r="A30" s="8">
        <v>42176</v>
      </c>
      <c r="B30" s="31">
        <v>39.5</v>
      </c>
      <c r="C30" s="5" t="s">
        <v>2991</v>
      </c>
      <c r="D30" s="5"/>
      <c r="E30" s="5"/>
      <c r="F30" s="5"/>
      <c r="H30" s="23"/>
      <c r="K30" s="23"/>
    </row>
    <row r="31" spans="1:11" x14ac:dyDescent="0.25">
      <c r="A31" s="8">
        <v>42177</v>
      </c>
      <c r="B31" s="31">
        <v>44.75</v>
      </c>
      <c r="C31" s="5" t="s">
        <v>3004</v>
      </c>
      <c r="D31" s="5"/>
      <c r="F31" s="5"/>
      <c r="H31" s="23"/>
      <c r="K31" s="23"/>
    </row>
    <row r="32" spans="1:11" x14ac:dyDescent="0.25">
      <c r="A32" s="8">
        <v>42178</v>
      </c>
      <c r="B32" s="31">
        <v>30.6</v>
      </c>
      <c r="C32" s="5" t="s">
        <v>3005</v>
      </c>
      <c r="D32" s="5"/>
      <c r="F32" s="5"/>
      <c r="H32" s="23"/>
      <c r="K32" s="23"/>
    </row>
    <row r="33" spans="1:11" x14ac:dyDescent="0.25">
      <c r="A33" s="8">
        <v>42163</v>
      </c>
      <c r="B33" s="31">
        <v>30.25</v>
      </c>
      <c r="C33" s="5" t="s">
        <v>3006</v>
      </c>
      <c r="D33" s="5"/>
      <c r="E33" s="5"/>
      <c r="F33" s="5"/>
      <c r="H33" s="23"/>
      <c r="K33" s="23"/>
    </row>
    <row r="34" spans="1:11" x14ac:dyDescent="0.25">
      <c r="A34" s="8">
        <v>42164</v>
      </c>
      <c r="B34" s="31">
        <v>14.7</v>
      </c>
      <c r="C34" s="5" t="s">
        <v>2992</v>
      </c>
      <c r="D34" s="5"/>
      <c r="F34" s="5"/>
      <c r="H34" s="23"/>
      <c r="K34" s="23"/>
    </row>
    <row r="35" spans="1:11" x14ac:dyDescent="0.25">
      <c r="A35" s="33">
        <v>42183</v>
      </c>
      <c r="B35" s="31">
        <v>44.2</v>
      </c>
      <c r="C35" s="8" t="s">
        <v>2991</v>
      </c>
      <c r="D35" s="5"/>
      <c r="F35" s="5"/>
      <c r="H35" s="23"/>
      <c r="K35" s="23"/>
    </row>
    <row r="36" spans="1:11" x14ac:dyDescent="0.25">
      <c r="A36" s="8">
        <v>42184</v>
      </c>
      <c r="B36" s="31">
        <v>46.75</v>
      </c>
      <c r="C36" s="5" t="s">
        <v>2991</v>
      </c>
      <c r="D36" s="5"/>
      <c r="E36" s="5"/>
      <c r="F36" s="5"/>
      <c r="H36" s="23"/>
      <c r="J36" s="23"/>
      <c r="K36" s="23"/>
    </row>
    <row r="37" spans="1:11" x14ac:dyDescent="0.25">
      <c r="A37" s="13"/>
      <c r="D37" s="5"/>
      <c r="F37" s="5"/>
      <c r="G37" s="24"/>
      <c r="H37" s="23"/>
      <c r="I37" s="23"/>
      <c r="J37" s="24"/>
      <c r="K37" s="23"/>
    </row>
    <row r="38" spans="1:11" x14ac:dyDescent="0.25">
      <c r="A38" s="13"/>
      <c r="D38" s="5"/>
      <c r="F38" s="5"/>
      <c r="G38" s="24"/>
      <c r="H38" s="23"/>
      <c r="I38" s="23"/>
      <c r="J38" s="24"/>
      <c r="K38" s="23"/>
    </row>
    <row r="39" spans="1:11" x14ac:dyDescent="0.25">
      <c r="A39" s="13"/>
      <c r="D39" s="5"/>
      <c r="F39" s="5"/>
      <c r="H39" s="23"/>
      <c r="K39" s="23"/>
    </row>
    <row r="40" spans="1:11" x14ac:dyDescent="0.25">
      <c r="A40" s="13"/>
      <c r="D40" s="5"/>
      <c r="F40" s="5"/>
      <c r="H40" s="23"/>
      <c r="K40" s="23"/>
    </row>
    <row r="41" spans="1:11" x14ac:dyDescent="0.25">
      <c r="A41" s="13"/>
      <c r="C41" s="25"/>
      <c r="D41" s="5"/>
      <c r="F41" s="5"/>
      <c r="H41" s="23"/>
      <c r="K41" s="23"/>
    </row>
    <row r="42" spans="1:11" x14ac:dyDescent="0.25">
      <c r="A42" s="13"/>
      <c r="D42" s="5"/>
      <c r="F42" s="5"/>
      <c r="H42" s="23"/>
      <c r="K42" s="23"/>
    </row>
    <row r="43" spans="1:11" x14ac:dyDescent="0.25">
      <c r="A43" s="13"/>
      <c r="D43" s="5"/>
      <c r="F43" s="5"/>
      <c r="H43" s="23"/>
      <c r="K43" s="23"/>
    </row>
    <row r="44" spans="1:11" x14ac:dyDescent="0.25">
      <c r="A44" s="13"/>
      <c r="C44" s="25"/>
      <c r="D44" s="5"/>
      <c r="E44" s="5"/>
      <c r="F44" s="5"/>
      <c r="H44" s="23"/>
      <c r="K44" s="23"/>
    </row>
    <row r="45" spans="1:11" x14ac:dyDescent="0.25">
      <c r="A45" s="13"/>
      <c r="D45" s="5"/>
      <c r="F45" s="5"/>
      <c r="H45" s="23"/>
      <c r="K45" s="23"/>
    </row>
    <row r="46" spans="1:11" x14ac:dyDescent="0.25">
      <c r="A46" s="13"/>
      <c r="D46" s="5"/>
      <c r="F46" s="5"/>
      <c r="H46" s="23"/>
      <c r="J46" s="23"/>
      <c r="K46" s="23"/>
    </row>
    <row r="47" spans="1:11" x14ac:dyDescent="0.25">
      <c r="A47" s="13"/>
      <c r="D47" s="5"/>
      <c r="F47" s="5"/>
      <c r="H47" s="23"/>
      <c r="J47" s="23"/>
      <c r="K47" s="23"/>
    </row>
    <row r="48" spans="1:11" x14ac:dyDescent="0.25">
      <c r="A48" s="13"/>
      <c r="D48" s="5"/>
      <c r="F48" s="5"/>
      <c r="G48" s="24"/>
      <c r="H48" s="23"/>
      <c r="I48" s="23"/>
      <c r="J48" s="24"/>
      <c r="K48" s="23"/>
    </row>
    <row r="49" spans="1:10" x14ac:dyDescent="0.25">
      <c r="A49" s="13"/>
      <c r="D49" s="5"/>
      <c r="F49" s="5"/>
      <c r="G49" s="24"/>
      <c r="H49" s="23"/>
      <c r="I49" s="24"/>
      <c r="J49" s="24"/>
    </row>
    <row r="50" spans="1:10" x14ac:dyDescent="0.25">
      <c r="C50" s="25"/>
      <c r="D50" s="5"/>
      <c r="E50" s="5"/>
      <c r="F50" s="5"/>
    </row>
    <row r="51" spans="1:10" x14ac:dyDescent="0.25">
      <c r="C51" s="25"/>
      <c r="D51" s="5"/>
      <c r="E51" s="5"/>
      <c r="F51" s="5"/>
    </row>
    <row r="52" spans="1:10" x14ac:dyDescent="0.25">
      <c r="C52" s="25"/>
      <c r="D52" s="5"/>
      <c r="F52" s="5"/>
    </row>
    <row r="53" spans="1:10" x14ac:dyDescent="0.25">
      <c r="C53" s="25"/>
      <c r="D53" s="5"/>
      <c r="F53" s="5"/>
    </row>
    <row r="54" spans="1:10" x14ac:dyDescent="0.25">
      <c r="C54" s="25"/>
      <c r="D54" s="5"/>
      <c r="E54" s="5"/>
      <c r="F54" s="5"/>
    </row>
    <row r="55" spans="1:10" x14ac:dyDescent="0.25">
      <c r="C55" s="25"/>
      <c r="D55" s="5"/>
      <c r="E55" s="5"/>
      <c r="F55" s="5"/>
    </row>
    <row r="56" spans="1:10" x14ac:dyDescent="0.25">
      <c r="D56" s="5"/>
      <c r="F56" s="5"/>
    </row>
    <row r="57" spans="1:10" x14ac:dyDescent="0.25">
      <c r="D57" s="5"/>
      <c r="F57" s="5"/>
    </row>
    <row r="58" spans="1:10" x14ac:dyDescent="0.25">
      <c r="D58" s="5"/>
      <c r="F58" s="5"/>
    </row>
    <row r="59" spans="1:10" x14ac:dyDescent="0.25">
      <c r="C59" s="25"/>
      <c r="D59" s="5"/>
      <c r="F59" s="5"/>
    </row>
    <row r="60" spans="1:10" x14ac:dyDescent="0.25">
      <c r="D60" s="5"/>
      <c r="F60" s="5"/>
    </row>
    <row r="61" spans="1:10" x14ac:dyDescent="0.25">
      <c r="D61" s="5"/>
      <c r="F61" s="5"/>
    </row>
    <row r="62" spans="1:10" x14ac:dyDescent="0.25">
      <c r="C62" s="25"/>
      <c r="D62" s="5"/>
      <c r="E62" s="5"/>
      <c r="F62" s="5"/>
    </row>
    <row r="63" spans="1:10" x14ac:dyDescent="0.25">
      <c r="C63" s="25"/>
      <c r="D63" s="5"/>
      <c r="E63" s="5"/>
      <c r="F63" s="5"/>
    </row>
    <row r="64" spans="1:10" x14ac:dyDescent="0.25">
      <c r="C64" s="25"/>
      <c r="D64" s="5"/>
      <c r="F64" s="5"/>
    </row>
    <row r="65" spans="1:6" x14ac:dyDescent="0.25">
      <c r="C65" s="25"/>
      <c r="D65" s="5"/>
      <c r="E65" s="5"/>
      <c r="F65" s="5"/>
    </row>
    <row r="66" spans="1:6" x14ac:dyDescent="0.25">
      <c r="C66" s="25"/>
      <c r="D66" s="5"/>
      <c r="E66" s="5"/>
      <c r="F66" s="5"/>
    </row>
    <row r="67" spans="1:6" x14ac:dyDescent="0.25">
      <c r="C67" s="25"/>
      <c r="D67" s="5"/>
      <c r="E67" s="5"/>
      <c r="F67" s="5"/>
    </row>
    <row r="68" spans="1:6" x14ac:dyDescent="0.25">
      <c r="C68" s="25"/>
      <c r="D68" s="5"/>
      <c r="F68" s="5"/>
    </row>
    <row r="69" spans="1:6" x14ac:dyDescent="0.25">
      <c r="D69" s="5"/>
      <c r="F69" s="5"/>
    </row>
    <row r="70" spans="1:6" x14ac:dyDescent="0.25">
      <c r="C70" s="25"/>
      <c r="D70" s="5"/>
      <c r="E70" s="5"/>
      <c r="F70" s="5"/>
    </row>
    <row r="71" spans="1:6" x14ac:dyDescent="0.25">
      <c r="A71" s="2"/>
      <c r="C71" s="25"/>
      <c r="D71" s="5"/>
      <c r="E71" s="5"/>
      <c r="F71" s="5"/>
    </row>
    <row r="72" spans="1:6" x14ac:dyDescent="0.25">
      <c r="C72" s="25"/>
      <c r="D72" s="5"/>
      <c r="E72" s="5"/>
      <c r="F72" s="5"/>
    </row>
    <row r="73" spans="1:6" x14ac:dyDescent="0.25">
      <c r="C73" s="25"/>
      <c r="D73" s="5"/>
      <c r="F73" s="5"/>
    </row>
    <row r="74" spans="1:6" x14ac:dyDescent="0.25">
      <c r="C74" s="25"/>
      <c r="D74" s="5"/>
      <c r="F74" s="5"/>
    </row>
    <row r="75" spans="1:6" x14ac:dyDescent="0.25">
      <c r="C75" s="25"/>
      <c r="D75" s="5"/>
      <c r="E75" s="5"/>
      <c r="F75" s="5"/>
    </row>
    <row r="76" spans="1:6" x14ac:dyDescent="0.25">
      <c r="C76" s="25"/>
      <c r="D76" s="5"/>
      <c r="E76" s="5"/>
      <c r="F76" s="5"/>
    </row>
    <row r="77" spans="1:6" x14ac:dyDescent="0.25">
      <c r="C77" s="25"/>
      <c r="D77" s="5"/>
      <c r="F77" s="5"/>
    </row>
    <row r="78" spans="1:6" x14ac:dyDescent="0.25">
      <c r="C78" s="25"/>
      <c r="D78" s="5"/>
      <c r="F78" s="5"/>
    </row>
    <row r="79" spans="1:6" x14ac:dyDescent="0.25">
      <c r="C79" s="25"/>
      <c r="D79" s="5"/>
      <c r="E79" s="5"/>
      <c r="F79" s="5"/>
    </row>
    <row r="80" spans="1:6" x14ac:dyDescent="0.25">
      <c r="D80" s="5"/>
      <c r="F80" s="5"/>
    </row>
    <row r="81" spans="1:6" x14ac:dyDescent="0.25">
      <c r="C81" s="25"/>
      <c r="D81" s="5"/>
      <c r="E81" s="5"/>
      <c r="F81" s="5"/>
    </row>
    <row r="82" spans="1:6" x14ac:dyDescent="0.25">
      <c r="C82" s="25"/>
      <c r="D82" s="5"/>
      <c r="E82" s="5"/>
      <c r="F82" s="5"/>
    </row>
    <row r="83" spans="1:6" x14ac:dyDescent="0.25">
      <c r="A83" s="2"/>
      <c r="C83" s="25"/>
      <c r="D83" s="5"/>
      <c r="E83" s="5"/>
      <c r="F83" s="5"/>
    </row>
    <row r="84" spans="1:6" x14ac:dyDescent="0.25">
      <c r="C84" s="25"/>
      <c r="D84" s="5"/>
      <c r="F84" s="5"/>
    </row>
    <row r="85" spans="1:6" x14ac:dyDescent="0.25">
      <c r="C85" s="25"/>
      <c r="D85" s="5"/>
      <c r="E85" s="5"/>
      <c r="F85" s="5"/>
    </row>
    <row r="86" spans="1:6" x14ac:dyDescent="0.25">
      <c r="C86" s="25"/>
      <c r="D86" s="5"/>
      <c r="F86" s="5"/>
    </row>
    <row r="87" spans="1:6" x14ac:dyDescent="0.25">
      <c r="C87" s="25"/>
      <c r="D87" s="5"/>
      <c r="F87" s="5"/>
    </row>
    <row r="88" spans="1:6" x14ac:dyDescent="0.25">
      <c r="D88" s="5"/>
      <c r="F88" s="5"/>
    </row>
    <row r="89" spans="1:6" x14ac:dyDescent="0.25">
      <c r="D89" s="5"/>
      <c r="F89" s="5"/>
    </row>
    <row r="90" spans="1:6" x14ac:dyDescent="0.25">
      <c r="D90" s="5"/>
      <c r="F90" s="5"/>
    </row>
    <row r="91" spans="1:6" x14ac:dyDescent="0.25">
      <c r="C91" s="25"/>
      <c r="D91" s="5"/>
      <c r="E91" s="5"/>
      <c r="F91" s="5"/>
    </row>
    <row r="92" spans="1:6" x14ac:dyDescent="0.25">
      <c r="C92" s="25"/>
      <c r="D92" s="5"/>
      <c r="E92" s="5"/>
      <c r="F92" s="5"/>
    </row>
    <row r="93" spans="1:6" x14ac:dyDescent="0.25">
      <c r="D93" s="5"/>
      <c r="E93" s="5"/>
      <c r="F93" s="5"/>
    </row>
    <row r="94" spans="1:6" x14ac:dyDescent="0.25">
      <c r="D94" s="5"/>
      <c r="F94" s="5"/>
    </row>
    <row r="95" spans="1:6" x14ac:dyDescent="0.25">
      <c r="C95" s="25"/>
      <c r="D95" s="5"/>
      <c r="F95" s="5"/>
    </row>
    <row r="96" spans="1:6" x14ac:dyDescent="0.25">
      <c r="C96" s="25"/>
      <c r="D96" s="5"/>
      <c r="F96" s="5"/>
    </row>
    <row r="97" spans="3:6" x14ac:dyDescent="0.25">
      <c r="D97" s="5"/>
      <c r="F97" s="5"/>
    </row>
    <row r="98" spans="3:6" x14ac:dyDescent="0.25">
      <c r="D98" s="5"/>
      <c r="F98" s="5"/>
    </row>
    <row r="99" spans="3:6" x14ac:dyDescent="0.25">
      <c r="D99" s="5"/>
      <c r="F99" s="5"/>
    </row>
    <row r="100" spans="3:6" x14ac:dyDescent="0.25">
      <c r="D100" s="5"/>
      <c r="F100" s="5"/>
    </row>
    <row r="101" spans="3:6" x14ac:dyDescent="0.25">
      <c r="C101" s="25"/>
      <c r="D101" s="5"/>
      <c r="E101" s="5"/>
      <c r="F101" s="5"/>
    </row>
    <row r="102" spans="3:6" x14ac:dyDescent="0.25">
      <c r="D102" s="5"/>
      <c r="F102" s="5"/>
    </row>
    <row r="103" spans="3:6" x14ac:dyDescent="0.25">
      <c r="D103" s="5"/>
      <c r="F103" s="5"/>
    </row>
    <row r="104" spans="3:6" x14ac:dyDescent="0.25">
      <c r="C104" s="25"/>
      <c r="D104" s="5"/>
      <c r="E104" s="5"/>
      <c r="F104" s="5"/>
    </row>
    <row r="105" spans="3:6" x14ac:dyDescent="0.25">
      <c r="C105" s="25"/>
      <c r="D105" s="5"/>
      <c r="E105" s="5"/>
      <c r="F105" s="5"/>
    </row>
    <row r="106" spans="3:6" x14ac:dyDescent="0.25">
      <c r="C106" s="25"/>
      <c r="D106" s="5"/>
      <c r="E106" s="5"/>
      <c r="F106" s="5"/>
    </row>
    <row r="107" spans="3:6" x14ac:dyDescent="0.25">
      <c r="C107" s="25"/>
      <c r="D107" s="5"/>
      <c r="E107" s="5"/>
      <c r="F107" s="5"/>
    </row>
    <row r="108" spans="3:6" x14ac:dyDescent="0.25">
      <c r="C108" s="25"/>
      <c r="D108" s="5"/>
      <c r="E108" s="5"/>
      <c r="F108" s="5"/>
    </row>
    <row r="109" spans="3:6" x14ac:dyDescent="0.25">
      <c r="C109" s="25"/>
      <c r="D109" s="5"/>
      <c r="E109" s="5"/>
      <c r="F109" s="5"/>
    </row>
    <row r="110" spans="3:6" x14ac:dyDescent="0.25">
      <c r="C110" s="25"/>
      <c r="D110" s="5"/>
      <c r="E110" s="5"/>
      <c r="F110" s="5"/>
    </row>
    <row r="111" spans="3:6" x14ac:dyDescent="0.25">
      <c r="C111" s="25"/>
      <c r="D111" s="5"/>
      <c r="F111" s="5"/>
    </row>
    <row r="112" spans="3:6" x14ac:dyDescent="0.25">
      <c r="C112" s="25"/>
      <c r="D112" s="5"/>
      <c r="E112" s="5"/>
      <c r="F112" s="5"/>
    </row>
    <row r="113" spans="4:4" x14ac:dyDescent="0.25">
      <c r="D113" s="7"/>
    </row>
    <row r="114" spans="4:4" x14ac:dyDescent="0.25">
      <c r="D114" s="7"/>
    </row>
    <row r="115" spans="4:4" x14ac:dyDescent="0.25">
      <c r="D115" s="7"/>
    </row>
    <row r="116" spans="4:4" x14ac:dyDescent="0.25">
      <c r="D116" s="7"/>
    </row>
    <row r="117" spans="4:4" x14ac:dyDescent="0.25">
      <c r="D117" s="7"/>
    </row>
    <row r="118" spans="4:4" x14ac:dyDescent="0.25">
      <c r="D118" s="7"/>
    </row>
    <row r="119" spans="4:4" x14ac:dyDescent="0.25">
      <c r="D119" s="7"/>
    </row>
    <row r="120" spans="4:4" x14ac:dyDescent="0.25">
      <c r="D120" s="7"/>
    </row>
    <row r="121" spans="4:4" x14ac:dyDescent="0.25">
      <c r="D121" s="7"/>
    </row>
    <row r="122" spans="4:4" x14ac:dyDescent="0.25">
      <c r="D122" s="7"/>
    </row>
    <row r="123" spans="4:4" x14ac:dyDescent="0.25">
      <c r="D123" s="7"/>
    </row>
    <row r="124" spans="4:4" x14ac:dyDescent="0.25">
      <c r="D124" s="7"/>
    </row>
    <row r="125" spans="4:4" x14ac:dyDescent="0.25">
      <c r="D125" s="7"/>
    </row>
    <row r="126" spans="4:4" x14ac:dyDescent="0.25">
      <c r="D126" s="7"/>
    </row>
    <row r="127" spans="4:4" x14ac:dyDescent="0.25">
      <c r="D127" s="7"/>
    </row>
    <row r="128" spans="4:4" x14ac:dyDescent="0.25">
      <c r="D128" s="7"/>
    </row>
    <row r="129" spans="4:4" x14ac:dyDescent="0.25">
      <c r="D129" s="7"/>
    </row>
    <row r="130" spans="4:4" x14ac:dyDescent="0.25">
      <c r="D130" s="7"/>
    </row>
    <row r="131" spans="4:4" x14ac:dyDescent="0.25">
      <c r="D131" s="7"/>
    </row>
    <row r="132" spans="4:4" x14ac:dyDescent="0.25">
      <c r="D132" s="7"/>
    </row>
    <row r="133" spans="4:4" x14ac:dyDescent="0.25">
      <c r="D133" s="7"/>
    </row>
    <row r="134" spans="4:4" x14ac:dyDescent="0.25">
      <c r="D134" s="7"/>
    </row>
    <row r="135" spans="4:4" x14ac:dyDescent="0.25">
      <c r="D135" s="7"/>
    </row>
    <row r="136" spans="4:4" x14ac:dyDescent="0.25">
      <c r="D136" s="7"/>
    </row>
    <row r="137" spans="4:4" x14ac:dyDescent="0.25">
      <c r="D137" s="7"/>
    </row>
    <row r="138" spans="4:4" x14ac:dyDescent="0.25">
      <c r="D138" s="5"/>
    </row>
    <row r="139" spans="4:4" x14ac:dyDescent="0.25">
      <c r="D139" s="5"/>
    </row>
    <row r="140" spans="4:4" x14ac:dyDescent="0.25">
      <c r="D140" s="5"/>
    </row>
    <row r="141" spans="4:4" x14ac:dyDescent="0.25">
      <c r="D141" s="5"/>
    </row>
    <row r="142" spans="4:4" x14ac:dyDescent="0.25">
      <c r="D142" s="5"/>
    </row>
    <row r="143" spans="4:4" x14ac:dyDescent="0.25">
      <c r="D143" s="5"/>
    </row>
    <row r="144" spans="4:4" x14ac:dyDescent="0.25">
      <c r="D144" s="5"/>
    </row>
    <row r="145" spans="1:4" x14ac:dyDescent="0.25">
      <c r="D145" s="5"/>
    </row>
    <row r="146" spans="1:4" x14ac:dyDescent="0.25">
      <c r="D146" s="5"/>
    </row>
    <row r="147" spans="1:4" x14ac:dyDescent="0.25">
      <c r="D147" s="5"/>
    </row>
    <row r="148" spans="1:4" x14ac:dyDescent="0.25">
      <c r="D148" s="5"/>
    </row>
    <row r="149" spans="1:4" x14ac:dyDescent="0.25">
      <c r="D149" s="5"/>
    </row>
    <row r="150" spans="1:4" x14ac:dyDescent="0.25">
      <c r="D150" s="5"/>
    </row>
    <row r="151" spans="1:4" x14ac:dyDescent="0.25">
      <c r="D151" s="5"/>
    </row>
    <row r="152" spans="1:4" x14ac:dyDescent="0.25">
      <c r="D152" s="5"/>
    </row>
    <row r="153" spans="1:4" x14ac:dyDescent="0.25">
      <c r="A153" s="2"/>
      <c r="D153" s="5"/>
    </row>
    <row r="154" spans="1:4" x14ac:dyDescent="0.25">
      <c r="D154" s="5"/>
    </row>
    <row r="155" spans="1:4" x14ac:dyDescent="0.25">
      <c r="D155" s="5"/>
    </row>
    <row r="156" spans="1:4" x14ac:dyDescent="0.25">
      <c r="D156" s="5"/>
    </row>
    <row r="157" spans="1:4" x14ac:dyDescent="0.25">
      <c r="A157" s="2"/>
      <c r="D157" s="5"/>
    </row>
    <row r="158" spans="1:4" x14ac:dyDescent="0.25">
      <c r="D158" s="5"/>
    </row>
    <row r="159" spans="1:4" x14ac:dyDescent="0.25">
      <c r="D159" s="5"/>
    </row>
    <row r="160" spans="1:4" x14ac:dyDescent="0.25">
      <c r="D160" s="5"/>
    </row>
    <row r="161" spans="4:4" x14ac:dyDescent="0.25">
      <c r="D161" s="5"/>
    </row>
    <row r="162" spans="4:4" x14ac:dyDescent="0.25">
      <c r="D162" s="5"/>
    </row>
    <row r="163" spans="4:4" x14ac:dyDescent="0.25">
      <c r="D163" s="5"/>
    </row>
    <row r="164" spans="4:4" x14ac:dyDescent="0.25">
      <c r="D164" s="5"/>
    </row>
    <row r="165" spans="4:4" x14ac:dyDescent="0.25">
      <c r="D165" s="5"/>
    </row>
    <row r="166" spans="4:4" x14ac:dyDescent="0.25">
      <c r="D166" s="5"/>
    </row>
    <row r="167" spans="4:4" x14ac:dyDescent="0.25">
      <c r="D167" s="5"/>
    </row>
    <row r="168" spans="4:4" x14ac:dyDescent="0.25">
      <c r="D168" s="5"/>
    </row>
    <row r="169" spans="4:4" x14ac:dyDescent="0.25">
      <c r="D169" s="5"/>
    </row>
    <row r="170" spans="4:4" x14ac:dyDescent="0.25">
      <c r="D170" s="5"/>
    </row>
    <row r="171" spans="4:4" x14ac:dyDescent="0.25">
      <c r="D171" s="5"/>
    </row>
    <row r="172" spans="4:4" x14ac:dyDescent="0.25">
      <c r="D172" s="5"/>
    </row>
    <row r="173" spans="4:4" x14ac:dyDescent="0.25">
      <c r="D173" s="5"/>
    </row>
    <row r="174" spans="4:4" x14ac:dyDescent="0.25">
      <c r="D174" s="5"/>
    </row>
    <row r="175" spans="4:4" x14ac:dyDescent="0.25">
      <c r="D175" s="5"/>
    </row>
    <row r="176" spans="4:4" x14ac:dyDescent="0.25">
      <c r="D176" s="5"/>
    </row>
    <row r="177" spans="4:4" x14ac:dyDescent="0.25">
      <c r="D177" s="5"/>
    </row>
    <row r="178" spans="4:4" x14ac:dyDescent="0.25">
      <c r="D178" s="5"/>
    </row>
    <row r="179" spans="4:4" x14ac:dyDescent="0.25">
      <c r="D179" s="5"/>
    </row>
    <row r="180" spans="4:4" x14ac:dyDescent="0.25">
      <c r="D180" s="5"/>
    </row>
    <row r="181" spans="4:4" x14ac:dyDescent="0.25">
      <c r="D181" s="5"/>
    </row>
    <row r="182" spans="4:4" x14ac:dyDescent="0.25">
      <c r="D182" s="5"/>
    </row>
    <row r="183" spans="4:4" x14ac:dyDescent="0.25">
      <c r="D183" s="5"/>
    </row>
    <row r="184" spans="4:4" x14ac:dyDescent="0.25">
      <c r="D184" s="5"/>
    </row>
    <row r="185" spans="4:4" x14ac:dyDescent="0.25">
      <c r="D185" s="5"/>
    </row>
    <row r="186" spans="4:4" x14ac:dyDescent="0.25">
      <c r="D186" s="5"/>
    </row>
    <row r="187" spans="4:4" x14ac:dyDescent="0.25">
      <c r="D187" s="5"/>
    </row>
    <row r="188" spans="4:4" x14ac:dyDescent="0.25">
      <c r="D188" s="5"/>
    </row>
    <row r="189" spans="4:4" x14ac:dyDescent="0.25">
      <c r="D189" s="5"/>
    </row>
    <row r="190" spans="4:4" x14ac:dyDescent="0.25">
      <c r="D190" s="5"/>
    </row>
    <row r="191" spans="4:4" x14ac:dyDescent="0.25">
      <c r="D191" s="5"/>
    </row>
    <row r="192" spans="4:4" x14ac:dyDescent="0.25">
      <c r="D192" s="5"/>
    </row>
    <row r="193" spans="4:4" x14ac:dyDescent="0.25">
      <c r="D193" s="5"/>
    </row>
    <row r="194" spans="4:4" x14ac:dyDescent="0.25">
      <c r="D194" s="5"/>
    </row>
    <row r="195" spans="4:4" x14ac:dyDescent="0.25">
      <c r="D195" s="5"/>
    </row>
    <row r="196" spans="4:4" x14ac:dyDescent="0.25">
      <c r="D196" s="5"/>
    </row>
    <row r="197" spans="4:4" x14ac:dyDescent="0.25">
      <c r="D197" s="5"/>
    </row>
    <row r="198" spans="4:4" x14ac:dyDescent="0.25">
      <c r="D198" s="5"/>
    </row>
    <row r="199" spans="4:4" x14ac:dyDescent="0.25">
      <c r="D199" s="5"/>
    </row>
    <row r="200" spans="4:4" x14ac:dyDescent="0.25">
      <c r="D200" s="5"/>
    </row>
    <row r="201" spans="4:4" x14ac:dyDescent="0.25">
      <c r="D201" s="5"/>
    </row>
    <row r="202" spans="4:4" x14ac:dyDescent="0.25">
      <c r="D202" s="5"/>
    </row>
    <row r="203" spans="4:4" x14ac:dyDescent="0.25">
      <c r="D203" s="5"/>
    </row>
    <row r="204" spans="4:4" x14ac:dyDescent="0.25">
      <c r="D204" s="5"/>
    </row>
    <row r="205" spans="4:4" x14ac:dyDescent="0.25">
      <c r="D205" s="5"/>
    </row>
    <row r="206" spans="4:4" x14ac:dyDescent="0.25">
      <c r="D206" s="5"/>
    </row>
    <row r="207" spans="4:4" x14ac:dyDescent="0.25">
      <c r="D207" s="5"/>
    </row>
    <row r="208" spans="4:4" x14ac:dyDescent="0.25">
      <c r="D208" s="5"/>
    </row>
    <row r="209" spans="1:4" x14ac:dyDescent="0.25">
      <c r="D209" s="5"/>
    </row>
    <row r="210" spans="1:4" x14ac:dyDescent="0.25">
      <c r="D210" s="5"/>
    </row>
    <row r="211" spans="1:4" x14ac:dyDescent="0.25">
      <c r="D211" s="5"/>
    </row>
    <row r="212" spans="1:4" x14ac:dyDescent="0.25">
      <c r="D212" s="5"/>
    </row>
    <row r="213" spans="1:4" x14ac:dyDescent="0.25">
      <c r="D213" s="5"/>
    </row>
    <row r="214" spans="1:4" x14ac:dyDescent="0.25">
      <c r="D214" s="5"/>
    </row>
    <row r="215" spans="1:4" x14ac:dyDescent="0.25">
      <c r="D215" s="5"/>
    </row>
    <row r="216" spans="1:4" x14ac:dyDescent="0.25">
      <c r="D216" s="5"/>
    </row>
    <row r="217" spans="1:4" x14ac:dyDescent="0.25">
      <c r="D217" s="5"/>
    </row>
    <row r="218" spans="1:4" x14ac:dyDescent="0.25">
      <c r="D218" s="5"/>
    </row>
    <row r="219" spans="1:4" x14ac:dyDescent="0.25">
      <c r="D219" s="5"/>
    </row>
    <row r="220" spans="1:4" x14ac:dyDescent="0.25">
      <c r="A220" s="2"/>
      <c r="D220" s="5"/>
    </row>
    <row r="221" spans="1:4" x14ac:dyDescent="0.25">
      <c r="D221" s="5"/>
    </row>
    <row r="222" spans="1:4" x14ac:dyDescent="0.25">
      <c r="D222" s="5"/>
    </row>
    <row r="223" spans="1:4" x14ac:dyDescent="0.25">
      <c r="D223" s="5"/>
    </row>
    <row r="224" spans="1:4" x14ac:dyDescent="0.25">
      <c r="D224" s="5"/>
    </row>
    <row r="225" spans="4:4" x14ac:dyDescent="0.25">
      <c r="D225" s="5"/>
    </row>
    <row r="226" spans="4:4" x14ac:dyDescent="0.25">
      <c r="D226" s="5"/>
    </row>
    <row r="227" spans="4:4" x14ac:dyDescent="0.25">
      <c r="D227" s="5"/>
    </row>
    <row r="228" spans="4:4" x14ac:dyDescent="0.25">
      <c r="D228" s="5"/>
    </row>
    <row r="229" spans="4:4" x14ac:dyDescent="0.25">
      <c r="D229" s="5"/>
    </row>
    <row r="230" spans="4:4" x14ac:dyDescent="0.25">
      <c r="D230" s="5"/>
    </row>
    <row r="231" spans="4:4" x14ac:dyDescent="0.25">
      <c r="D231" s="5"/>
    </row>
    <row r="232" spans="4:4" x14ac:dyDescent="0.25">
      <c r="D232" s="5"/>
    </row>
    <row r="233" spans="4:4" x14ac:dyDescent="0.25">
      <c r="D233" s="5"/>
    </row>
    <row r="234" spans="4:4" x14ac:dyDescent="0.25">
      <c r="D234" s="5"/>
    </row>
    <row r="235" spans="4:4" x14ac:dyDescent="0.25">
      <c r="D235" s="5"/>
    </row>
    <row r="236" spans="4:4" x14ac:dyDescent="0.25">
      <c r="D236" s="5"/>
    </row>
    <row r="237" spans="4:4" x14ac:dyDescent="0.25">
      <c r="D237" s="5"/>
    </row>
    <row r="238" spans="4:4" x14ac:dyDescent="0.25">
      <c r="D238" s="5"/>
    </row>
    <row r="239" spans="4:4" x14ac:dyDescent="0.25">
      <c r="D239" s="5"/>
    </row>
    <row r="240" spans="4:4" x14ac:dyDescent="0.25">
      <c r="D240" s="5"/>
    </row>
    <row r="241" spans="4:4" x14ac:dyDescent="0.25">
      <c r="D241" s="5"/>
    </row>
    <row r="242" spans="4:4" x14ac:dyDescent="0.25">
      <c r="D242" s="5"/>
    </row>
    <row r="243" spans="4:4" x14ac:dyDescent="0.25">
      <c r="D243" s="5"/>
    </row>
    <row r="244" spans="4:4" x14ac:dyDescent="0.25">
      <c r="D244" s="5"/>
    </row>
    <row r="245" spans="4:4" x14ac:dyDescent="0.25">
      <c r="D245" s="5"/>
    </row>
    <row r="246" spans="4:4" x14ac:dyDescent="0.25">
      <c r="D246" s="5"/>
    </row>
    <row r="247" spans="4:4" x14ac:dyDescent="0.25">
      <c r="D247" s="5"/>
    </row>
    <row r="248" spans="4:4" x14ac:dyDescent="0.25">
      <c r="D248" s="5"/>
    </row>
    <row r="249" spans="4:4" x14ac:dyDescent="0.25">
      <c r="D249" s="5"/>
    </row>
    <row r="250" spans="4:4" x14ac:dyDescent="0.25">
      <c r="D250" s="5"/>
    </row>
    <row r="251" spans="4:4" x14ac:dyDescent="0.25">
      <c r="D251" s="5"/>
    </row>
    <row r="252" spans="4:4" x14ac:dyDescent="0.25">
      <c r="D252" s="5"/>
    </row>
    <row r="253" spans="4:4" x14ac:dyDescent="0.25">
      <c r="D253" s="5"/>
    </row>
    <row r="254" spans="4:4" x14ac:dyDescent="0.25">
      <c r="D254" s="5"/>
    </row>
    <row r="255" spans="4:4" x14ac:dyDescent="0.25">
      <c r="D255" s="5"/>
    </row>
    <row r="256" spans="4:4" x14ac:dyDescent="0.25">
      <c r="D256" s="5"/>
    </row>
    <row r="257" spans="1:4" x14ac:dyDescent="0.25">
      <c r="D257" s="5"/>
    </row>
    <row r="258" spans="1:4" x14ac:dyDescent="0.25">
      <c r="D258" s="5"/>
    </row>
    <row r="259" spans="1:4" x14ac:dyDescent="0.25">
      <c r="D259" s="5"/>
    </row>
    <row r="260" spans="1:4" x14ac:dyDescent="0.25">
      <c r="D260" s="5"/>
    </row>
    <row r="261" spans="1:4" x14ac:dyDescent="0.25">
      <c r="D261" s="5"/>
    </row>
    <row r="262" spans="1:4" x14ac:dyDescent="0.25">
      <c r="D262" s="5"/>
    </row>
    <row r="263" spans="1:4" x14ac:dyDescent="0.25">
      <c r="D263" s="5"/>
    </row>
    <row r="264" spans="1:4" x14ac:dyDescent="0.25">
      <c r="D264" s="5"/>
    </row>
    <row r="265" spans="1:4" x14ac:dyDescent="0.25">
      <c r="D265" s="5"/>
    </row>
    <row r="266" spans="1:4" x14ac:dyDescent="0.25">
      <c r="D266" s="5"/>
    </row>
    <row r="267" spans="1:4" x14ac:dyDescent="0.25">
      <c r="D267" s="5"/>
    </row>
    <row r="268" spans="1:4" x14ac:dyDescent="0.25">
      <c r="A268" s="2"/>
      <c r="D268" s="5"/>
    </row>
    <row r="269" spans="1:4" x14ac:dyDescent="0.25">
      <c r="D269" s="5"/>
    </row>
    <row r="270" spans="1:4" x14ac:dyDescent="0.25">
      <c r="D270" s="5"/>
    </row>
    <row r="271" spans="1:4" x14ac:dyDescent="0.25">
      <c r="D271" s="5"/>
    </row>
    <row r="272" spans="1:4" x14ac:dyDescent="0.25">
      <c r="D272" s="5"/>
    </row>
    <row r="273" spans="1:4" x14ac:dyDescent="0.25">
      <c r="D273" s="5"/>
    </row>
    <row r="274" spans="1:4" x14ac:dyDescent="0.25">
      <c r="A274" s="2"/>
      <c r="D274" s="5"/>
    </row>
    <row r="275" spans="1:4" x14ac:dyDescent="0.25">
      <c r="D275" s="5"/>
    </row>
    <row r="276" spans="1:4" x14ac:dyDescent="0.25">
      <c r="D276" s="5"/>
    </row>
    <row r="277" spans="1:4" x14ac:dyDescent="0.25">
      <c r="D277" s="5"/>
    </row>
    <row r="278" spans="1:4" x14ac:dyDescent="0.25">
      <c r="D278" s="5"/>
    </row>
    <row r="279" spans="1:4" x14ac:dyDescent="0.25">
      <c r="D279" s="5"/>
    </row>
    <row r="280" spans="1:4" x14ac:dyDescent="0.25">
      <c r="D280" s="5"/>
    </row>
    <row r="296" spans="1:1" x14ac:dyDescent="0.25">
      <c r="A296" s="2"/>
    </row>
    <row r="304" spans="1:1" x14ac:dyDescent="0.25">
      <c r="A304" s="2"/>
    </row>
    <row r="330" spans="1:1" x14ac:dyDescent="0.25">
      <c r="A330" s="2"/>
    </row>
    <row r="365" spans="1:1" x14ac:dyDescent="0.25">
      <c r="A365" s="2"/>
    </row>
    <row r="372" spans="1:1" x14ac:dyDescent="0.25">
      <c r="A372" s="2"/>
    </row>
    <row r="395" spans="1:1" x14ac:dyDescent="0.25">
      <c r="A395" s="2"/>
    </row>
  </sheetData>
  <autoFilter ref="A1:C36">
    <sortState ref="A2:C36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8"/>
  <sheetViews>
    <sheetView workbookViewId="0">
      <selection activeCell="D9" sqref="D9"/>
    </sheetView>
  </sheetViews>
  <sheetFormatPr defaultRowHeight="15" x14ac:dyDescent="0.25"/>
  <cols>
    <col min="1" max="1" width="14.85546875" customWidth="1"/>
    <col min="2" max="2" width="21.140625" customWidth="1"/>
    <col min="3" max="3" width="11.28515625" bestFit="1" customWidth="1"/>
  </cols>
  <sheetData>
    <row r="1" spans="1:3" x14ac:dyDescent="0.25">
      <c r="C1" t="s">
        <v>1681</v>
      </c>
    </row>
    <row r="2" spans="1:3" ht="12.75" customHeight="1" thickBot="1" x14ac:dyDescent="0.3">
      <c r="A2" s="44" t="s">
        <v>1554</v>
      </c>
      <c r="B2" s="45" t="s">
        <v>1555</v>
      </c>
      <c r="C2" s="45" t="s">
        <v>1556</v>
      </c>
    </row>
    <row r="3" spans="1:3" ht="12.75" customHeight="1" thickBot="1" x14ac:dyDescent="0.3">
      <c r="A3" s="46" t="s">
        <v>1557</v>
      </c>
      <c r="B3" s="47" t="s">
        <v>1558</v>
      </c>
      <c r="C3" s="47" t="s">
        <v>1556</v>
      </c>
    </row>
    <row r="4" spans="1:3" ht="12.75" customHeight="1" thickBot="1" x14ac:dyDescent="0.3">
      <c r="A4" s="44" t="s">
        <v>1559</v>
      </c>
      <c r="B4" s="45" t="s">
        <v>1560</v>
      </c>
      <c r="C4" s="45" t="s">
        <v>1561</v>
      </c>
    </row>
    <row r="5" spans="1:3" ht="12.75" customHeight="1" thickBot="1" x14ac:dyDescent="0.3">
      <c r="A5" s="46" t="s">
        <v>1562</v>
      </c>
      <c r="B5" s="47" t="s">
        <v>1563</v>
      </c>
      <c r="C5" s="47" t="s">
        <v>1564</v>
      </c>
    </row>
    <row r="6" spans="1:3" ht="12.75" customHeight="1" thickBot="1" x14ac:dyDescent="0.3">
      <c r="A6" s="44" t="s">
        <v>1565</v>
      </c>
      <c r="B6" s="45" t="s">
        <v>1566</v>
      </c>
      <c r="C6" s="45" t="s">
        <v>1567</v>
      </c>
    </row>
    <row r="7" spans="1:3" ht="12.75" customHeight="1" thickBot="1" x14ac:dyDescent="0.3">
      <c r="A7" s="46" t="s">
        <v>1568</v>
      </c>
      <c r="B7" s="47" t="s">
        <v>1569</v>
      </c>
      <c r="C7" s="47" t="s">
        <v>1570</v>
      </c>
    </row>
    <row r="8" spans="1:3" ht="12.75" customHeight="1" thickBot="1" x14ac:dyDescent="0.3">
      <c r="A8" s="44" t="s">
        <v>1571</v>
      </c>
      <c r="B8" s="45" t="s">
        <v>1572</v>
      </c>
      <c r="C8" s="45" t="s">
        <v>1552</v>
      </c>
    </row>
    <row r="9" spans="1:3" ht="12.75" customHeight="1" thickBot="1" x14ac:dyDescent="0.3">
      <c r="A9" s="46" t="s">
        <v>1573</v>
      </c>
      <c r="B9" s="47" t="s">
        <v>1574</v>
      </c>
      <c r="C9" s="47" t="s">
        <v>1575</v>
      </c>
    </row>
    <row r="10" spans="1:3" ht="12.75" customHeight="1" thickBot="1" x14ac:dyDescent="0.3">
      <c r="A10" s="44" t="s">
        <v>1576</v>
      </c>
      <c r="B10" s="45" t="s">
        <v>1577</v>
      </c>
      <c r="C10" s="45" t="s">
        <v>1564</v>
      </c>
    </row>
    <row r="11" spans="1:3" ht="12.75" customHeight="1" thickBot="1" x14ac:dyDescent="0.3">
      <c r="A11" s="46" t="s">
        <v>1578</v>
      </c>
      <c r="B11" s="47" t="s">
        <v>1579</v>
      </c>
      <c r="C11" s="47" t="s">
        <v>1564</v>
      </c>
    </row>
    <row r="12" spans="1:3" ht="12.75" customHeight="1" thickBot="1" x14ac:dyDescent="0.3">
      <c r="A12" s="44" t="s">
        <v>1580</v>
      </c>
      <c r="B12" s="45" t="s">
        <v>1581</v>
      </c>
      <c r="C12" s="45" t="s">
        <v>1582</v>
      </c>
    </row>
    <row r="13" spans="1:3" ht="12.75" customHeight="1" thickBot="1" x14ac:dyDescent="0.3">
      <c r="A13" s="46" t="s">
        <v>1583</v>
      </c>
      <c r="B13" s="47" t="s">
        <v>1584</v>
      </c>
      <c r="C13" s="47" t="s">
        <v>1552</v>
      </c>
    </row>
    <row r="14" spans="1:3" ht="12.75" customHeight="1" thickBot="1" x14ac:dyDescent="0.3">
      <c r="A14" s="44" t="s">
        <v>1585</v>
      </c>
      <c r="B14" s="45" t="s">
        <v>1586</v>
      </c>
      <c r="C14" s="45" t="s">
        <v>1587</v>
      </c>
    </row>
    <row r="15" spans="1:3" ht="12.75" customHeight="1" thickBot="1" x14ac:dyDescent="0.3">
      <c r="A15" s="46" t="s">
        <v>1588</v>
      </c>
      <c r="B15" s="47" t="s">
        <v>1560</v>
      </c>
      <c r="C15" s="47" t="s">
        <v>1587</v>
      </c>
    </row>
    <row r="16" spans="1:3" ht="12.75" customHeight="1" thickBot="1" x14ac:dyDescent="0.3">
      <c r="A16" s="44" t="s">
        <v>1589</v>
      </c>
      <c r="B16" s="45" t="s">
        <v>1590</v>
      </c>
      <c r="C16" s="45" t="s">
        <v>1591</v>
      </c>
    </row>
    <row r="17" spans="1:3" ht="12.75" customHeight="1" thickBot="1" x14ac:dyDescent="0.3">
      <c r="A17" s="46" t="s">
        <v>1592</v>
      </c>
      <c r="B17" s="47" t="s">
        <v>1593</v>
      </c>
      <c r="C17" s="47" t="s">
        <v>1594</v>
      </c>
    </row>
    <row r="18" spans="1:3" ht="12.75" customHeight="1" thickBot="1" x14ac:dyDescent="0.3">
      <c r="A18" s="44" t="s">
        <v>1595</v>
      </c>
      <c r="B18" s="45" t="s">
        <v>1596</v>
      </c>
      <c r="C18" s="45" t="s">
        <v>1564</v>
      </c>
    </row>
    <row r="19" spans="1:3" ht="12.75" customHeight="1" thickBot="1" x14ac:dyDescent="0.3">
      <c r="A19" s="46" t="s">
        <v>1597</v>
      </c>
      <c r="B19" s="47" t="s">
        <v>1598</v>
      </c>
      <c r="C19" s="47" t="s">
        <v>1556</v>
      </c>
    </row>
    <row r="20" spans="1:3" ht="12.75" customHeight="1" thickBot="1" x14ac:dyDescent="0.3">
      <c r="A20" s="44" t="s">
        <v>1599</v>
      </c>
      <c r="B20" s="45" t="s">
        <v>1600</v>
      </c>
      <c r="C20" s="45" t="s">
        <v>1601</v>
      </c>
    </row>
    <row r="21" spans="1:3" ht="12.75" customHeight="1" thickBot="1" x14ac:dyDescent="0.3">
      <c r="A21" s="46" t="s">
        <v>1602</v>
      </c>
      <c r="B21" s="47" t="s">
        <v>1600</v>
      </c>
      <c r="C21" s="47" t="s">
        <v>1594</v>
      </c>
    </row>
    <row r="22" spans="1:3" ht="12.75" customHeight="1" thickBot="1" x14ac:dyDescent="0.3">
      <c r="A22" s="44" t="s">
        <v>1603</v>
      </c>
      <c r="B22" s="45" t="s">
        <v>1604</v>
      </c>
      <c r="C22" s="45" t="s">
        <v>1575</v>
      </c>
    </row>
    <row r="23" spans="1:3" ht="12.75" customHeight="1" thickBot="1" x14ac:dyDescent="0.3">
      <c r="A23" s="46" t="s">
        <v>1605</v>
      </c>
      <c r="B23" s="47" t="s">
        <v>1606</v>
      </c>
      <c r="C23" s="47" t="s">
        <v>1591</v>
      </c>
    </row>
    <row r="24" spans="1:3" ht="12.75" customHeight="1" thickBot="1" x14ac:dyDescent="0.3">
      <c r="A24" s="44" t="s">
        <v>1607</v>
      </c>
      <c r="B24" s="45" t="s">
        <v>1608</v>
      </c>
      <c r="C24" s="45" t="s">
        <v>1575</v>
      </c>
    </row>
    <row r="25" spans="1:3" ht="12.75" customHeight="1" thickBot="1" x14ac:dyDescent="0.3">
      <c r="A25" s="46" t="s">
        <v>1609</v>
      </c>
      <c r="B25" s="47" t="s">
        <v>1610</v>
      </c>
      <c r="C25" s="47" t="s">
        <v>1564</v>
      </c>
    </row>
    <row r="26" spans="1:3" ht="12.75" customHeight="1" thickBot="1" x14ac:dyDescent="0.3">
      <c r="A26" s="44" t="s">
        <v>1611</v>
      </c>
      <c r="B26" s="45" t="s">
        <v>1612</v>
      </c>
      <c r="C26" s="45" t="s">
        <v>1587</v>
      </c>
    </row>
    <row r="27" spans="1:3" ht="12.75" customHeight="1" thickBot="1" x14ac:dyDescent="0.3">
      <c r="A27" s="46" t="s">
        <v>1613</v>
      </c>
      <c r="B27" s="47" t="s">
        <v>1614</v>
      </c>
      <c r="C27" s="47" t="s">
        <v>1556</v>
      </c>
    </row>
    <row r="28" spans="1:3" ht="12.75" customHeight="1" thickBot="1" x14ac:dyDescent="0.3">
      <c r="A28" s="50" t="s">
        <v>1615</v>
      </c>
      <c r="B28" s="45" t="s">
        <v>1616</v>
      </c>
      <c r="C28" s="45" t="s">
        <v>1587</v>
      </c>
    </row>
    <row r="29" spans="1:3" ht="12.75" customHeight="1" thickBot="1" x14ac:dyDescent="0.3">
      <c r="A29" s="46" t="s">
        <v>1617</v>
      </c>
      <c r="B29" s="47" t="s">
        <v>1618</v>
      </c>
      <c r="C29" s="47" t="s">
        <v>1564</v>
      </c>
    </row>
    <row r="30" spans="1:3" ht="12.75" customHeight="1" thickBot="1" x14ac:dyDescent="0.3">
      <c r="A30" s="44" t="s">
        <v>1619</v>
      </c>
      <c r="B30" s="45" t="s">
        <v>1620</v>
      </c>
      <c r="C30" s="45" t="s">
        <v>1556</v>
      </c>
    </row>
    <row r="31" spans="1:3" ht="12.75" customHeight="1" thickBot="1" x14ac:dyDescent="0.3">
      <c r="A31" s="46" t="s">
        <v>1621</v>
      </c>
      <c r="B31" s="47" t="s">
        <v>1622</v>
      </c>
      <c r="C31" s="47" t="s">
        <v>1601</v>
      </c>
    </row>
    <row r="32" spans="1:3" ht="12.75" customHeight="1" thickBot="1" x14ac:dyDescent="0.3">
      <c r="A32" s="44" t="s">
        <v>1623</v>
      </c>
      <c r="B32" s="45" t="s">
        <v>1624</v>
      </c>
      <c r="C32" s="45" t="s">
        <v>1564</v>
      </c>
    </row>
    <row r="33" spans="1:3" ht="12.75" customHeight="1" thickBot="1" x14ac:dyDescent="0.3">
      <c r="A33" s="46" t="s">
        <v>1625</v>
      </c>
      <c r="B33" s="47" t="s">
        <v>1626</v>
      </c>
      <c r="C33" s="47" t="s">
        <v>1627</v>
      </c>
    </row>
    <row r="34" spans="1:3" ht="12.75" customHeight="1" thickBot="1" x14ac:dyDescent="0.3">
      <c r="A34" s="44" t="s">
        <v>1628</v>
      </c>
      <c r="B34" s="45" t="s">
        <v>1629</v>
      </c>
      <c r="C34" s="45" t="s">
        <v>1591</v>
      </c>
    </row>
    <row r="35" spans="1:3" ht="12.75" customHeight="1" thickBot="1" x14ac:dyDescent="0.3">
      <c r="A35" s="46" t="s">
        <v>1630</v>
      </c>
      <c r="B35" s="47" t="s">
        <v>1631</v>
      </c>
      <c r="C35" s="47" t="s">
        <v>1594</v>
      </c>
    </row>
    <row r="36" spans="1:3" ht="12.75" customHeight="1" thickBot="1" x14ac:dyDescent="0.3">
      <c r="A36" s="44" t="s">
        <v>1632</v>
      </c>
      <c r="B36" s="45" t="s">
        <v>1572</v>
      </c>
      <c r="C36" s="45" t="s">
        <v>1587</v>
      </c>
    </row>
    <row r="37" spans="1:3" ht="12.75" customHeight="1" thickBot="1" x14ac:dyDescent="0.3">
      <c r="A37" s="46" t="s">
        <v>1633</v>
      </c>
      <c r="B37" s="47" t="s">
        <v>1634</v>
      </c>
      <c r="C37" s="47" t="s">
        <v>1591</v>
      </c>
    </row>
    <row r="38" spans="1:3" ht="12.75" customHeight="1" thickBot="1" x14ac:dyDescent="0.3">
      <c r="A38" s="44" t="s">
        <v>1635</v>
      </c>
      <c r="B38" s="45" t="s">
        <v>1636</v>
      </c>
      <c r="C38" s="45" t="s">
        <v>1564</v>
      </c>
    </row>
    <row r="39" spans="1:3" ht="12.75" customHeight="1" thickBot="1" x14ac:dyDescent="0.3">
      <c r="A39" s="51" t="s">
        <v>1637</v>
      </c>
      <c r="B39" s="47" t="s">
        <v>1626</v>
      </c>
      <c r="C39" s="47" t="s">
        <v>1627</v>
      </c>
    </row>
    <row r="40" spans="1:3" ht="12.75" customHeight="1" thickBot="1" x14ac:dyDescent="0.3">
      <c r="A40" s="50" t="s">
        <v>1638</v>
      </c>
      <c r="B40" s="45" t="s">
        <v>1639</v>
      </c>
      <c r="C40" s="45" t="s">
        <v>1564</v>
      </c>
    </row>
    <row r="41" spans="1:3" ht="12.75" customHeight="1" thickBot="1" x14ac:dyDescent="0.3">
      <c r="A41" s="48" t="s">
        <v>1640</v>
      </c>
      <c r="B41" s="49" t="s">
        <v>1641</v>
      </c>
      <c r="C41" s="49" t="s">
        <v>1627</v>
      </c>
    </row>
    <row r="42" spans="1:3" ht="12.75" customHeight="1" thickBot="1" x14ac:dyDescent="0.3">
      <c r="A42" s="50" t="s">
        <v>1642</v>
      </c>
      <c r="B42" s="45" t="s">
        <v>1606</v>
      </c>
      <c r="C42" s="45" t="s">
        <v>1556</v>
      </c>
    </row>
    <row r="43" spans="1:3" ht="12.75" customHeight="1" thickBot="1" x14ac:dyDescent="0.3">
      <c r="A43" s="51" t="s">
        <v>1643</v>
      </c>
      <c r="B43" s="47" t="s">
        <v>1641</v>
      </c>
      <c r="C43" s="47" t="s">
        <v>1627</v>
      </c>
    </row>
    <row r="44" spans="1:3" ht="12.75" customHeight="1" thickBot="1" x14ac:dyDescent="0.3">
      <c r="A44" s="44" t="s">
        <v>1644</v>
      </c>
      <c r="B44" s="45" t="s">
        <v>1645</v>
      </c>
      <c r="C44" s="45" t="s">
        <v>1567</v>
      </c>
    </row>
    <row r="45" spans="1:3" ht="12.75" customHeight="1" thickBot="1" x14ac:dyDescent="0.3">
      <c r="A45" s="46" t="s">
        <v>1646</v>
      </c>
      <c r="B45" s="47" t="s">
        <v>1647</v>
      </c>
      <c r="C45" s="47" t="s">
        <v>1648</v>
      </c>
    </row>
    <row r="46" spans="1:3" ht="12.75" customHeight="1" thickBot="1" x14ac:dyDescent="0.3">
      <c r="A46" s="44" t="s">
        <v>1649</v>
      </c>
      <c r="B46" s="45" t="s">
        <v>1650</v>
      </c>
      <c r="C46" s="45" t="s">
        <v>1591</v>
      </c>
    </row>
    <row r="47" spans="1:3" ht="12.75" customHeight="1" thickBot="1" x14ac:dyDescent="0.3">
      <c r="A47" s="46" t="s">
        <v>1651</v>
      </c>
      <c r="B47" s="47" t="s">
        <v>1652</v>
      </c>
      <c r="C47" s="47" t="s">
        <v>1591</v>
      </c>
    </row>
    <row r="48" spans="1:3" ht="12.75" customHeight="1" thickBot="1" x14ac:dyDescent="0.3">
      <c r="A48" s="44" t="s">
        <v>1653</v>
      </c>
      <c r="B48" s="45" t="s">
        <v>1560</v>
      </c>
      <c r="C48" s="45" t="s">
        <v>1594</v>
      </c>
    </row>
    <row r="49" spans="1:3" ht="12.75" customHeight="1" thickBot="1" x14ac:dyDescent="0.3">
      <c r="A49" s="46" t="s">
        <v>1654</v>
      </c>
      <c r="B49" s="47" t="s">
        <v>1634</v>
      </c>
      <c r="C49" s="47" t="s">
        <v>1591</v>
      </c>
    </row>
    <row r="50" spans="1:3" ht="12.75" customHeight="1" thickBot="1" x14ac:dyDescent="0.3">
      <c r="A50" s="44" t="s">
        <v>1655</v>
      </c>
      <c r="B50" s="45" t="s">
        <v>1652</v>
      </c>
      <c r="C50" s="45" t="s">
        <v>1594</v>
      </c>
    </row>
    <row r="51" spans="1:3" ht="12.75" customHeight="1" thickBot="1" x14ac:dyDescent="0.3">
      <c r="A51" s="46" t="s">
        <v>1656</v>
      </c>
      <c r="B51" s="47" t="s">
        <v>1620</v>
      </c>
      <c r="C51" s="47" t="s">
        <v>1575</v>
      </c>
    </row>
    <row r="52" spans="1:3" ht="12.75" customHeight="1" thickBot="1" x14ac:dyDescent="0.3">
      <c r="A52" s="50" t="s">
        <v>1657</v>
      </c>
      <c r="B52" s="45" t="s">
        <v>1658</v>
      </c>
      <c r="C52" s="45" t="s">
        <v>1564</v>
      </c>
    </row>
    <row r="53" spans="1:3" ht="12.75" customHeight="1" thickBot="1" x14ac:dyDescent="0.3">
      <c r="A53" s="51" t="s">
        <v>1659</v>
      </c>
      <c r="B53" s="47" t="s">
        <v>1660</v>
      </c>
      <c r="C53" s="47" t="s">
        <v>1594</v>
      </c>
    </row>
    <row r="54" spans="1:3" ht="12.75" customHeight="1" thickBot="1" x14ac:dyDescent="0.3">
      <c r="A54" s="50" t="s">
        <v>1661</v>
      </c>
      <c r="B54" s="45" t="s">
        <v>1639</v>
      </c>
      <c r="C54" s="45" t="s">
        <v>1564</v>
      </c>
    </row>
    <row r="55" spans="1:3" ht="12.75" customHeight="1" thickBot="1" x14ac:dyDescent="0.3">
      <c r="A55" s="46" t="s">
        <v>1662</v>
      </c>
      <c r="B55" s="47" t="s">
        <v>1600</v>
      </c>
      <c r="C55" s="47" t="s">
        <v>1567</v>
      </c>
    </row>
    <row r="56" spans="1:3" ht="12.75" customHeight="1" thickBot="1" x14ac:dyDescent="0.3">
      <c r="A56" s="50" t="s">
        <v>1663</v>
      </c>
      <c r="B56" s="45" t="s">
        <v>1616</v>
      </c>
      <c r="C56" s="45" t="s">
        <v>1556</v>
      </c>
    </row>
    <row r="57" spans="1:3" ht="12.75" customHeight="1" thickBot="1" x14ac:dyDescent="0.3">
      <c r="A57" s="46" t="s">
        <v>1664</v>
      </c>
      <c r="B57" s="47" t="s">
        <v>1574</v>
      </c>
      <c r="C57" s="47" t="s">
        <v>1601</v>
      </c>
    </row>
    <row r="58" spans="1:3" ht="12.75" customHeight="1" thickBot="1" x14ac:dyDescent="0.3">
      <c r="A58" s="50" t="s">
        <v>1665</v>
      </c>
      <c r="B58" s="45" t="s">
        <v>1666</v>
      </c>
      <c r="C58" s="45" t="s">
        <v>1591</v>
      </c>
    </row>
    <row r="59" spans="1:3" ht="12.75" customHeight="1" thickBot="1" x14ac:dyDescent="0.3">
      <c r="A59" s="46" t="s">
        <v>1667</v>
      </c>
      <c r="B59" s="47" t="s">
        <v>1553</v>
      </c>
      <c r="C59" s="47" t="s">
        <v>1567</v>
      </c>
    </row>
    <row r="60" spans="1:3" ht="12.75" customHeight="1" thickBot="1" x14ac:dyDescent="0.3">
      <c r="A60" s="44" t="s">
        <v>1668</v>
      </c>
      <c r="B60" s="45" t="s">
        <v>1572</v>
      </c>
      <c r="C60" s="45" t="s">
        <v>1567</v>
      </c>
    </row>
    <row r="61" spans="1:3" ht="12.75" customHeight="1" thickBot="1" x14ac:dyDescent="0.3">
      <c r="A61" s="46" t="s">
        <v>1669</v>
      </c>
      <c r="B61" s="47" t="s">
        <v>1551</v>
      </c>
      <c r="C61" s="47" t="s">
        <v>1575</v>
      </c>
    </row>
    <row r="62" spans="1:3" ht="12.75" customHeight="1" thickBot="1" x14ac:dyDescent="0.3">
      <c r="A62" s="44" t="s">
        <v>1670</v>
      </c>
      <c r="B62" s="45" t="s">
        <v>1631</v>
      </c>
      <c r="C62" s="45" t="s">
        <v>1594</v>
      </c>
    </row>
    <row r="63" spans="1:3" ht="12.75" customHeight="1" thickBot="1" x14ac:dyDescent="0.3">
      <c r="A63" s="46" t="s">
        <v>1671</v>
      </c>
      <c r="B63" s="47" t="s">
        <v>1622</v>
      </c>
      <c r="C63" s="47" t="s">
        <v>1564</v>
      </c>
    </row>
    <row r="64" spans="1:3" ht="12.75" customHeight="1" thickBot="1" x14ac:dyDescent="0.3">
      <c r="A64" s="48" t="s">
        <v>1672</v>
      </c>
      <c r="B64" s="49" t="s">
        <v>1673</v>
      </c>
      <c r="C64" s="49" t="s">
        <v>1575</v>
      </c>
    </row>
    <row r="65" spans="1:3" ht="12.75" customHeight="1" thickBot="1" x14ac:dyDescent="0.3">
      <c r="A65" s="46" t="s">
        <v>1674</v>
      </c>
      <c r="B65" s="47" t="s">
        <v>1675</v>
      </c>
      <c r="C65" s="47" t="s">
        <v>1556</v>
      </c>
    </row>
    <row r="66" spans="1:3" ht="12.75" customHeight="1" thickBot="1" x14ac:dyDescent="0.3">
      <c r="A66" s="44" t="s">
        <v>1676</v>
      </c>
      <c r="B66" s="45" t="s">
        <v>1677</v>
      </c>
      <c r="C66" s="45" t="s">
        <v>1575</v>
      </c>
    </row>
    <row r="67" spans="1:3" ht="12.75" customHeight="1" thickBot="1" x14ac:dyDescent="0.3">
      <c r="A67" s="46" t="s">
        <v>1678</v>
      </c>
      <c r="B67" s="47" t="s">
        <v>1606</v>
      </c>
      <c r="C67" s="47" t="s">
        <v>1587</v>
      </c>
    </row>
    <row r="68" spans="1:3" ht="12.75" customHeight="1" thickBot="1" x14ac:dyDescent="0.3">
      <c r="A68" s="52" t="s">
        <v>1679</v>
      </c>
      <c r="B68" s="49" t="s">
        <v>1680</v>
      </c>
      <c r="C68" s="49" t="s">
        <v>1567</v>
      </c>
    </row>
  </sheetData>
  <hyperlinks>
    <hyperlink ref="A2" r:id="rId1" display="http://www.andrewclem.com/Baseball/ShibePark.html"/>
    <hyperlink ref="A3" r:id="rId2" display="http://www.andrewclem.com/Baseball/SportsmansPark.html"/>
    <hyperlink ref="A4" r:id="rId3" display="http://www.andrewclem.com/Baseball/LeaguePark.html"/>
    <hyperlink ref="A5" r:id="rId4" display="http://www.andrewclem.com/Baseball/ComiskeyPark.html"/>
    <hyperlink ref="A6" r:id="rId5" display="http://www.andrewclem.com/Baseball/PoloGrounds.html"/>
    <hyperlink ref="A7" r:id="rId6" display="http://www.andrewclem.com/Baseball/GriffithStadium.html"/>
    <hyperlink ref="A8" r:id="rId7" display="http://www.andrewclem.com/Baseball/CrosleyField.html"/>
    <hyperlink ref="A9" r:id="rId8" display="http://www.andrewclem.com/Baseball/TigerStadium.html"/>
    <hyperlink ref="A10" r:id="rId9" display="http://www.andrewclem.com/Baseball/FenwayPark.html"/>
    <hyperlink ref="A11" r:id="rId10" display="http://www.andrewclem.com/Baseball/EbbetsField.html"/>
    <hyperlink ref="A12" r:id="rId11" display="http://www.andrewclem.com/Baseball/WrigleyField.html"/>
    <hyperlink ref="A13" r:id="rId12" display="http://www.andrewclem.com/Baseball/BravesField.html"/>
    <hyperlink ref="A14" r:id="rId13" display="http://www.andrewclem.com/Baseball/YankeeStadium.html"/>
    <hyperlink ref="A15" r:id="rId14" display="http://www.andrewclem.com/Baseball/ClevelandStadium.html"/>
    <hyperlink ref="A16" r:id="rId15" display="http://www.andrewclem.com/Baseball/MilwaukeeCountyStadium.html"/>
    <hyperlink ref="A17" r:id="rId16" display="http://www.andrewclem.com/Baseball/MemorialStadium.html"/>
    <hyperlink ref="A18" r:id="rId17" display="http://www.andrewclem.com/Baseball/KC_MunicipalStadium.html"/>
    <hyperlink ref="A19" r:id="rId18" display="http://www.andrewclem.com/Baseball/MemorialColiseum.html"/>
    <hyperlink ref="A20" r:id="rId19" display="http://www.andrewclem.com/Baseball/SealsStadium.html"/>
    <hyperlink ref="A21" r:id="rId20" display="http://www.andrewclem.com/Baseball/CandlestickPark.html"/>
    <hyperlink ref="A22" r:id="rId21" display="http://www.andrewclem.com/Baseball/WrigleyField_LA.html"/>
    <hyperlink ref="A23" r:id="rId22" display="http://www.andrewclem.com/Baseball/MetropolitanStadium.html"/>
    <hyperlink ref="A24" r:id="rId23" display="http://www.andrewclem.com/Baseball/DodgerStadium.html"/>
    <hyperlink ref="A25" r:id="rId24" display="http://www.andrewclem.com/Baseball/ColtStadium.html"/>
    <hyperlink ref="A26" r:id="rId25" display="http://www.andrewclem.com/Baseball/RFKStadium.html"/>
    <hyperlink ref="A27" r:id="rId26" display="http://www.andrewclem.com/Baseball/SheaStadium.html"/>
    <hyperlink ref="A28" r:id="rId27" display="http://www.andrewclem.com/Baseball/Astrodome.html"/>
    <hyperlink ref="A29" r:id="rId28" display="http://www.andrewclem.com/Baseball/AnaheimStadium.html"/>
    <hyperlink ref="A30" r:id="rId29" display="http://www.andrewclem.com/Baseball/Atlanta-FultonCountyStadium.html"/>
    <hyperlink ref="A31" r:id="rId30" display="http://www.andrewclem.com/Baseball/BuschStadium_II.html"/>
    <hyperlink ref="A32" r:id="rId31" display="http://www.andrewclem.com/Baseball/OaklandColiseum.html"/>
    <hyperlink ref="A33" r:id="rId32" display="http://www.andrewclem.com/Baseball/JarryPark.html"/>
    <hyperlink ref="A34" r:id="rId33" display="http://www.andrewclem.com/Baseball/SicksStadium.html"/>
    <hyperlink ref="A35" r:id="rId34" display="http://www.andrewclem.com/Baseball/JackMurphyStadium.html"/>
    <hyperlink ref="A36" r:id="rId35" display="http://www.andrewclem.com/Baseball/RiverfrontStadium.html"/>
    <hyperlink ref="A37" r:id="rId36" display="http://www.andrewclem.com/Baseball/ArlingtonStadium.html"/>
    <hyperlink ref="A38" r:id="rId37" display="http://www.andrewclem.com/Baseball/KauffmanStadium.html"/>
    <hyperlink ref="A39" r:id="rId38" display="http://www.andrewclem.com/Baseball/OlympicStadium.html"/>
    <hyperlink ref="A40" r:id="rId39" display="http://www.andrewclem.com/Baseball/Kingdome.html"/>
    <hyperlink ref="A41" r:id="rId40" display="http://www.andrewclem.com/Baseball/ExhibitionStadium.html"/>
    <hyperlink ref="A42" r:id="rId41" display="http://www.andrewclem.com/Baseball/Metrodome.html"/>
    <hyperlink ref="A43" r:id="rId42" display="http://www.andrewclem.com/Baseball/RogersCentre.html"/>
    <hyperlink ref="A44" r:id="rId43" display="http://www.andrewclem.com/Baseball/USCellularField.html"/>
    <hyperlink ref="A45" r:id="rId44" display="http://www.andrewclem.com/Baseball/CamdenYards.html"/>
    <hyperlink ref="A46" r:id="rId45" display="http://www.andrewclem.com/Baseball/DolphinStadium.html"/>
    <hyperlink ref="A47" r:id="rId46" display="http://www.andrewclem.com/Baseball/MileHighStadium.html"/>
    <hyperlink ref="A48" r:id="rId47" display="http://www.andrewclem.com/Baseball/JacobsField.html"/>
    <hyperlink ref="A49" r:id="rId48" display="http://www.andrewclem.com/Baseball/BallparkArlington.html"/>
    <hyperlink ref="A50" r:id="rId49" display="http://www.andrewclem.com/Baseball/CoorsField.html"/>
    <hyperlink ref="A51" r:id="rId50" display="http://www.andrewclem.com/Baseball/TurnerField.html"/>
    <hyperlink ref="A52" r:id="rId51" display="http://www.andrewclem.com/Baseball/TropicanaField.html"/>
    <hyperlink ref="A53" r:id="rId52" display="http://www.andrewclem.com/Baseball/ChaseField.html"/>
    <hyperlink ref="A54" r:id="rId53" display="http://www.andrewclem.com/Baseball/SafecoField.html"/>
    <hyperlink ref="A55" r:id="rId54" display="http://www.andrewclem.com/Baseball/ATTPark.html"/>
    <hyperlink ref="A56" r:id="rId55" display="http://www.andrewclem.com/Baseball/MinuteMaidPark.html"/>
    <hyperlink ref="A57" r:id="rId56" display="http://www.andrewclem.com/Baseball/ComericaPark.html"/>
    <hyperlink ref="A58" r:id="rId57" display="http://www.andrewclem.com/Baseball/MillerPark.html"/>
    <hyperlink ref="A59" r:id="rId58" display="http://www.andrewclem.com/Baseball/PNCPark.html"/>
    <hyperlink ref="A60" r:id="rId59" display="http://www.andrewclem.com/Baseball/GreatAmericanBallpark.html"/>
    <hyperlink ref="A61" r:id="rId60" display="http://www.andrewclem.com/Baseball/CitizensBankPark.html"/>
    <hyperlink ref="A62" r:id="rId61" display="http://www.andrewclem.com/Baseball/PetcoPark.html"/>
    <hyperlink ref="A63" r:id="rId62" display="http://www.andrewclem.com/Baseball/BuschStadium_III.html"/>
    <hyperlink ref="A64" r:id="rId63" display="http://www.andrewclem.com/Baseball/NationalsPark.html"/>
    <hyperlink ref="A65" r:id="rId64" display="http://www.andrewclem.com/Baseball/YankeeStadium_II.html"/>
    <hyperlink ref="A66" r:id="rId65" display="http://www.andrewclem.com/Baseball/CitiField.html"/>
    <hyperlink ref="A67" r:id="rId66" display="http://www.andrewclem.com/Baseball/TargetField.html"/>
    <hyperlink ref="A68" r:id="rId67" display="http://www.andrewclem.com/Baseball/MarlinsPark.html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9"/>
  <sheetViews>
    <sheetView topLeftCell="A4" zoomScale="85" zoomScaleNormal="85" workbookViewId="0">
      <selection activeCell="K33" sqref="J33:K34"/>
    </sheetView>
  </sheetViews>
  <sheetFormatPr defaultRowHeight="15" x14ac:dyDescent="0.25"/>
  <cols>
    <col min="1" max="1" width="12.7109375" customWidth="1"/>
    <col min="3" max="3" width="10.5703125" customWidth="1"/>
    <col min="4" max="4" width="12" bestFit="1" customWidth="1"/>
    <col min="5" max="5" width="10" bestFit="1" customWidth="1"/>
    <col min="6" max="6" width="14.85546875" bestFit="1" customWidth="1"/>
  </cols>
  <sheetData>
    <row r="1" spans="1:9" x14ac:dyDescent="0.25">
      <c r="A1" t="s">
        <v>3008</v>
      </c>
      <c r="B1" t="s">
        <v>3009</v>
      </c>
      <c r="C1" t="s">
        <v>3010</v>
      </c>
      <c r="D1" t="s">
        <v>3011</v>
      </c>
      <c r="E1" t="s">
        <v>1991</v>
      </c>
      <c r="F1" t="s">
        <v>160</v>
      </c>
      <c r="G1" t="s">
        <v>3020</v>
      </c>
      <c r="H1" t="s">
        <v>3024</v>
      </c>
      <c r="I1" t="s">
        <v>3791</v>
      </c>
    </row>
    <row r="2" spans="1:9" x14ac:dyDescent="0.25">
      <c r="A2" t="s">
        <v>3792</v>
      </c>
      <c r="B2" s="30">
        <v>12</v>
      </c>
      <c r="C2">
        <v>42496</v>
      </c>
      <c r="D2">
        <v>6936</v>
      </c>
      <c r="E2">
        <v>870</v>
      </c>
      <c r="F2" t="s">
        <v>3019</v>
      </c>
      <c r="G2">
        <v>20</v>
      </c>
      <c r="H2" s="73">
        <f>B2/G2</f>
        <v>0.6</v>
      </c>
      <c r="I2" t="s">
        <v>3793</v>
      </c>
    </row>
    <row r="3" spans="1:9" x14ac:dyDescent="0.25">
      <c r="A3" t="s">
        <v>3794</v>
      </c>
      <c r="B3" s="30">
        <v>39</v>
      </c>
      <c r="C3">
        <v>7614</v>
      </c>
      <c r="D3">
        <v>473.76923076899999</v>
      </c>
      <c r="E3">
        <v>50</v>
      </c>
      <c r="F3" t="s">
        <v>3019</v>
      </c>
      <c r="G3">
        <v>50</v>
      </c>
      <c r="H3" s="73">
        <f t="shared" ref="H3:H20" si="0">B3/G3</f>
        <v>0.78</v>
      </c>
      <c r="I3" t="s">
        <v>3795</v>
      </c>
    </row>
    <row r="4" spans="1:9" x14ac:dyDescent="0.25">
      <c r="A4" t="s">
        <v>3796</v>
      </c>
      <c r="B4" s="30">
        <v>14</v>
      </c>
      <c r="C4">
        <v>7614</v>
      </c>
      <c r="D4">
        <v>1181.5</v>
      </c>
      <c r="E4">
        <v>171.5</v>
      </c>
      <c r="F4" t="s">
        <v>3019</v>
      </c>
      <c r="G4">
        <v>100</v>
      </c>
      <c r="H4" s="73">
        <f t="shared" si="0"/>
        <v>0.14000000000000001</v>
      </c>
      <c r="I4" t="s">
        <v>3797</v>
      </c>
    </row>
    <row r="5" spans="1:9" x14ac:dyDescent="0.25">
      <c r="A5" t="s">
        <v>3798</v>
      </c>
      <c r="B5" s="30">
        <v>10</v>
      </c>
      <c r="C5">
        <v>7614</v>
      </c>
      <c r="D5">
        <v>983.2</v>
      </c>
      <c r="E5">
        <v>58</v>
      </c>
      <c r="F5" t="s">
        <v>3019</v>
      </c>
      <c r="G5">
        <v>60</v>
      </c>
      <c r="H5" s="73">
        <f t="shared" si="0"/>
        <v>0.16666666666666666</v>
      </c>
      <c r="I5" t="s">
        <v>3799</v>
      </c>
    </row>
    <row r="6" spans="1:9" x14ac:dyDescent="0.25">
      <c r="A6" t="s">
        <v>3800</v>
      </c>
      <c r="B6" s="30">
        <v>9</v>
      </c>
      <c r="C6">
        <v>7614</v>
      </c>
      <c r="D6">
        <v>1651.22222222</v>
      </c>
      <c r="E6">
        <v>478</v>
      </c>
      <c r="F6" t="s">
        <v>3019</v>
      </c>
      <c r="G6">
        <v>50</v>
      </c>
      <c r="H6" s="73">
        <f t="shared" si="0"/>
        <v>0.18</v>
      </c>
      <c r="I6" t="s">
        <v>3801</v>
      </c>
    </row>
    <row r="7" spans="1:9" x14ac:dyDescent="0.25">
      <c r="A7" t="s">
        <v>3802</v>
      </c>
      <c r="B7" s="30">
        <v>9</v>
      </c>
      <c r="C7">
        <v>23489</v>
      </c>
      <c r="D7">
        <v>5439.8888888900001</v>
      </c>
      <c r="E7">
        <v>2289</v>
      </c>
      <c r="F7" t="s">
        <v>3019</v>
      </c>
      <c r="G7">
        <v>100</v>
      </c>
      <c r="H7" s="73">
        <f t="shared" si="0"/>
        <v>0.09</v>
      </c>
      <c r="I7" t="s">
        <v>3803</v>
      </c>
    </row>
    <row r="8" spans="1:9" x14ac:dyDescent="0.25">
      <c r="A8" t="s">
        <v>3804</v>
      </c>
      <c r="B8" s="30">
        <v>9</v>
      </c>
      <c r="C8">
        <v>42496</v>
      </c>
      <c r="D8">
        <v>9915.1111111099999</v>
      </c>
      <c r="E8">
        <v>4616</v>
      </c>
      <c r="F8" t="s">
        <v>3019</v>
      </c>
      <c r="G8">
        <v>50</v>
      </c>
      <c r="H8" s="73">
        <f t="shared" si="0"/>
        <v>0.18</v>
      </c>
      <c r="I8" t="s">
        <v>3805</v>
      </c>
    </row>
    <row r="9" spans="1:9" x14ac:dyDescent="0.25">
      <c r="A9" t="s">
        <v>3806</v>
      </c>
      <c r="B9" s="30">
        <v>5</v>
      </c>
      <c r="C9">
        <v>23874</v>
      </c>
      <c r="D9">
        <v>4874.2</v>
      </c>
      <c r="E9">
        <v>0</v>
      </c>
      <c r="F9" t="s">
        <v>3019</v>
      </c>
      <c r="G9">
        <v>10</v>
      </c>
      <c r="H9" s="73">
        <f t="shared" si="0"/>
        <v>0.5</v>
      </c>
      <c r="I9" t="s">
        <v>3807</v>
      </c>
    </row>
    <row r="10" spans="1:9" x14ac:dyDescent="0.25">
      <c r="A10" t="s">
        <v>3808</v>
      </c>
      <c r="B10" s="30">
        <v>1</v>
      </c>
      <c r="C10">
        <v>4616</v>
      </c>
      <c r="D10">
        <v>4616</v>
      </c>
      <c r="E10">
        <v>4616</v>
      </c>
      <c r="F10" t="s">
        <v>3019</v>
      </c>
      <c r="G10">
        <v>50</v>
      </c>
      <c r="H10" s="73">
        <f t="shared" si="0"/>
        <v>0.02</v>
      </c>
      <c r="I10" t="s">
        <v>3809</v>
      </c>
    </row>
    <row r="11" spans="1:9" x14ac:dyDescent="0.25">
      <c r="A11" t="s">
        <v>3810</v>
      </c>
      <c r="B11" s="30">
        <v>3</v>
      </c>
      <c r="C11">
        <v>6113</v>
      </c>
      <c r="D11">
        <v>3780</v>
      </c>
      <c r="E11">
        <v>4426.5</v>
      </c>
      <c r="F11" t="s">
        <v>3019</v>
      </c>
      <c r="G11">
        <v>100</v>
      </c>
      <c r="H11" s="73">
        <f t="shared" si="0"/>
        <v>0.03</v>
      </c>
      <c r="I11" t="s">
        <v>3811</v>
      </c>
    </row>
    <row r="12" spans="1:9" x14ac:dyDescent="0.25">
      <c r="A12" t="s">
        <v>3812</v>
      </c>
      <c r="B12" s="30">
        <v>4</v>
      </c>
      <c r="C12">
        <v>10356</v>
      </c>
      <c r="D12">
        <v>6330.5</v>
      </c>
      <c r="E12">
        <v>5950</v>
      </c>
      <c r="F12" t="s">
        <v>3019</v>
      </c>
      <c r="G12">
        <v>100</v>
      </c>
      <c r="H12" s="73">
        <f t="shared" si="0"/>
        <v>0.04</v>
      </c>
      <c r="I12" t="s">
        <v>3813</v>
      </c>
    </row>
    <row r="13" spans="1:9" x14ac:dyDescent="0.25">
      <c r="A13" t="s">
        <v>3814</v>
      </c>
      <c r="B13" s="30">
        <v>6</v>
      </c>
      <c r="C13">
        <v>12613</v>
      </c>
      <c r="D13">
        <v>2329.5</v>
      </c>
      <c r="E13">
        <v>14</v>
      </c>
      <c r="F13" t="s">
        <v>3019</v>
      </c>
      <c r="G13">
        <v>20</v>
      </c>
      <c r="H13" s="73">
        <f t="shared" si="0"/>
        <v>0.3</v>
      </c>
      <c r="I13" t="s">
        <v>3815</v>
      </c>
    </row>
    <row r="14" spans="1:9" x14ac:dyDescent="0.25">
      <c r="A14" t="s">
        <v>3816</v>
      </c>
      <c r="B14" s="72" t="s">
        <v>3817</v>
      </c>
      <c r="C14">
        <v>12613</v>
      </c>
      <c r="D14">
        <v>1136.2666666699999</v>
      </c>
      <c r="E14">
        <v>64</v>
      </c>
      <c r="F14" t="s">
        <v>3019</v>
      </c>
      <c r="G14">
        <v>100</v>
      </c>
      <c r="H14" s="73">
        <f t="shared" si="0"/>
        <v>0.45</v>
      </c>
      <c r="I14" t="s">
        <v>3818</v>
      </c>
    </row>
    <row r="15" spans="1:9" x14ac:dyDescent="0.25">
      <c r="A15" t="s">
        <v>3819</v>
      </c>
      <c r="B15" s="30">
        <v>1</v>
      </c>
      <c r="C15">
        <v>5787</v>
      </c>
      <c r="D15">
        <v>5787</v>
      </c>
      <c r="E15">
        <v>5787</v>
      </c>
      <c r="F15" t="s">
        <v>3019</v>
      </c>
      <c r="G15">
        <v>50</v>
      </c>
      <c r="H15" s="73">
        <f t="shared" si="0"/>
        <v>0.02</v>
      </c>
      <c r="I15" t="s">
        <v>3820</v>
      </c>
    </row>
    <row r="16" spans="1:9" x14ac:dyDescent="0.25">
      <c r="A16" t="s">
        <v>3821</v>
      </c>
      <c r="B16" s="30">
        <v>1</v>
      </c>
      <c r="C16">
        <v>1051</v>
      </c>
      <c r="D16">
        <v>1051</v>
      </c>
      <c r="E16">
        <v>1051</v>
      </c>
      <c r="F16" t="s">
        <v>3019</v>
      </c>
      <c r="G16">
        <v>20</v>
      </c>
      <c r="H16" s="73">
        <f t="shared" si="0"/>
        <v>0.05</v>
      </c>
      <c r="I16" t="s">
        <v>3822</v>
      </c>
    </row>
    <row r="17" spans="1:9" x14ac:dyDescent="0.25">
      <c r="A17" t="s">
        <v>3823</v>
      </c>
      <c r="B17" s="72" t="s">
        <v>3021</v>
      </c>
      <c r="C17">
        <v>8051</v>
      </c>
      <c r="D17">
        <v>4274</v>
      </c>
      <c r="E17">
        <v>4274</v>
      </c>
      <c r="F17" t="s">
        <v>3019</v>
      </c>
      <c r="G17">
        <v>10</v>
      </c>
      <c r="H17" s="73">
        <f t="shared" si="0"/>
        <v>0.2</v>
      </c>
      <c r="I17" t="s">
        <v>3824</v>
      </c>
    </row>
    <row r="18" spans="1:9" x14ac:dyDescent="0.25">
      <c r="A18" t="s">
        <v>3825</v>
      </c>
      <c r="B18" s="72" t="s">
        <v>3023</v>
      </c>
      <c r="C18">
        <v>7614</v>
      </c>
      <c r="D18">
        <v>4427</v>
      </c>
      <c r="E18">
        <v>4616</v>
      </c>
      <c r="F18" t="s">
        <v>3019</v>
      </c>
      <c r="G18">
        <v>100</v>
      </c>
      <c r="H18" s="73">
        <f t="shared" si="0"/>
        <v>0.03</v>
      </c>
      <c r="I18" t="s">
        <v>3826</v>
      </c>
    </row>
    <row r="19" spans="1:9" x14ac:dyDescent="0.25">
      <c r="A19" t="s">
        <v>3827</v>
      </c>
      <c r="B19" s="30">
        <v>18</v>
      </c>
      <c r="C19">
        <v>12613</v>
      </c>
      <c r="D19">
        <v>921.11111111100001</v>
      </c>
      <c r="E19">
        <v>14</v>
      </c>
      <c r="F19" t="s">
        <v>3019</v>
      </c>
      <c r="G19">
        <v>20</v>
      </c>
      <c r="H19" s="73">
        <f t="shared" si="0"/>
        <v>0.9</v>
      </c>
      <c r="I19" t="s">
        <v>3828</v>
      </c>
    </row>
    <row r="20" spans="1:9" x14ac:dyDescent="0.25">
      <c r="A20" t="s">
        <v>3829</v>
      </c>
      <c r="B20" s="30">
        <v>7</v>
      </c>
      <c r="C20">
        <v>23489</v>
      </c>
      <c r="D20">
        <v>5566.3333333299997</v>
      </c>
      <c r="E20">
        <v>1111</v>
      </c>
      <c r="F20" t="s">
        <v>3019</v>
      </c>
      <c r="G20">
        <v>10</v>
      </c>
      <c r="H20" s="73">
        <f t="shared" si="0"/>
        <v>0.7</v>
      </c>
      <c r="I20" t="s">
        <v>3830</v>
      </c>
    </row>
    <row r="21" spans="1:9" x14ac:dyDescent="0.25">
      <c r="A21" t="s">
        <v>3831</v>
      </c>
      <c r="B21" s="30">
        <v>45</v>
      </c>
      <c r="C21">
        <v>42496</v>
      </c>
      <c r="D21">
        <v>2365.8888888900001</v>
      </c>
      <c r="E21">
        <v>188</v>
      </c>
      <c r="F21" t="s">
        <v>3019</v>
      </c>
      <c r="G21">
        <v>50</v>
      </c>
      <c r="H21" s="73"/>
      <c r="I21" t="s">
        <v>3832</v>
      </c>
    </row>
    <row r="22" spans="1:9" x14ac:dyDescent="0.25">
      <c r="A22" t="s">
        <v>3819</v>
      </c>
      <c r="B22" s="30">
        <v>1</v>
      </c>
      <c r="C22">
        <v>5787</v>
      </c>
      <c r="D22">
        <v>5787</v>
      </c>
      <c r="E22">
        <v>5787</v>
      </c>
      <c r="F22" t="s">
        <v>3019</v>
      </c>
      <c r="G22">
        <v>60</v>
      </c>
      <c r="H22" s="73"/>
      <c r="I22" t="s">
        <v>3833</v>
      </c>
    </row>
    <row r="23" spans="1:9" x14ac:dyDescent="0.25">
      <c r="A23" t="s">
        <v>3834</v>
      </c>
      <c r="B23" s="72" t="s">
        <v>3023</v>
      </c>
      <c r="C23">
        <v>7614</v>
      </c>
      <c r="D23">
        <v>4445.3333333299997</v>
      </c>
      <c r="E23">
        <v>4616</v>
      </c>
      <c r="F23" t="s">
        <v>3019</v>
      </c>
      <c r="G23">
        <v>50</v>
      </c>
      <c r="H23" s="73"/>
      <c r="I23" t="s">
        <v>3835</v>
      </c>
    </row>
    <row r="24" spans="1:9" x14ac:dyDescent="0.25">
      <c r="A24" t="s">
        <v>3836</v>
      </c>
      <c r="B24" s="30">
        <v>4</v>
      </c>
      <c r="C24">
        <v>7614</v>
      </c>
      <c r="D24">
        <v>2261.75</v>
      </c>
      <c r="E24">
        <v>999.5</v>
      </c>
      <c r="F24" t="s">
        <v>3019</v>
      </c>
      <c r="G24">
        <v>100</v>
      </c>
      <c r="H24" s="73"/>
      <c r="I24" t="s">
        <v>3837</v>
      </c>
    </row>
    <row r="25" spans="1:9" x14ac:dyDescent="0.25">
      <c r="A25" t="s">
        <v>3838</v>
      </c>
      <c r="B25">
        <v>5</v>
      </c>
      <c r="C25">
        <v>16004</v>
      </c>
      <c r="D25">
        <v>4912.6000000000004</v>
      </c>
      <c r="E25">
        <v>497</v>
      </c>
      <c r="F25" t="s">
        <v>3019</v>
      </c>
      <c r="G25">
        <v>50</v>
      </c>
      <c r="H25" s="73"/>
      <c r="I25" t="s">
        <v>3839</v>
      </c>
    </row>
    <row r="26" spans="1:9" x14ac:dyDescent="0.25">
      <c r="A26" t="s">
        <v>3840</v>
      </c>
      <c r="B26" s="30">
        <v>37</v>
      </c>
      <c r="C26">
        <v>12613</v>
      </c>
      <c r="D26">
        <v>1367.37837838</v>
      </c>
      <c r="E26">
        <v>95</v>
      </c>
      <c r="F26" t="s">
        <v>3019</v>
      </c>
      <c r="G26">
        <v>100</v>
      </c>
      <c r="H26" s="73"/>
      <c r="I26" t="s">
        <v>3841</v>
      </c>
    </row>
    <row r="27" spans="1:9" x14ac:dyDescent="0.25">
      <c r="A27" t="s">
        <v>3842</v>
      </c>
      <c r="B27" s="30">
        <v>6</v>
      </c>
      <c r="C27">
        <v>42496</v>
      </c>
      <c r="D27">
        <v>11948.666666700001</v>
      </c>
      <c r="E27">
        <v>2833.5</v>
      </c>
      <c r="F27" t="s">
        <v>3019</v>
      </c>
      <c r="G27">
        <v>50</v>
      </c>
      <c r="H27" s="73"/>
      <c r="I27" t="s">
        <v>3843</v>
      </c>
    </row>
    <row r="28" spans="1:9" x14ac:dyDescent="0.25">
      <c r="A28" t="s">
        <v>3819</v>
      </c>
      <c r="B28">
        <v>1</v>
      </c>
      <c r="C28">
        <v>5787</v>
      </c>
      <c r="D28">
        <v>5787</v>
      </c>
      <c r="E28">
        <v>5787</v>
      </c>
      <c r="F28" t="s">
        <v>3019</v>
      </c>
      <c r="G28">
        <v>60</v>
      </c>
      <c r="H28" s="73"/>
      <c r="I28" t="s">
        <v>3844</v>
      </c>
    </row>
    <row r="29" spans="1:9" x14ac:dyDescent="0.25">
      <c r="A29" t="s">
        <v>3845</v>
      </c>
      <c r="B29">
        <v>1</v>
      </c>
      <c r="C29">
        <v>169</v>
      </c>
      <c r="D29">
        <v>169</v>
      </c>
      <c r="E29">
        <v>169</v>
      </c>
      <c r="F29" t="s">
        <v>3019</v>
      </c>
      <c r="G29">
        <v>20</v>
      </c>
      <c r="H29" s="73"/>
      <c r="I29" t="s">
        <v>3846</v>
      </c>
    </row>
    <row r="30" spans="1:9" x14ac:dyDescent="0.25">
      <c r="A30" t="s">
        <v>3847</v>
      </c>
      <c r="B30" s="30">
        <v>7</v>
      </c>
      <c r="C30">
        <v>7614</v>
      </c>
      <c r="D30">
        <v>2018.71428571</v>
      </c>
      <c r="E30">
        <v>478</v>
      </c>
      <c r="F30" t="s">
        <v>3019</v>
      </c>
      <c r="G30">
        <v>50</v>
      </c>
      <c r="H30" s="73"/>
      <c r="I30" t="s">
        <v>3848</v>
      </c>
    </row>
    <row r="31" spans="1:9" x14ac:dyDescent="0.25">
      <c r="A31" t="s">
        <v>3849</v>
      </c>
      <c r="B31" s="72" t="s">
        <v>3021</v>
      </c>
      <c r="C31">
        <v>6113</v>
      </c>
      <c r="D31">
        <v>4988.6666666700003</v>
      </c>
      <c r="E31">
        <v>5787</v>
      </c>
      <c r="F31" t="s">
        <v>3019</v>
      </c>
      <c r="G31">
        <v>100</v>
      </c>
      <c r="H31" s="73"/>
      <c r="I31" t="s">
        <v>3850</v>
      </c>
    </row>
    <row r="32" spans="1:9" x14ac:dyDescent="0.25">
      <c r="A32" t="s">
        <v>3819</v>
      </c>
      <c r="B32" s="72" t="s">
        <v>3022</v>
      </c>
      <c r="C32">
        <v>5787</v>
      </c>
      <c r="D32">
        <v>5787</v>
      </c>
      <c r="E32">
        <v>5787</v>
      </c>
      <c r="F32" t="s">
        <v>3019</v>
      </c>
      <c r="G32">
        <v>50</v>
      </c>
      <c r="H32" s="73"/>
      <c r="I32" t="s">
        <v>3851</v>
      </c>
    </row>
    <row r="33" spans="1:9" x14ac:dyDescent="0.25">
      <c r="A33" t="s">
        <v>3821</v>
      </c>
      <c r="B33">
        <v>1</v>
      </c>
      <c r="C33">
        <v>1051</v>
      </c>
      <c r="D33">
        <v>1051</v>
      </c>
      <c r="E33">
        <v>1051</v>
      </c>
      <c r="F33" t="s">
        <v>3019</v>
      </c>
      <c r="G33">
        <v>50</v>
      </c>
      <c r="H33" s="73"/>
      <c r="I33" t="s">
        <v>3852</v>
      </c>
    </row>
    <row r="34" spans="1:9" x14ac:dyDescent="0.25">
      <c r="A34" t="s">
        <v>3853</v>
      </c>
      <c r="B34" s="30">
        <v>93</v>
      </c>
      <c r="C34">
        <v>7614</v>
      </c>
      <c r="D34">
        <v>806.2</v>
      </c>
      <c r="E34">
        <v>161</v>
      </c>
      <c r="F34" t="s">
        <v>3019</v>
      </c>
      <c r="G34">
        <v>100</v>
      </c>
      <c r="H34" s="73"/>
      <c r="I34" t="s">
        <v>3854</v>
      </c>
    </row>
    <row r="35" spans="1:9" x14ac:dyDescent="0.25">
      <c r="A35" t="s">
        <v>3855</v>
      </c>
      <c r="B35" s="30">
        <v>4</v>
      </c>
      <c r="C35">
        <v>6113</v>
      </c>
      <c r="D35">
        <v>3894.5</v>
      </c>
      <c r="E35">
        <v>4426.5</v>
      </c>
      <c r="F35" t="s">
        <v>3019</v>
      </c>
      <c r="G35">
        <v>100</v>
      </c>
      <c r="H35" s="73"/>
      <c r="I35" t="s">
        <v>3856</v>
      </c>
    </row>
    <row r="36" spans="1:9" x14ac:dyDescent="0.25">
      <c r="A36" t="s">
        <v>3857</v>
      </c>
      <c r="B36" s="72" t="s">
        <v>3858</v>
      </c>
      <c r="C36">
        <v>42496</v>
      </c>
      <c r="D36">
        <v>1848.6</v>
      </c>
      <c r="E36">
        <v>4</v>
      </c>
      <c r="F36" t="s">
        <v>3019</v>
      </c>
      <c r="G36">
        <v>100</v>
      </c>
      <c r="H36" s="73"/>
      <c r="I36" t="s">
        <v>3859</v>
      </c>
    </row>
    <row r="37" spans="1:9" x14ac:dyDescent="0.25">
      <c r="A37" t="s">
        <v>3808</v>
      </c>
      <c r="B37" s="30">
        <v>1</v>
      </c>
      <c r="C37">
        <v>4616</v>
      </c>
      <c r="D37">
        <v>4616</v>
      </c>
      <c r="E37">
        <v>4616</v>
      </c>
      <c r="F37" t="s">
        <v>3019</v>
      </c>
      <c r="G37">
        <v>20</v>
      </c>
      <c r="H37" s="73"/>
      <c r="I37" t="s">
        <v>3860</v>
      </c>
    </row>
    <row r="38" spans="1:9" x14ac:dyDescent="0.25">
      <c r="A38" t="s">
        <v>3861</v>
      </c>
      <c r="B38" s="72" t="s">
        <v>3862</v>
      </c>
      <c r="C38">
        <v>42496</v>
      </c>
      <c r="D38">
        <v>5505.9411764699998</v>
      </c>
      <c r="E38">
        <v>1051</v>
      </c>
      <c r="F38" t="s">
        <v>3019</v>
      </c>
      <c r="G38">
        <v>100</v>
      </c>
      <c r="H38" s="73"/>
      <c r="I38" t="s">
        <v>3863</v>
      </c>
    </row>
    <row r="39" spans="1:9" x14ac:dyDescent="0.25">
      <c r="A39" t="s">
        <v>3864</v>
      </c>
      <c r="B39" s="30">
        <v>38</v>
      </c>
      <c r="C39">
        <v>42496</v>
      </c>
      <c r="D39">
        <v>2178.5263157899999</v>
      </c>
      <c r="E39">
        <v>12</v>
      </c>
      <c r="F39" t="s">
        <v>3019</v>
      </c>
      <c r="G39">
        <v>100</v>
      </c>
      <c r="H39" s="73"/>
      <c r="I39" t="s">
        <v>3865</v>
      </c>
    </row>
    <row r="40" spans="1:9" x14ac:dyDescent="0.25">
      <c r="A40" t="s">
        <v>3866</v>
      </c>
      <c r="B40" s="30">
        <v>3</v>
      </c>
      <c r="C40">
        <v>8051</v>
      </c>
      <c r="D40">
        <v>2683.6666666699998</v>
      </c>
      <c r="E40">
        <v>0</v>
      </c>
      <c r="F40" t="s">
        <v>3019</v>
      </c>
      <c r="G40">
        <v>50</v>
      </c>
      <c r="H40" s="73"/>
      <c r="I40" t="s">
        <v>3867</v>
      </c>
    </row>
    <row r="41" spans="1:9" x14ac:dyDescent="0.25">
      <c r="A41" t="s">
        <v>3868</v>
      </c>
      <c r="B41" s="30">
        <v>49</v>
      </c>
      <c r="C41">
        <v>12613</v>
      </c>
      <c r="D41">
        <v>1310.2666666699999</v>
      </c>
      <c r="E41">
        <v>31</v>
      </c>
      <c r="F41" t="s">
        <v>3019</v>
      </c>
      <c r="G41">
        <v>100</v>
      </c>
      <c r="H41" s="73"/>
      <c r="I41" t="s">
        <v>3869</v>
      </c>
    </row>
    <row r="42" spans="1:9" x14ac:dyDescent="0.25">
      <c r="A42" t="s">
        <v>3870</v>
      </c>
      <c r="B42" s="30">
        <v>25</v>
      </c>
      <c r="C42">
        <v>42496</v>
      </c>
      <c r="D42">
        <v>3221.08</v>
      </c>
      <c r="E42">
        <v>39</v>
      </c>
      <c r="F42" t="s">
        <v>3019</v>
      </c>
      <c r="G42">
        <v>100</v>
      </c>
      <c r="H42" s="73"/>
      <c r="I42" t="s">
        <v>3871</v>
      </c>
    </row>
    <row r="43" spans="1:9" x14ac:dyDescent="0.25">
      <c r="A43" t="s">
        <v>3849</v>
      </c>
      <c r="B43" s="72" t="s">
        <v>3021</v>
      </c>
      <c r="C43">
        <v>6113</v>
      </c>
      <c r="D43">
        <v>4988.6666666700003</v>
      </c>
      <c r="E43">
        <v>5787</v>
      </c>
      <c r="F43" t="s">
        <v>3019</v>
      </c>
      <c r="G43">
        <v>100</v>
      </c>
      <c r="H43" s="73"/>
      <c r="I43" t="s">
        <v>3872</v>
      </c>
    </row>
    <row r="44" spans="1:9" x14ac:dyDescent="0.25">
      <c r="A44" t="s">
        <v>3873</v>
      </c>
      <c r="B44" s="30">
        <v>6</v>
      </c>
      <c r="C44">
        <v>12613</v>
      </c>
      <c r="D44">
        <v>2507.3333333300002</v>
      </c>
      <c r="E44">
        <v>544.5</v>
      </c>
      <c r="F44" t="s">
        <v>3019</v>
      </c>
      <c r="G44">
        <v>20</v>
      </c>
      <c r="H44" s="73"/>
      <c r="I44" t="s">
        <v>3874</v>
      </c>
    </row>
    <row r="45" spans="1:9" x14ac:dyDescent="0.25">
      <c r="B45" s="72"/>
      <c r="H45" s="73"/>
    </row>
    <row r="46" spans="1:9" x14ac:dyDescent="0.25">
      <c r="B46" s="30"/>
      <c r="H46" s="73"/>
    </row>
    <row r="47" spans="1:9" x14ac:dyDescent="0.25">
      <c r="B47" s="72"/>
      <c r="H47" s="73"/>
    </row>
    <row r="48" spans="1:9" x14ac:dyDescent="0.25">
      <c r="B48" s="72"/>
      <c r="H48" s="73"/>
    </row>
    <row r="49" spans="2:8" x14ac:dyDescent="0.25">
      <c r="B49" s="72"/>
      <c r="H49" s="73"/>
    </row>
    <row r="50" spans="2:8" x14ac:dyDescent="0.25">
      <c r="B50" s="30"/>
      <c r="H50" s="73"/>
    </row>
    <row r="51" spans="2:8" x14ac:dyDescent="0.25">
      <c r="B51" s="30"/>
      <c r="H51" s="73"/>
    </row>
    <row r="52" spans="2:8" x14ac:dyDescent="0.25">
      <c r="B52" s="30"/>
      <c r="H52" s="73"/>
    </row>
    <row r="53" spans="2:8" x14ac:dyDescent="0.25">
      <c r="H53" s="73"/>
    </row>
    <row r="54" spans="2:8" x14ac:dyDescent="0.25">
      <c r="H54" s="73"/>
    </row>
    <row r="55" spans="2:8" x14ac:dyDescent="0.25">
      <c r="B55" s="30"/>
      <c r="H55" s="73"/>
    </row>
    <row r="56" spans="2:8" x14ac:dyDescent="0.25">
      <c r="B56" s="72"/>
      <c r="H56" s="73"/>
    </row>
    <row r="57" spans="2:8" x14ac:dyDescent="0.25">
      <c r="H57" s="73"/>
    </row>
    <row r="58" spans="2:8" x14ac:dyDescent="0.25">
      <c r="H58" s="73"/>
    </row>
    <row r="59" spans="2:8" x14ac:dyDescent="0.25">
      <c r="H59" s="73"/>
    </row>
    <row r="60" spans="2:8" x14ac:dyDescent="0.25">
      <c r="B60" s="30"/>
      <c r="H60" s="73"/>
    </row>
    <row r="61" spans="2:8" x14ac:dyDescent="0.25">
      <c r="H61" s="73"/>
    </row>
    <row r="62" spans="2:8" x14ac:dyDescent="0.25">
      <c r="B62" s="72"/>
      <c r="H62" s="73"/>
    </row>
    <row r="63" spans="2:8" x14ac:dyDescent="0.25">
      <c r="H63" s="73"/>
    </row>
    <row r="64" spans="2:8" x14ac:dyDescent="0.25">
      <c r="B64" s="30"/>
      <c r="H64" s="73"/>
    </row>
    <row r="65" spans="2:8" x14ac:dyDescent="0.25">
      <c r="B65" s="30"/>
      <c r="H65" s="73"/>
    </row>
    <row r="66" spans="2:8" x14ac:dyDescent="0.25">
      <c r="B66" s="30"/>
      <c r="H66" s="73"/>
    </row>
    <row r="67" spans="2:8" x14ac:dyDescent="0.25">
      <c r="B67" s="30"/>
      <c r="H67" s="73"/>
    </row>
    <row r="68" spans="2:8" x14ac:dyDescent="0.25">
      <c r="B68" s="30"/>
      <c r="H68" s="73"/>
    </row>
    <row r="69" spans="2:8" x14ac:dyDescent="0.25">
      <c r="B69" s="30"/>
      <c r="H69" s="73"/>
    </row>
    <row r="70" spans="2:8" x14ac:dyDescent="0.25">
      <c r="B70" s="30"/>
      <c r="H70" s="73"/>
    </row>
    <row r="71" spans="2:8" x14ac:dyDescent="0.25">
      <c r="H71" s="73"/>
    </row>
    <row r="72" spans="2:8" x14ac:dyDescent="0.25">
      <c r="B72" s="30"/>
      <c r="H72" s="73"/>
    </row>
    <row r="73" spans="2:8" x14ac:dyDescent="0.25">
      <c r="B73" s="30"/>
      <c r="H73" s="73"/>
    </row>
    <row r="74" spans="2:8" x14ac:dyDescent="0.25">
      <c r="H74" s="73"/>
    </row>
    <row r="75" spans="2:8" x14ac:dyDescent="0.25">
      <c r="H75" s="73"/>
    </row>
    <row r="76" spans="2:8" x14ac:dyDescent="0.25">
      <c r="B76" s="30"/>
      <c r="H76" s="73"/>
    </row>
    <row r="77" spans="2:8" x14ac:dyDescent="0.25">
      <c r="B77" s="30"/>
      <c r="H77" s="73"/>
    </row>
    <row r="78" spans="2:8" x14ac:dyDescent="0.25">
      <c r="H78" s="73"/>
    </row>
    <row r="79" spans="2:8" x14ac:dyDescent="0.25">
      <c r="H79" s="73"/>
    </row>
    <row r="80" spans="2:8" x14ac:dyDescent="0.25">
      <c r="H80" s="73"/>
    </row>
    <row r="81" spans="2:8" x14ac:dyDescent="0.25">
      <c r="B81" s="30"/>
      <c r="H81" s="73"/>
    </row>
    <row r="82" spans="2:8" x14ac:dyDescent="0.25">
      <c r="B82" s="30"/>
      <c r="H82" s="73"/>
    </row>
    <row r="83" spans="2:8" x14ac:dyDescent="0.25">
      <c r="B83" s="30"/>
      <c r="H83" s="73"/>
    </row>
    <row r="84" spans="2:8" x14ac:dyDescent="0.25">
      <c r="B84" s="30"/>
      <c r="H84" s="73"/>
    </row>
    <row r="85" spans="2:8" x14ac:dyDescent="0.25">
      <c r="H85" s="73"/>
    </row>
    <row r="86" spans="2:8" x14ac:dyDescent="0.25">
      <c r="B86" s="30"/>
      <c r="H86" s="73"/>
    </row>
    <row r="87" spans="2:8" x14ac:dyDescent="0.25">
      <c r="B87" s="30"/>
      <c r="H87" s="73"/>
    </row>
    <row r="88" spans="2:8" x14ac:dyDescent="0.25">
      <c r="H88" s="73"/>
    </row>
    <row r="89" spans="2:8" x14ac:dyDescent="0.25">
      <c r="B89" s="30"/>
      <c r="H89" s="73"/>
    </row>
    <row r="90" spans="2:8" x14ac:dyDescent="0.25">
      <c r="B90" s="30"/>
      <c r="H90" s="73"/>
    </row>
    <row r="91" spans="2:8" x14ac:dyDescent="0.25">
      <c r="B91" s="30"/>
      <c r="H91" s="73"/>
    </row>
    <row r="92" spans="2:8" x14ac:dyDescent="0.25">
      <c r="B92" s="30"/>
      <c r="H92" s="73"/>
    </row>
    <row r="93" spans="2:8" x14ac:dyDescent="0.25">
      <c r="H93" s="73"/>
    </row>
    <row r="94" spans="2:8" x14ac:dyDescent="0.25">
      <c r="B94" s="72"/>
      <c r="H94" s="73"/>
    </row>
    <row r="95" spans="2:8" x14ac:dyDescent="0.25">
      <c r="H95" s="73"/>
    </row>
    <row r="96" spans="2:8" x14ac:dyDescent="0.25">
      <c r="H96" s="73"/>
    </row>
    <row r="97" spans="2:8" x14ac:dyDescent="0.25">
      <c r="H97" s="73"/>
    </row>
    <row r="98" spans="2:8" x14ac:dyDescent="0.25">
      <c r="B98" s="30"/>
      <c r="H98" s="73"/>
    </row>
    <row r="99" spans="2:8" x14ac:dyDescent="0.25">
      <c r="B99" s="72"/>
      <c r="H99" s="73"/>
    </row>
    <row r="100" spans="2:8" x14ac:dyDescent="0.25">
      <c r="H100" s="73"/>
    </row>
    <row r="101" spans="2:8" x14ac:dyDescent="0.25">
      <c r="H101" s="73"/>
    </row>
    <row r="102" spans="2:8" x14ac:dyDescent="0.25">
      <c r="B102" s="30"/>
      <c r="H102" s="73"/>
    </row>
    <row r="103" spans="2:8" x14ac:dyDescent="0.25">
      <c r="H103" s="73"/>
    </row>
    <row r="104" spans="2:8" x14ac:dyDescent="0.25">
      <c r="B104" s="72"/>
      <c r="H104" s="73"/>
    </row>
    <row r="105" spans="2:8" x14ac:dyDescent="0.25">
      <c r="H105" s="73"/>
    </row>
    <row r="106" spans="2:8" x14ac:dyDescent="0.25">
      <c r="B106" s="30"/>
      <c r="H106" s="73"/>
    </row>
    <row r="107" spans="2:8" x14ac:dyDescent="0.25">
      <c r="H107" s="73"/>
    </row>
    <row r="108" spans="2:8" x14ac:dyDescent="0.25">
      <c r="H108" s="73"/>
    </row>
    <row r="109" spans="2:8" x14ac:dyDescent="0.25">
      <c r="B109" s="30"/>
      <c r="H109" s="73"/>
    </row>
    <row r="110" spans="2:8" x14ac:dyDescent="0.25">
      <c r="B110" s="72"/>
      <c r="H110" s="73"/>
    </row>
    <row r="111" spans="2:8" x14ac:dyDescent="0.25">
      <c r="H111" s="73"/>
    </row>
    <row r="112" spans="2:8" x14ac:dyDescent="0.25">
      <c r="H112" s="73"/>
    </row>
    <row r="113" spans="2:8" x14ac:dyDescent="0.25">
      <c r="H113" s="73"/>
    </row>
    <row r="114" spans="2:8" x14ac:dyDescent="0.25">
      <c r="B114" s="30"/>
      <c r="H114" s="73"/>
    </row>
    <row r="115" spans="2:8" x14ac:dyDescent="0.25">
      <c r="H115" s="73"/>
    </row>
    <row r="116" spans="2:8" x14ac:dyDescent="0.25">
      <c r="H116" s="73"/>
    </row>
    <row r="117" spans="2:8" x14ac:dyDescent="0.25">
      <c r="H117" s="73"/>
    </row>
    <row r="118" spans="2:8" x14ac:dyDescent="0.25">
      <c r="B118" s="30"/>
      <c r="H118" s="73"/>
    </row>
    <row r="119" spans="2:8" x14ac:dyDescent="0.25">
      <c r="H119" s="73"/>
    </row>
    <row r="120" spans="2:8" x14ac:dyDescent="0.25">
      <c r="B120" s="72"/>
      <c r="H120" s="73"/>
    </row>
    <row r="121" spans="2:8" x14ac:dyDescent="0.25">
      <c r="H121" s="73"/>
    </row>
    <row r="122" spans="2:8" x14ac:dyDescent="0.25">
      <c r="H122" s="73"/>
    </row>
    <row r="123" spans="2:8" x14ac:dyDescent="0.25">
      <c r="B123" s="30"/>
      <c r="H123" s="73"/>
    </row>
    <row r="124" spans="2:8" x14ac:dyDescent="0.25">
      <c r="H124" s="73"/>
    </row>
    <row r="125" spans="2:8" x14ac:dyDescent="0.25">
      <c r="H125" s="73"/>
    </row>
    <row r="126" spans="2:8" x14ac:dyDescent="0.25">
      <c r="B126" s="30"/>
      <c r="H126" s="73"/>
    </row>
    <row r="127" spans="2:8" x14ac:dyDescent="0.25">
      <c r="H127" s="73"/>
    </row>
    <row r="128" spans="2:8" x14ac:dyDescent="0.25">
      <c r="H128" s="73"/>
    </row>
    <row r="129" spans="2:8" x14ac:dyDescent="0.25">
      <c r="H129" s="73"/>
    </row>
    <row r="130" spans="2:8" x14ac:dyDescent="0.25">
      <c r="H130" s="73"/>
    </row>
    <row r="131" spans="2:8" x14ac:dyDescent="0.25">
      <c r="H131" s="73"/>
    </row>
    <row r="132" spans="2:8" x14ac:dyDescent="0.25">
      <c r="H132" s="73"/>
    </row>
    <row r="133" spans="2:8" x14ac:dyDescent="0.25">
      <c r="B133" s="30"/>
      <c r="H133" s="73"/>
    </row>
    <row r="134" spans="2:8" x14ac:dyDescent="0.25">
      <c r="B134" s="30"/>
      <c r="H134" s="73"/>
    </row>
    <row r="135" spans="2:8" x14ac:dyDescent="0.25">
      <c r="B135" s="30"/>
      <c r="H135" s="73"/>
    </row>
    <row r="136" spans="2:8" x14ac:dyDescent="0.25">
      <c r="H136" s="73"/>
    </row>
    <row r="137" spans="2:8" x14ac:dyDescent="0.25">
      <c r="B137" s="30"/>
      <c r="H137" s="73"/>
    </row>
    <row r="138" spans="2:8" x14ac:dyDescent="0.25">
      <c r="H138" s="73"/>
    </row>
    <row r="139" spans="2:8" x14ac:dyDescent="0.25">
      <c r="B139" s="72"/>
      <c r="H139" s="73"/>
    </row>
    <row r="140" spans="2:8" x14ac:dyDescent="0.25">
      <c r="H140" s="73"/>
    </row>
    <row r="141" spans="2:8" x14ac:dyDescent="0.25">
      <c r="B141" s="30"/>
      <c r="H141" s="73"/>
    </row>
    <row r="142" spans="2:8" x14ac:dyDescent="0.25">
      <c r="B142" s="30"/>
      <c r="H142" s="73"/>
    </row>
    <row r="143" spans="2:8" x14ac:dyDescent="0.25">
      <c r="H143" s="73"/>
    </row>
    <row r="144" spans="2:8" x14ac:dyDescent="0.25">
      <c r="H144" s="73"/>
    </row>
    <row r="145" spans="2:8" x14ac:dyDescent="0.25">
      <c r="H145" s="73"/>
    </row>
    <row r="146" spans="2:8" x14ac:dyDescent="0.25">
      <c r="H146" s="73"/>
    </row>
    <row r="147" spans="2:8" x14ac:dyDescent="0.25">
      <c r="B147" s="30"/>
      <c r="H147" s="73"/>
    </row>
    <row r="148" spans="2:8" x14ac:dyDescent="0.25">
      <c r="H148" s="73"/>
    </row>
    <row r="149" spans="2:8" x14ac:dyDescent="0.25">
      <c r="B149" s="30"/>
      <c r="H149" s="73"/>
    </row>
    <row r="150" spans="2:8" x14ac:dyDescent="0.25">
      <c r="H150" s="73"/>
    </row>
    <row r="151" spans="2:8" x14ac:dyDescent="0.25">
      <c r="H151" s="73"/>
    </row>
    <row r="152" spans="2:8" x14ac:dyDescent="0.25">
      <c r="B152" s="30"/>
      <c r="H152" s="73"/>
    </row>
    <row r="153" spans="2:8" x14ac:dyDescent="0.25">
      <c r="H153" s="73"/>
    </row>
    <row r="154" spans="2:8" x14ac:dyDescent="0.25">
      <c r="H154" s="73"/>
    </row>
    <row r="155" spans="2:8" x14ac:dyDescent="0.25">
      <c r="H155" s="73"/>
    </row>
    <row r="156" spans="2:8" x14ac:dyDescent="0.25">
      <c r="B156" s="30"/>
      <c r="H156" s="73"/>
    </row>
    <row r="157" spans="2:8" x14ac:dyDescent="0.25">
      <c r="H157" s="73"/>
    </row>
    <row r="158" spans="2:8" x14ac:dyDescent="0.25">
      <c r="B158" s="72"/>
      <c r="H158" s="73"/>
    </row>
    <row r="159" spans="2:8" x14ac:dyDescent="0.25">
      <c r="B159" s="72"/>
      <c r="H159" s="73"/>
    </row>
    <row r="160" spans="2:8" x14ac:dyDescent="0.25">
      <c r="H160" s="73"/>
    </row>
    <row r="161" spans="2:8" x14ac:dyDescent="0.25">
      <c r="H161" s="73"/>
    </row>
    <row r="162" spans="2:8" x14ac:dyDescent="0.25">
      <c r="H162" s="73"/>
    </row>
    <row r="163" spans="2:8" x14ac:dyDescent="0.25">
      <c r="H163" s="73"/>
    </row>
    <row r="164" spans="2:8" x14ac:dyDescent="0.25">
      <c r="H164" s="73"/>
    </row>
    <row r="165" spans="2:8" x14ac:dyDescent="0.25">
      <c r="B165" s="30"/>
      <c r="H165" s="73"/>
    </row>
    <row r="166" spans="2:8" x14ac:dyDescent="0.25">
      <c r="B166" s="30"/>
      <c r="H166" s="73"/>
    </row>
    <row r="167" spans="2:8" x14ac:dyDescent="0.25">
      <c r="B167" s="30"/>
      <c r="H167" s="73"/>
    </row>
    <row r="168" spans="2:8" x14ac:dyDescent="0.25">
      <c r="H168" s="73"/>
    </row>
    <row r="169" spans="2:8" x14ac:dyDescent="0.25">
      <c r="H169" s="73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To Do</vt:lpstr>
      <vt:lpstr>Dashboard</vt:lpstr>
      <vt:lpstr>Backtest_Parameters</vt:lpstr>
      <vt:lpstr>Backtest_Output</vt:lpstr>
      <vt:lpstr>Parameters</vt:lpstr>
      <vt:lpstr>Player Mapping</vt:lpstr>
      <vt:lpstr>Player Map</vt:lpstr>
      <vt:lpstr>Roster</vt:lpstr>
      <vt:lpstr>Best Contests</vt:lpstr>
      <vt:lpstr>Performance Monitoring</vt:lpstr>
      <vt:lpstr>Team Map</vt:lpstr>
      <vt:lpstr>Output</vt:lpstr>
      <vt:lpstr>stadium data</vt:lpstr>
      <vt:lpstr>Sheet1</vt:lpstr>
      <vt:lpstr>clBCLastRow</vt:lpstr>
      <vt:lpstr>clDFNMLB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clRNMLB</vt:lpstr>
      <vt:lpstr>clRNNBA</vt:lpstr>
      <vt:lpstr>clRNNHL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Cole MacLean</cp:lastModifiedBy>
  <dcterms:created xsi:type="dcterms:W3CDTF">2014-05-13T03:02:49Z</dcterms:created>
  <dcterms:modified xsi:type="dcterms:W3CDTF">2015-08-16T00:16:11Z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