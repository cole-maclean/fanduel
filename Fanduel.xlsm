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1" activeTab="3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Team Map" sheetId="14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Output" sheetId="17" r:id="rId12"/>
    <sheet name="Baseball Simulation" sheetId="18" r:id="rId13"/>
  </sheets>
  <definedNames>
    <definedName name="_xlnm._FilterDatabase" localSheetId="6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 localSheetId="3">Backtest_Parameters!#REF!</definedName>
    <definedName name="cLastDataDate">Parameters!#REF!</definedName>
    <definedName name="clAwayScore">'Baseball Simulation'!$H$2</definedName>
    <definedName name="clBatter">'Baseball Simulation'!$F$7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'Baseball Simulation'!$F$11</definedName>
    <definedName name="clEventDes" localSheetId="3">'Baseball Simulation'!#REF!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 localSheetId="3">Backtest_Parameters!#REF!</definedName>
    <definedName name="cLineUpURL">Parameters!$B$2</definedName>
    <definedName name="clInning">'Baseball Simulation'!$F$4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48" i="19" l="1"/>
  <c r="D49" i="19"/>
  <c r="D50" i="19"/>
  <c r="D51" i="19"/>
  <c r="D52" i="19"/>
  <c r="D53" i="19"/>
  <c r="D54" i="19"/>
  <c r="D55" i="19"/>
  <c r="D47" i="19"/>
  <c r="D34" i="19"/>
  <c r="D35" i="19"/>
  <c r="D36" i="19"/>
  <c r="D37" i="19"/>
  <c r="D38" i="19"/>
  <c r="D39" i="19"/>
  <c r="D40" i="19"/>
  <c r="D41" i="19"/>
  <c r="D33" i="19"/>
  <c r="D23" i="19"/>
  <c r="D24" i="19"/>
  <c r="D25" i="19"/>
  <c r="D26" i="19"/>
  <c r="D27" i="19"/>
  <c r="D28" i="19"/>
  <c r="D29" i="19"/>
  <c r="D30" i="19"/>
  <c r="D22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<sst xmlns="http://schemas.openxmlformats.org/spreadsheetml/2006/main" count="2163" uniqueCount="973">
  <si>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</si>
  <si>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</si>
  <si>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</si>
  <si>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</si>
  <si>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</si>
  <si>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</si>
  <si>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</si>
  <si>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</si>
  <si>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</si>
  <si>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</si>
  <si>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</si>
  <si>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</si>
  <si>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</si>
  <si>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</si>
  <si>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</si>
  <si>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</si>
  <si>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</si>
  <si>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</si>
  <si>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</si>
  <si>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</si>
  <si>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</si>
  <si>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</si>
  <si>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</si>
  <si>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</si>
  <si>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</si>
  <si>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</si>
  <si>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</si>
  <si>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</si>
  <si>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</si>
  <si>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</si>
  <si>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</si>
  <si>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</si>
  <si>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</si>
  <si>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</si>
  <si>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</si>
  <si>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</si>
  <si>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</si>
  <si>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</si>
  <si>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</si>
  <si>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</si>
  <si>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</si>
  <si>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</si>
  <si>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</si>
  <si>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</si>
  <si>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</si>
  <si>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</si>
  <si>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</si>
  <si>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</si>
  <si>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</si>
  <si>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</si>
  <si>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</si>
  <si>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</si>
  <si>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</si>
  <si>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</si>
  <si>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</si>
  <si>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</si>
  <si>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</si>
  <si>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</si>
  <si>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</si>
  <si>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</si>
  <si>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</si>
  <si>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</si>
  <si>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</si>
  <si>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</si>
  <si>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</si>
  <si>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</si>
  <si>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</si>
  <si>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</si>
  <si>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</si>
  <si>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</si>
  <si>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</si>
  <si>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</si>
  <si>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</si>
  <si>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</si>
  <si>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</si>
  <si>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</si>
  <si>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</si>
  <si>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</si>
  <si>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</si>
  <si>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</si>
  <si>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</si>
  <si>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</si>
  <si>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</si>
  <si>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</si>
  <si>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</si>
  <si>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</si>
  <si>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</si>
  <si>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</si>
  <si>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</si>
  <si>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</si>
  <si>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</si>
  <si>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</si>
  <si>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</si>
  <si>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</si>
  <si>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</si>
  <si>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</si>
  <si>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</si>
  <si>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</si>
  <si>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</si>
  <si>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</si>
  <si>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</si>
  <si>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</si>
  <si>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</si>
  <si>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</si>
  <si>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</si>
  <si>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</si>
  <si>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</si>
  <si>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</si>
  <si>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</si>
  <si>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</si>
  <si>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</si>
  <si>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</si>
  <si>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</si>
  <si>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</si>
  <si>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</si>
  <si>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</si>
  <si>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</si>
  <si>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</si>
  <si>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</si>
  <si>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</si>
  <si>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</si>
  <si>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</si>
  <si>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</si>
  <si>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</si>
  <si>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</si>
  <si>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</si>
  <si>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</si>
  <si>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</si>
  <si>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</si>
  <si>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</si>
  <si>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</si>
  <si>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</si>
  <si>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</si>
  <si>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</si>
  <si>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</si>
  <si>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</si>
  <si>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</si>
  <si>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</si>
  <si>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</si>
  <si>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</si>
  <si>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</si>
  <si>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</si>
  <si>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</si>
  <si>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</si>
  <si>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</si>
  <si>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</si>
  <si>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</si>
  <si>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</si>
  <si>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</si>
  <si>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</si>
  <si>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</si>
  <si>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</si>
  <si>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</si>
  <si>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</si>
  <si>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</si>
  <si>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</si>
  <si>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</si>
  <si>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</si>
  <si>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</si>
  <si>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</si>
  <si>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</si>
  <si>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</si>
  <si>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</si>
  <si>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</si>
  <si>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</si>
  <si>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</si>
  <si>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</si>
  <si>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</si>
  <si>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</si>
  <si>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</si>
  <si>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</si>
  <si>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</si>
  <si>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</si>
  <si>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</si>
  <si>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</si>
  <si>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</si>
  <si>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</si>
  <si>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</si>
  <si>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</si>
  <si>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</si>
  <si>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</si>
  <si>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</si>
  <si>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</si>
  <si>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</si>
  <si>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</si>
  <si>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</si>
  <si>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</si>
  <si>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</si>
  <si>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</si>
  <si>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</si>
  <si>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</si>
  <si>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</si>
  <si>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</si>
  <si>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</si>
  <si>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</si>
  <si>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</si>
  <si>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</si>
  <si>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</si>
  <si>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</si>
  <si>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</si>
  <si>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</si>
  <si>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</si>
  <si>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</si>
  <si>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</si>
  <si>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</si>
  <si>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</si>
  <si>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</si>
  <si>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</si>
  <si>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</si>
  <si>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</si>
  <si>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</si>
  <si>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</si>
  <si>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</si>
  <si>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</si>
  <si>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</si>
  <si>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</si>
  <si>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</si>
  <si>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</si>
  <si>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</si>
  <si>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</si>
  <si>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</si>
  <si>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</si>
  <si>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</si>
  <si>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</si>
  <si>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</si>
  <si>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</si>
  <si>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</si>
  <si>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</si>
  <si>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</si>
  <si>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</si>
  <si>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</si>
  <si>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</si>
  <si>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</si>
  <si>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</si>
  <si>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</si>
  <si>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</si>
  <si>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</si>
  <si>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</si>
  <si>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</si>
  <si>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</si>
  <si>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</si>
  <si>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</si>
  <si>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</si>
  <si>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</si>
  <si>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</si>
  <si>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</si>
  <si>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</si>
  <si>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</si>
  <si>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</si>
  <si>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</si>
  <si>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</si>
  <si>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</si>
  <si>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</si>
  <si>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</si>
  <si>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</si>
  <si>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</si>
  <si>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</si>
  <si>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</si>
  <si>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</si>
  <si>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</si>
  <si>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</si>
  <si>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</si>
  <si>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</si>
  <si>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</si>
  <si>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</si>
  <si>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</si>
  <si>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</si>
  <si>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</si>
  <si>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</si>
  <si>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</si>
  <si>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</si>
  <si>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</si>
  <si>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</si>
  <si>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</si>
  <si>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</si>
  <si>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</si>
  <si>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</si>
  <si>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</si>
  <si>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</si>
  <si>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</si>
  <si>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</si>
  <si>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</si>
  <si>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</si>
  <si>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</si>
  <si>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</si>
  <si>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</si>
  <si>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</si>
  <si>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</si>
  <si>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</si>
  <si>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</si>
  <si>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</si>
  <si>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</si>
  <si>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</si>
  <si>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</si>
  <si>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</si>
  <si>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</si>
  <si>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</si>
  <si>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</si>
  <si>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</si>
  <si>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</si>
  <si>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</si>
  <si>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</si>
  <si>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</si>
  <si>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</si>
  <si>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</si>
  <si>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</si>
  <si>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</si>
  <si>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</si>
  <si>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</si>
  <si>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</si>
  <si>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</si>
  <si>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</si>
  <si>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</si>
  <si>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</si>
  <si>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</si>
  <si>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</si>
  <si>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</si>
  <si>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</si>
  <si>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</si>
  <si>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</si>
  <si>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</si>
  <si>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</si>
  <si>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</si>
  <si>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</si>
  <si>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</si>
  <si>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</si>
  <si>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</si>
  <si>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</si>
  <si>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</si>
  <si>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</si>
  <si>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</si>
  <si>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</si>
  <si>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</si>
  <si>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</si>
  <si>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</si>
  <si>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</si>
  <si>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</si>
  <si>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</si>
  <si>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</si>
  <si>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</si>
  <si>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</si>
  <si>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</si>
  <si>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</si>
  <si>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</si>
  <si>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</si>
  <si>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</si>
  <si>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</si>
  <si>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</si>
  <si>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</si>
  <si>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</si>
  <si>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</si>
  <si>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</si>
  <si>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</si>
  <si>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</si>
  <si>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</si>
  <si>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</si>
  <si>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</si>
  <si>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</si>
  <si>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</si>
  <si>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</si>
  <si>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</si>
  <si>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</si>
  <si>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</si>
  <si>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</si>
  <si>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</si>
  <si>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</si>
  <si>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</si>
  <si>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</si>
  <si>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</si>
  <si>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</si>
  <si>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</si>
  <si>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</si>
  <si>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</si>
  <si>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</si>
  <si>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</si>
  <si>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</si>
  <si>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</si>
  <si>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</si>
  <si>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</si>
  <si>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</si>
  <si>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</si>
  <si>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</si>
  <si>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</si>
  <si>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</si>
  <si>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</si>
  <si>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</si>
  <si>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</si>
  <si>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</si>
  <si>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</si>
  <si>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</si>
  <si>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</si>
  <si>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</si>
  <si>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</si>
  <si>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</si>
  <si>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</si>
  <si>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</si>
  <si>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</si>
  <si>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</si>
  <si>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</si>
  <si>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</si>
  <si>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</si>
  <si>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</si>
  <si>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</si>
  <si>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</si>
  <si>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</si>
  <si>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</si>
  <si>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</si>
  <si>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</si>
  <si>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</si>
  <si>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</si>
  <si>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</si>
  <si>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</si>
  <si>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</si>
  <si>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</si>
  <si>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</si>
  <si>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</si>
  <si>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</si>
  <si>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</si>
  <si>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</si>
  <si>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</si>
  <si>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</si>
  <si>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</si>
  <si>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</si>
  <si>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</si>
  <si>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</si>
  <si>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</si>
  <si>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</si>
  <si>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</si>
  <si>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</si>
  <si>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</si>
  <si>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</si>
  <si>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</si>
  <si>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</si>
  <si>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</si>
  <si>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</si>
  <si>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</si>
  <si>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</si>
  <si>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</si>
  <si>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</si>
  <si>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</si>
  <si>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</si>
  <si>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</si>
  <si>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</si>
  <si>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</si>
  <si>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</si>
  <si>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</si>
  <si>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</si>
  <si>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</si>
  <si>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</si>
  <si>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</si>
  <si>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</si>
  <si>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</si>
  <si>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</si>
  <si>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</si>
  <si>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</si>
  <si>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</si>
  <si>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</si>
  <si>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</si>
  <si>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</si>
  <si>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</si>
  <si>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</si>
  <si>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</si>
  <si>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</si>
  <si>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</si>
  <si>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</si>
  <si>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</si>
  <si>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</si>
  <si>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</si>
  <si>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</si>
  <si>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</si>
  <si>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</si>
  <si>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</si>
  <si>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</si>
  <si>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</si>
  <si>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</si>
  <si>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</si>
  <si>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</si>
  <si>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</si>
  <si>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</si>
  <si>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</si>
  <si>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</si>
  <si>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</si>
  <si>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</si>
  <si>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</si>
  <si>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</si>
  <si>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</si>
  <si>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</si>
  <si>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</si>
  <si>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</si>
  <si>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</si>
  <si>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</si>
  <si>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</si>
  <si>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</si>
  <si>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</si>
  <si>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</si>
  <si>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</si>
  <si>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</si>
  <si>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</si>
  <si>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</si>
  <si>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</si>
  <si>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</si>
  <si>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</si>
  <si>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</si>
  <si>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</si>
  <si>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</si>
  <si>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</si>
  <si>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</si>
  <si>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</si>
  <si>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</si>
  <si>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</si>
  <si>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</si>
  <si>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</si>
  <si>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</si>
  <si>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</si>
  <si>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</si>
  <si>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</si>
  <si>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</si>
  <si>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</si>
  <si>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</si>
  <si>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</si>
  <si>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</si>
  <si>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</si>
  <si>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</si>
  <si>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</si>
  <si>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</si>
  <si>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</si>
  <si>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</si>
  <si>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</si>
  <si>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</si>
  <si>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</si>
  <si>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</si>
  <si>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</si>
  <si>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</si>
  <si>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</si>
  <si>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</si>
  <si>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</si>
  <si>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</si>
  <si>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</si>
  <si>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</si>
  <si>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</si>
  <si>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</si>
  <si>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</si>
  <si>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</si>
  <si>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</si>
  <si>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</si>
  <si>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</si>
  <si>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</si>
  <si>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</si>
  <si>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</si>
  <si>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</si>
  <si>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</si>
  <si>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</si>
  <si>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</si>
  <si>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</si>
  <si>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</si>
  <si>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</si>
  <si>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</si>
  <si>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</si>
  <si>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</si>
  <si>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</si>
  <si>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</si>
  <si>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</si>
  <si>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</si>
  <si>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</si>
  <si>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</si>
  <si>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</si>
  <si>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</si>
  <si>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</si>
  <si>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</si>
  <si>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</si>
  <si>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</si>
  <si>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</si>
  <si>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</si>
  <si>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</si>
  <si>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</si>
  <si>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</si>
  <si>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</si>
  <si>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</si>
  <si>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</si>
  <si>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</si>
  <si>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</si>
  <si>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</si>
  <si>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</si>
  <si>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</si>
  <si>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</si>
  <si>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</si>
  <si>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</si>
  <si>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</si>
  <si>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</si>
  <si>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</si>
  <si>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</si>
  <si>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</si>
  <si>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</si>
  <si>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</si>
  <si>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</si>
  <si>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</si>
  <si>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</si>
  <si>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</si>
  <si>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</si>
  <si>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</si>
  <si>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</si>
  <si>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</si>
  <si>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</si>
  <si>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</si>
  <si>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</si>
  <si>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</si>
  <si>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</si>
  <si>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</si>
  <si>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</si>
  <si>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</si>
  <si>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</si>
  <si>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</si>
  <si>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</si>
  <si>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</si>
  <si>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</si>
  <si>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</si>
  <si>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</si>
  <si>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</si>
  <si>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</si>
  <si>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</si>
  <si>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</si>
  <si>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</si>
  <si>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</si>
  <si>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</si>
  <si>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</si>
  <si>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</si>
  <si>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</si>
  <si>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</si>
  <si>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</si>
  <si>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</si>
  <si>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</si>
  <si>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</si>
  <si>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</si>
  <si>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</si>
  <si>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</si>
  <si>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</si>
  <si>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</si>
  <si>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</si>
  <si>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</si>
  <si>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</si>
  <si>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</si>
  <si>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</si>
  <si>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</si>
  <si>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</si>
  <si>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</si>
  <si>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</si>
  <si>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</si>
  <si>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</si>
  <si>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</si>
  <si>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</si>
  <si>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</si>
  <si>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</si>
  <si>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</si>
  <si>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</si>
  <si>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</si>
  <si>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</si>
  <si>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</si>
  <si>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</si>
  <si>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</si>
  <si>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</si>
  <si>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</si>
  <si>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</si>
  <si>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</si>
  <si>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</si>
  <si>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</si>
  <si>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</si>
  <si>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</si>
  <si>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</si>
  <si>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</si>
  <si>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</si>
  <si>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</si>
  <si>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</si>
  <si>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</si>
  <si>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</si>
  <si>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</si>
  <si>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</si>
  <si>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</si>
  <si>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</si>
  <si>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</si>
  <si>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</si>
  <si>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</si>
  <si>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</si>
  <si>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</si>
  <si>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</si>
  <si>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</si>
  <si>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</si>
  <si>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</si>
  <si>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</si>
  <si>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</si>
  <si>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</si>
  <si>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</si>
  <si>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</si>
  <si>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</si>
  <si>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</si>
  <si>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</si>
  <si>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</si>
  <si>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</si>
  <si>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</si>
  <si>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</si>
  <si>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</si>
  <si>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</si>
  <si>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</si>
  <si>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</si>
  <si>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</si>
  <si>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</si>
  <si>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</si>
  <si>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</si>
  <si>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</si>
  <si>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</si>
  <si>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</si>
  <si>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</si>
  <si>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</si>
  <si>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</si>
  <si>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</si>
  <si>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</si>
  <si>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</si>
  <si>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</si>
  <si>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</si>
  <si>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</si>
  <si>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</si>
  <si>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</si>
  <si>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</si>
  <si>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</si>
  <si>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</si>
  <si>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</si>
  <si>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</si>
  <si>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</si>
  <si>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</si>
  <si>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</si>
  <si>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</si>
  <si>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</si>
  <si>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</si>
  <si>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</si>
  <si>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</si>
  <si>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</si>
  <si>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</si>
  <si>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</si>
  <si>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</si>
  <si>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</si>
  <si>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</si>
  <si>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</si>
  <si>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</si>
  <si>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</si>
  <si>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</si>
  <si>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</si>
  <si>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</si>
  <si>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</si>
  <si>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</si>
  <si>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</si>
  <si>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</si>
  <si>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</si>
  <si>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</si>
  <si>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</si>
  <si>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</si>
  <si>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</si>
  <si>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</si>
  <si>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</si>
  <si>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</si>
  <si>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</si>
  <si>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</si>
  <si>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</si>
  <si>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</si>
  <si>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</si>
  <si>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</si>
  <si>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</si>
  <si>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</si>
  <si>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</si>
  <si>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</si>
  <si>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</si>
  <si>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</si>
  <si>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</si>
  <si>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</si>
  <si>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</si>
  <si>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</si>
  <si>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</si>
  <si>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</si>
  <si>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</si>
  <si>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</si>
  <si>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</si>
  <si>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</si>
  <si>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</si>
  <si>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</si>
  <si>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</si>
  <si>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</si>
  <si>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</si>
  <si>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</si>
  <si>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</si>
  <si>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</si>
  <si>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</si>
  <si>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</si>
  <si>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</si>
  <si>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</si>
  <si>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</si>
  <si>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</si>
  <si>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</si>
  <si>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</si>
  <si>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</si>
  <si>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</si>
  <si>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</si>
  <si>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</si>
  <si>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</si>
  <si>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</si>
  <si>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</si>
  <si>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</si>
  <si>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</si>
  <si>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</si>
  <si>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</si>
  <si>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</si>
  <si>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</si>
  <si>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</si>
  <si>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</si>
  <si>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</si>
  <si>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</si>
  <si>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</si>
  <si>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</si>
  <si>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</si>
  <si>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</si>
  <si>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</si>
  <si>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</si>
  <si>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</si>
  <si>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</si>
  <si>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</si>
  <si>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</si>
  <si>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</si>
  <si>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</si>
  <si>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</si>
  <si>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</si>
  <si>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</si>
  <si>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</si>
  <si>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</si>
  <si>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</si>
  <si>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</si>
  <si>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</si>
  <si>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</si>
  <si>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</si>
  <si>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</si>
  <si>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</si>
  <si>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</si>
  <si>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</si>
  <si>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</si>
  <si>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</si>
  <si>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</si>
  <si>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</si>
  <si>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</si>
  <si>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</si>
  <si>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</si>
  <si>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</si>
  <si>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</si>
  <si>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</si>
  <si>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</si>
  <si>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</si>
  <si>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</si>
  <si>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</si>
  <si>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</si>
  <si>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</si>
  <si>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</si>
  <si>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</si>
  <si>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</si>
  <si>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</si>
  <si>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</si>
  <si>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</si>
  <si>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</si>
  <si>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</si>
  <si>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</si>
  <si>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</si>
  <si>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</si>
  <si>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</si>
  <si>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</si>
  <si>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</si>
  <si>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</si>
  <si>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</si>
  <si>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</si>
  <si>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</si>
  <si>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</si>
  <si>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</si>
  <si>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</si>
  <si>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</si>
  <si>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</si>
  <si>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</si>
  <si>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</si>
  <si>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Green</t>
  </si>
  <si>
    <t>Mike</t>
  </si>
  <si>
    <t>James</t>
  </si>
  <si>
    <t>Duncan</t>
  </si>
  <si>
    <t>LeBron</t>
  </si>
  <si>
    <t>Norris</t>
  </si>
  <si>
    <t>Dozier</t>
  </si>
  <si>
    <t>Valbuena</t>
  </si>
  <si>
    <t>Derek</t>
  </si>
  <si>
    <t>Brian</t>
  </si>
  <si>
    <t>Luis</t>
  </si>
  <si>
    <t>Ovechkin</t>
  </si>
  <si>
    <t>Okposo</t>
  </si>
  <si>
    <t>McDonald</t>
  </si>
  <si>
    <t>Keith</t>
  </si>
  <si>
    <t>Rinne</t>
  </si>
  <si>
    <t>Alex</t>
  </si>
  <si>
    <t>Kyle</t>
  </si>
  <si>
    <t>Colin</t>
  </si>
  <si>
    <t>Pekka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</si>
  <si>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</si>
  <si>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</si>
  <si>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</si>
  <si>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</si>
  <si>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</si>
  <si>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</si>
  <si>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</si>
  <si>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</si>
  <si>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</si>
  <si>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</si>
  <si>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</si>
  <si>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</si>
  <si>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</si>
  <si>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John Wall</t>
  </si>
  <si>
    <t>Kyle Lowry</t>
  </si>
  <si>
    <t>Bradley Beal</t>
  </si>
  <si>
    <t>Lou Williams</t>
  </si>
  <si>
    <t>LeBron James</t>
  </si>
  <si>
    <t>Otto Porter</t>
  </si>
  <si>
    <t>Dirk Nowitzki</t>
  </si>
  <si>
    <t>Drew Gooden</t>
  </si>
  <si>
    <t>Tyson Chandler</t>
  </si>
  <si>
    <t>RW_NBA/DFN</t>
  </si>
  <si>
    <t>Thomas</t>
  </si>
  <si>
    <t>Rondo</t>
  </si>
  <si>
    <t>Turner</t>
  </si>
  <si>
    <t>Ellis</t>
  </si>
  <si>
    <t>Pierce</t>
  </si>
  <si>
    <t>Nowitzki</t>
  </si>
  <si>
    <t>Jones</t>
  </si>
  <si>
    <t>Chandler</t>
  </si>
  <si>
    <t>Isaiah</t>
  </si>
  <si>
    <t>Rajon</t>
  </si>
  <si>
    <t>Evan</t>
  </si>
  <si>
    <t>Monta</t>
  </si>
  <si>
    <t>Paul</t>
  </si>
  <si>
    <t>Dirk</t>
  </si>
  <si>
    <t>Terrence</t>
  </si>
  <si>
    <t>Tyson</t>
  </si>
  <si>
    <t>Rodon</t>
  </si>
  <si>
    <t>Votto</t>
  </si>
  <si>
    <t>Tulowitzki</t>
  </si>
  <si>
    <t>Stanton</t>
  </si>
  <si>
    <t>Gonzalez</t>
  </si>
  <si>
    <t>Szczur</t>
  </si>
  <si>
    <t>Carlos</t>
  </si>
  <si>
    <t>Joey</t>
  </si>
  <si>
    <t>Troy</t>
  </si>
  <si>
    <t>Giancarlo</t>
  </si>
  <si>
    <t>Matt</t>
  </si>
  <si>
    <t>Stamkos</t>
  </si>
  <si>
    <t>Ferraro</t>
  </si>
  <si>
    <t>Palat</t>
  </si>
  <si>
    <t>Steven</t>
  </si>
  <si>
    <t>Landon</t>
  </si>
  <si>
    <t>Ondrej</t>
  </si>
  <si>
    <t>https://www.fanduel.com/e/Game/12139?tableId=12083779&amp;fromLobby=True</t>
  </si>
  <si>
    <t>TeamOdds.py (1)</t>
  </si>
  <si>
    <t>C:\Users\Ian Whitestone\Documents\Python Projects\Fanduel-master\fanduel\modules\TeamOdds.py</t>
  </si>
  <si>
    <t>script_name_10</t>
  </si>
  <si>
    <t>script_path_10</t>
  </si>
  <si>
    <t>[u'+120', u'-133']</t>
  </si>
  <si>
    <t>[u'+104', u'-115']</t>
  </si>
  <si>
    <t>[u'-125', u'+105']</t>
  </si>
  <si>
    <t>[u'+141', u'-156']</t>
  </si>
  <si>
    <t>{u'VAN': 49.02, u'WSH': 45.45, u'DET': 48.78, u'CGY': 53.49, u'NAS': 41.49, u'NYI': 57.08, u'TBL': 55.56, u'CHI': 60.94}</t>
  </si>
  <si>
    <t>Ian To Do:</t>
  </si>
  <si>
    <t>1) Fanduel lineup historical points</t>
  </si>
  <si>
    <t>3) Historize TeamOdds</t>
  </si>
  <si>
    <t>4) get Weather API working. Incorporate cities in Team Map</t>
  </si>
  <si>
    <t>2) Add Team map MLB, NBA. Update Team Odds</t>
  </si>
  <si>
    <t>5) Rotowire historize player point predictions</t>
  </si>
  <si>
    <t>6) automate hist_web_lineups by scraping web for lineups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</si>
</sst>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quotePrefix="1" applyFont="1" applyAlignment="1">
      <alignment wrapText="1"/>
    </xf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36256"/>
        <c:axId val="137537792"/>
      </c:barChart>
      <c:catAx>
        <c:axId val="13753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37537792"/>
        <c:crosses val="autoZero"/>
        <c:auto val="1"/>
        <c:lblAlgn val="ctr"/>
        <c:lblOffset val="100"/>
        <c:noMultiLvlLbl val="0"/>
      </c:catAx>
      <c:valAx>
        <c:axId val="13753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536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1984"/>
        <c:axId val="137563520"/>
      </c:areaChart>
      <c:catAx>
        <c:axId val="13756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7563520"/>
        <c:crosses val="autoZero"/>
        <c:auto val="1"/>
        <c:lblAlgn val="ctr"/>
        <c:lblOffset val="100"/>
        <c:noMultiLvlLbl val="0"/>
      </c:catAx>
      <c:valAx>
        <c:axId val="137563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7561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5"/>
  <sheetViews>
    <sheetView workbookViewId="0"/>
  </sheetViews>
  <sheetFormatPr defaultRowHeight="15" x14ac:dyDescent="0.25"/>
  <sheetData>
    <row r="1" spans="1:2" x14ac:dyDescent="0.25">
      <c r="A1">
        <v>24</v>
      </c>
    </row>
    <row r="3" spans="1:2" x14ac:dyDescent="0.25">
      <c r="A3" t="s">
        <v>0</v>
      </c>
      <c r="B3">
        <v>11</v>
      </c>
    </row>
    <row r="4" spans="1:2" x14ac:dyDescent="0.25">
      <c r="A4" t="s">
        <v>1</v>
      </c>
      <c r="B4" t="s">
        <v>957</v>
      </c>
    </row>
    <row r="5" spans="1:2" x14ac:dyDescent="0.25">
      <c r="A5" t="s">
        <v>2</v>
      </c>
      <c r="B5" t="s">
        <v>958</v>
      </c>
    </row>
    <row r="6" spans="1:2" x14ac:dyDescent="0.25">
      <c r="A6" t="s">
        <v>5</v>
      </c>
      <c r="B6" t="s">
        <v>869</v>
      </c>
    </row>
    <row r="7" spans="1:2" x14ac:dyDescent="0.25">
      <c r="A7" t="s">
        <v>6</v>
      </c>
      <c r="B7" t="s">
        <v>870</v>
      </c>
    </row>
    <row r="8" spans="1:2" x14ac:dyDescent="0.25">
      <c r="A8" t="s">
        <v>7</v>
      </c>
      <c r="B8" t="s">
        <v>864</v>
      </c>
    </row>
    <row r="9" spans="1:2" x14ac:dyDescent="0.25">
      <c r="A9" t="s">
        <v>8</v>
      </c>
      <c r="B9" t="s">
        <v>865</v>
      </c>
    </row>
    <row r="10" spans="1:2" x14ac:dyDescent="0.25">
      <c r="A10" t="s">
        <v>9</v>
      </c>
      <c r="B10" t="s">
        <v>860</v>
      </c>
    </row>
    <row r="11" spans="1:2" x14ac:dyDescent="0.25">
      <c r="A11" t="s">
        <v>10</v>
      </c>
      <c r="B11" t="s">
        <v>861</v>
      </c>
    </row>
    <row r="12" spans="1:2" x14ac:dyDescent="0.25">
      <c r="A12" t="s">
        <v>12</v>
      </c>
      <c r="B12" t="s">
        <v>856</v>
      </c>
    </row>
    <row r="13" spans="1:2" x14ac:dyDescent="0.25">
      <c r="A13" t="s">
        <v>13</v>
      </c>
      <c r="B13" t="s">
        <v>857</v>
      </c>
    </row>
    <row r="14" spans="1:2" x14ac:dyDescent="0.25">
      <c r="A14" t="s">
        <v>838</v>
      </c>
      <c r="B14" t="s">
        <v>836</v>
      </c>
    </row>
    <row r="15" spans="1:2" x14ac:dyDescent="0.25">
      <c r="A15" t="s">
        <v>839</v>
      </c>
      <c r="B15" t="s">
        <v>837</v>
      </c>
    </row>
    <row r="16" spans="1:2" x14ac:dyDescent="0.25">
      <c r="A16" t="s">
        <v>858</v>
      </c>
      <c r="B16" t="s">
        <v>781</v>
      </c>
    </row>
    <row r="17" spans="1:2" x14ac:dyDescent="0.25">
      <c r="A17" t="s">
        <v>859</v>
      </c>
      <c r="B17" t="s">
        <v>782</v>
      </c>
    </row>
    <row r="18" spans="1:2" x14ac:dyDescent="0.25">
      <c r="A18" t="s">
        <v>862</v>
      </c>
      <c r="B18" t="s">
        <v>455</v>
      </c>
    </row>
    <row r="19" spans="1:2" x14ac:dyDescent="0.25">
      <c r="A19" t="s">
        <v>863</v>
      </c>
      <c r="B19" t="s">
        <v>456</v>
      </c>
    </row>
    <row r="20" spans="1:2" x14ac:dyDescent="0.25">
      <c r="A20" t="s">
        <v>866</v>
      </c>
      <c r="B20" t="s">
        <v>226</v>
      </c>
    </row>
    <row r="21" spans="1:2" x14ac:dyDescent="0.25">
      <c r="A21" t="s">
        <v>867</v>
      </c>
      <c r="B21" t="s">
        <v>227</v>
      </c>
    </row>
    <row r="22" spans="1:2" x14ac:dyDescent="0.25">
      <c r="A22" t="s">
        <v>871</v>
      </c>
      <c r="B22" t="s">
        <v>211</v>
      </c>
    </row>
    <row r="23" spans="1:2" x14ac:dyDescent="0.25">
      <c r="A23" t="s">
        <v>872</v>
      </c>
      <c r="B23" t="s">
        <v>212</v>
      </c>
    </row>
    <row r="24" spans="1:2" x14ac:dyDescent="0.25">
      <c r="A24" t="s">
        <v>959</v>
      </c>
      <c r="B24" t="s">
        <v>11</v>
      </c>
    </row>
    <row r="25" spans="1:2" x14ac:dyDescent="0.25">
      <c r="A25" t="s">
        <v>960</v>
      </c>
      <c r="B25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zoomScale="55" zoomScaleNormal="55"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tabSelected="1" workbookViewId="0">
      <selection activeCell="C15" sqref="C15"/>
    </sheetView>
  </sheetViews>
  <sheetFormatPr defaultRowHeight="15" x14ac:dyDescent="0.25"/>
  <cols>
    <col min="1" max="1" width="31.140625" style="5" bestFit="1" customWidth="1"/>
    <col min="2" max="2" width="33.85546875" style="5" bestFit="1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24" t="s">
        <v>906</v>
      </c>
      <c r="I1" s="24"/>
      <c r="J1" s="24"/>
    </row>
    <row r="2" spans="1:18" x14ac:dyDescent="0.25">
      <c r="H2" s="5" t="s">
        <v>907</v>
      </c>
      <c r="I2" s="5" t="s">
        <v>922</v>
      </c>
      <c r="J2" s="5" t="s">
        <v>908</v>
      </c>
    </row>
    <row r="3" spans="1:18" ht="12.75" customHeight="1" x14ac:dyDescent="0.25">
      <c r="A3" s="18" t="s">
        <v>852</v>
      </c>
      <c r="B3" s="19">
        <v>42115</v>
      </c>
      <c r="H3" s="20" t="s">
        <v>900</v>
      </c>
      <c r="I3" s="20" t="s">
        <v>909</v>
      </c>
      <c r="J3" s="5" t="s">
        <v>157</v>
      </c>
    </row>
    <row r="4" spans="1:18" x14ac:dyDescent="0.25">
      <c r="A4" s="5" t="s">
        <v>853</v>
      </c>
      <c r="B4" s="5" t="str">
        <f>IF(A11&gt;0,CONCATENATE(A11,", ",A12,", ",A13,", ",A14,", ",A16,", ",A17,", ",A18,", ",A19),"")</f>
        <v>John Wall, Kyle Lowry, Bradley Beal, Lou Williams, Otto Porter, Dirk Nowitzki, Drew Gooden, Tyson Chandler</v>
      </c>
      <c r="H4" s="20" t="s">
        <v>157</v>
      </c>
      <c r="I4" s="20" t="s">
        <v>909</v>
      </c>
      <c r="J4" s="5" t="s">
        <v>157</v>
      </c>
    </row>
    <row r="5" spans="1:18" x14ac:dyDescent="0.25">
      <c r="A5" s="5" t="s">
        <v>854</v>
      </c>
      <c r="B5" s="5" t="str">
        <f>IF(D22&gt;0,CONCATENATE(D22,", ",D23,", ",D24,", ",D25,", ",D26,", ",D27,", ",D28,", ",D29,", ",D30),"")</f>
        <v>Isaiah Thomas, Rajon Rondo, Evan Turner, Monta Ellis, LeBron James, Paul Pierce, Dirk Nowitzki, Terrence Jones, Tyson Chandler</v>
      </c>
      <c r="H5" s="20" t="s">
        <v>901</v>
      </c>
      <c r="I5" s="20" t="s">
        <v>910</v>
      </c>
      <c r="J5" s="5" t="s">
        <v>158</v>
      </c>
    </row>
    <row r="6" spans="1:18" x14ac:dyDescent="0.25">
      <c r="A6" s="5" t="s">
        <v>855</v>
      </c>
      <c r="B6" s="5" t="str">
        <f>IF(D33&gt;0,CONCATENATE(D33,", ",D34,", ",D35,", ",D36,", ",D37,", ",D38,", ",D39,", ",D40,", ",D41),"")</f>
        <v>Carlos Rodon, Derek Norris, Joey Votto, Brian Dozier, Luis Valbuena, Troy Tulowitzki, Giancarlo Stanton, Carlos Gonzalez, Matt Szczur</v>
      </c>
      <c r="H6" s="20" t="s">
        <v>902</v>
      </c>
      <c r="I6" s="20" t="s">
        <v>910</v>
      </c>
      <c r="J6" s="5" t="s">
        <v>158</v>
      </c>
    </row>
    <row r="7" spans="1:18" x14ac:dyDescent="0.25">
      <c r="A7" s="5" t="s">
        <v>878</v>
      </c>
      <c r="B7" s="5" t="str">
        <f>IF(D47&gt;0,CONCATENATE(D47,", ",D48,", ",D49,", ",D50,", ",D51,", ",D52,", ",D53,", ",D54,", ",D55),"")</f>
        <v>Steven Stamkos, Landon Ferraro, Alex Ovechkin, Ondrej Palat, Kyle Okposo, Colin McDonald, Duncan Keith, Mike Green, Pekka Rinne</v>
      </c>
      <c r="H7" s="20" t="s">
        <v>903</v>
      </c>
      <c r="I7" s="20" t="s">
        <v>911</v>
      </c>
      <c r="J7" s="5" t="s">
        <v>159</v>
      </c>
      <c r="K7" s="20"/>
      <c r="N7" s="21"/>
    </row>
    <row r="8" spans="1:18" x14ac:dyDescent="0.25">
      <c r="H8" s="20" t="s">
        <v>904</v>
      </c>
      <c r="I8" s="5" t="s">
        <v>911</v>
      </c>
      <c r="J8" s="5" t="s">
        <v>159</v>
      </c>
      <c r="K8" s="20"/>
      <c r="N8" s="21"/>
    </row>
    <row r="9" spans="1:18" x14ac:dyDescent="0.25">
      <c r="B9" s="5" t="s">
        <v>876</v>
      </c>
      <c r="H9" s="20" t="s">
        <v>905</v>
      </c>
      <c r="I9" s="5" t="s">
        <v>912</v>
      </c>
      <c r="J9" s="5" t="s">
        <v>160</v>
      </c>
      <c r="K9" s="20"/>
      <c r="L9" s="20"/>
      <c r="N9" s="21"/>
    </row>
    <row r="10" spans="1:18" x14ac:dyDescent="0.25">
      <c r="A10" s="7" t="s">
        <v>875</v>
      </c>
      <c r="B10" s="1" t="s">
        <v>956</v>
      </c>
      <c r="H10" s="5" t="s">
        <v>905</v>
      </c>
      <c r="I10" s="5" t="s">
        <v>912</v>
      </c>
      <c r="J10" s="5" t="s">
        <v>160</v>
      </c>
      <c r="K10" s="20"/>
      <c r="L10" s="20"/>
      <c r="N10" s="21"/>
    </row>
    <row r="11" spans="1:18" x14ac:dyDescent="0.25">
      <c r="A11" s="5" t="s">
        <v>913</v>
      </c>
      <c r="H11" s="5" t="s">
        <v>905</v>
      </c>
      <c r="I11" s="5" t="s">
        <v>157</v>
      </c>
      <c r="J11" s="5" t="s">
        <v>161</v>
      </c>
      <c r="K11" s="20"/>
      <c r="L11" s="20"/>
      <c r="M11" s="20"/>
      <c r="N11" s="21"/>
      <c r="P11" s="21"/>
    </row>
    <row r="12" spans="1:18" x14ac:dyDescent="0.25">
      <c r="A12" s="5" t="s">
        <v>914</v>
      </c>
      <c r="I12" s="20"/>
      <c r="K12" s="20"/>
      <c r="L12" s="20"/>
      <c r="M12" s="20"/>
      <c r="N12" s="21"/>
      <c r="P12" s="21"/>
    </row>
    <row r="13" spans="1:18" x14ac:dyDescent="0.25">
      <c r="A13" s="5" t="s">
        <v>915</v>
      </c>
      <c r="I13" s="20"/>
      <c r="K13" s="20"/>
      <c r="L13" s="20"/>
      <c r="M13" s="20"/>
      <c r="N13" s="21"/>
      <c r="P13" s="21"/>
    </row>
    <row r="14" spans="1:18" x14ac:dyDescent="0.25">
      <c r="A14" s="5" t="s">
        <v>916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917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5" t="s">
        <v>918</v>
      </c>
      <c r="I16" s="20" t="s">
        <v>966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5" t="s">
        <v>919</v>
      </c>
      <c r="I17" s="20" t="s">
        <v>967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5" t="s">
        <v>920</v>
      </c>
      <c r="I18" s="5" t="s">
        <v>970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5" t="s">
        <v>921</v>
      </c>
      <c r="I19" s="20" t="s">
        <v>968</v>
      </c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969</v>
      </c>
      <c r="M20" s="20"/>
      <c r="N20" s="20"/>
      <c r="O20" s="20"/>
      <c r="P20" s="21"/>
      <c r="Q20" s="21"/>
      <c r="R20" s="21"/>
    </row>
    <row r="21" spans="1:18" x14ac:dyDescent="0.25">
      <c r="A21" s="7" t="s">
        <v>873</v>
      </c>
      <c r="I21" s="20" t="s">
        <v>971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923</v>
      </c>
      <c r="C22" s="5" t="s">
        <v>931</v>
      </c>
      <c r="D22" s="5" t="str">
        <f>CONCATENATE(C22," ",A22)</f>
        <v>Isaiah Thomas</v>
      </c>
      <c r="I22" s="20" t="s">
        <v>972</v>
      </c>
      <c r="L22" s="20"/>
      <c r="N22" s="20"/>
      <c r="O22" s="20"/>
      <c r="Q22" s="21"/>
      <c r="R22" s="21"/>
    </row>
    <row r="23" spans="1:18" x14ac:dyDescent="0.25">
      <c r="A23" s="20" t="s">
        <v>924</v>
      </c>
      <c r="C23" s="5" t="s">
        <v>932</v>
      </c>
      <c r="D23" s="5" t="str">
        <f t="shared" ref="D23:D30" si="0">CONCATENATE(C23," ",A23)</f>
        <v>Rajon Rondo</v>
      </c>
      <c r="L23" s="20"/>
      <c r="N23" s="21"/>
      <c r="O23" s="21"/>
      <c r="R23" s="21"/>
    </row>
    <row r="24" spans="1:18" hidden="1" x14ac:dyDescent="0.25">
      <c r="A24" s="20" t="s">
        <v>925</v>
      </c>
      <c r="C24" s="5" t="s">
        <v>933</v>
      </c>
      <c r="D24" s="5" t="str">
        <f t="shared" si="0"/>
        <v>Evan Turner</v>
      </c>
      <c r="L24" s="20"/>
      <c r="N24" s="21"/>
      <c r="O24" s="21"/>
      <c r="R24" s="21"/>
    </row>
    <row r="25" spans="1:18" x14ac:dyDescent="0.25">
      <c r="A25" s="20" t="s">
        <v>926</v>
      </c>
      <c r="C25" s="5" t="s">
        <v>934</v>
      </c>
      <c r="D25" s="5" t="str">
        <f t="shared" si="0"/>
        <v>Monta Ellis</v>
      </c>
      <c r="L25" s="20"/>
      <c r="N25" s="21"/>
      <c r="O25" s="21"/>
      <c r="R25" s="21"/>
    </row>
    <row r="26" spans="1:18" x14ac:dyDescent="0.25">
      <c r="A26" s="20" t="s">
        <v>882</v>
      </c>
      <c r="C26" s="5" t="s">
        <v>884</v>
      </c>
      <c r="D26" s="5" t="str">
        <f t="shared" si="0"/>
        <v>LeBron James</v>
      </c>
      <c r="L26" s="20"/>
      <c r="N26" s="21"/>
      <c r="O26" s="21"/>
      <c r="R26" s="21"/>
    </row>
    <row r="27" spans="1:18" x14ac:dyDescent="0.25">
      <c r="A27" s="20" t="s">
        <v>927</v>
      </c>
      <c r="C27" s="5" t="s">
        <v>935</v>
      </c>
      <c r="D27" s="5" t="str">
        <f t="shared" si="0"/>
        <v>Paul Pierce</v>
      </c>
      <c r="L27" s="20"/>
      <c r="O27" s="21"/>
      <c r="R27" s="21"/>
    </row>
    <row r="28" spans="1:18" x14ac:dyDescent="0.25">
      <c r="A28" s="5" t="s">
        <v>928</v>
      </c>
      <c r="C28" s="5" t="s">
        <v>936</v>
      </c>
      <c r="D28" s="5" t="str">
        <f t="shared" si="0"/>
        <v>Dirk Nowitzki</v>
      </c>
      <c r="L28" s="20"/>
      <c r="O28" s="20"/>
      <c r="R28" s="21"/>
    </row>
    <row r="29" spans="1:18" x14ac:dyDescent="0.25">
      <c r="A29" s="20" t="s">
        <v>929</v>
      </c>
      <c r="C29" s="5" t="s">
        <v>937</v>
      </c>
      <c r="D29" s="5" t="str">
        <f t="shared" si="0"/>
        <v>Terrence Jones</v>
      </c>
      <c r="L29" s="20"/>
      <c r="O29" s="20"/>
      <c r="R29" s="21"/>
    </row>
    <row r="30" spans="1:18" x14ac:dyDescent="0.25">
      <c r="A30" s="20" t="s">
        <v>930</v>
      </c>
      <c r="C30" s="5" t="s">
        <v>938</v>
      </c>
      <c r="D30" s="5" t="str">
        <f t="shared" si="0"/>
        <v>Tyson Chandler</v>
      </c>
      <c r="O30" s="20"/>
      <c r="R30" s="21"/>
    </row>
    <row r="31" spans="1:18" x14ac:dyDescent="0.25">
      <c r="O31" s="20"/>
      <c r="R31" s="21"/>
    </row>
    <row r="32" spans="1:18" x14ac:dyDescent="0.25">
      <c r="A32" s="7" t="s">
        <v>874</v>
      </c>
      <c r="H32" s="20"/>
      <c r="L32" s="21"/>
      <c r="M32" s="20"/>
      <c r="O32" s="20"/>
      <c r="P32" s="21"/>
    </row>
    <row r="33" spans="1:17" x14ac:dyDescent="0.25">
      <c r="A33" s="5" t="s">
        <v>939</v>
      </c>
      <c r="C33" s="5" t="s">
        <v>945</v>
      </c>
      <c r="D33" s="5" t="str">
        <f>CONCATENATE(C33," ",A33)</f>
        <v>Carlos Rodon</v>
      </c>
      <c r="H33" s="20"/>
      <c r="L33" s="21"/>
      <c r="M33" s="20"/>
      <c r="O33" s="20"/>
      <c r="P33" s="21"/>
    </row>
    <row r="34" spans="1:17" x14ac:dyDescent="0.25">
      <c r="A34" s="5" t="s">
        <v>885</v>
      </c>
      <c r="C34" s="5" t="s">
        <v>888</v>
      </c>
      <c r="D34" s="5" t="str">
        <f t="shared" ref="D34:D41" si="1">CONCATENATE(C34," ",A34)</f>
        <v>Derek Norris</v>
      </c>
      <c r="H34" s="20"/>
      <c r="L34" s="21"/>
      <c r="M34" s="20"/>
      <c r="O34" s="20"/>
      <c r="P34" s="21"/>
    </row>
    <row r="35" spans="1:17" x14ac:dyDescent="0.25">
      <c r="A35" s="5" t="s">
        <v>940</v>
      </c>
      <c r="C35" s="5" t="s">
        <v>946</v>
      </c>
      <c r="D35" s="5" t="str">
        <f t="shared" si="1"/>
        <v>Joey Votto</v>
      </c>
      <c r="H35" s="20"/>
      <c r="L35" s="21"/>
      <c r="M35" s="20"/>
      <c r="O35" s="20"/>
      <c r="P35" s="21"/>
    </row>
    <row r="36" spans="1:17" x14ac:dyDescent="0.25">
      <c r="A36" s="5" t="s">
        <v>886</v>
      </c>
      <c r="C36" s="5" t="s">
        <v>889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887</v>
      </c>
      <c r="C37" s="5" t="s">
        <v>890</v>
      </c>
      <c r="D37" s="5" t="str">
        <f t="shared" si="1"/>
        <v>Luis Valbuena</v>
      </c>
      <c r="H37" s="20"/>
      <c r="L37" s="21"/>
      <c r="M37" s="20"/>
      <c r="P37" s="21"/>
    </row>
    <row r="38" spans="1:17" x14ac:dyDescent="0.25">
      <c r="A38" s="5" t="s">
        <v>941</v>
      </c>
      <c r="C38" s="5" t="s">
        <v>947</v>
      </c>
      <c r="D38" s="5" t="str">
        <f t="shared" si="1"/>
        <v>Troy Tulowitzki</v>
      </c>
      <c r="H38" s="20"/>
      <c r="L38" s="21"/>
      <c r="M38" s="20"/>
      <c r="P38" s="21"/>
    </row>
    <row r="39" spans="1:17" x14ac:dyDescent="0.25">
      <c r="A39" s="5" t="s">
        <v>942</v>
      </c>
      <c r="C39" s="5" t="s">
        <v>948</v>
      </c>
      <c r="D39" s="5" t="str">
        <f t="shared" si="1"/>
        <v>Giancarlo Stanton</v>
      </c>
      <c r="H39" s="20"/>
      <c r="L39" s="21"/>
      <c r="M39" s="20"/>
      <c r="P39" s="21"/>
    </row>
    <row r="40" spans="1:17" x14ac:dyDescent="0.25">
      <c r="A40" s="5" t="s">
        <v>943</v>
      </c>
      <c r="C40" s="5" t="s">
        <v>945</v>
      </c>
      <c r="D40" s="5" t="str">
        <f t="shared" si="1"/>
        <v>Carlos Gonzalez</v>
      </c>
      <c r="H40" s="20"/>
      <c r="L40" s="21"/>
      <c r="M40" s="20"/>
      <c r="P40" s="21"/>
    </row>
    <row r="41" spans="1:17" x14ac:dyDescent="0.25">
      <c r="A41" s="5" t="s">
        <v>944</v>
      </c>
      <c r="C41" s="5" t="s">
        <v>949</v>
      </c>
      <c r="D41" s="5" t="str">
        <f t="shared" si="1"/>
        <v>Matt Szczur</v>
      </c>
    </row>
    <row r="42" spans="1:17" x14ac:dyDescent="0.25">
      <c r="I42" s="20"/>
      <c r="L42" s="21"/>
    </row>
    <row r="43" spans="1:17" x14ac:dyDescent="0.25">
      <c r="I43" s="20"/>
      <c r="L43" s="21"/>
    </row>
    <row r="44" spans="1:17" x14ac:dyDescent="0.25">
      <c r="I44" s="20"/>
      <c r="L44" s="21"/>
    </row>
    <row r="45" spans="1:17" x14ac:dyDescent="0.25">
      <c r="I45" s="20"/>
      <c r="L45" s="21"/>
    </row>
    <row r="46" spans="1:17" x14ac:dyDescent="0.25">
      <c r="A46" s="7" t="s">
        <v>879</v>
      </c>
      <c r="I46" s="20"/>
      <c r="L46" s="21"/>
    </row>
    <row r="47" spans="1:17" x14ac:dyDescent="0.25">
      <c r="A47" s="20" t="s">
        <v>950</v>
      </c>
      <c r="C47" s="5" t="s">
        <v>953</v>
      </c>
      <c r="D47" s="5" t="str">
        <f>CONCATENATE(C47," ",A47)</f>
        <v>Steven Stamkos</v>
      </c>
      <c r="I47" s="20"/>
      <c r="L47" s="21"/>
    </row>
    <row r="48" spans="1:17" x14ac:dyDescent="0.25">
      <c r="A48" s="20" t="s">
        <v>951</v>
      </c>
      <c r="C48" s="5" t="s">
        <v>954</v>
      </c>
      <c r="D48" s="5" t="str">
        <f t="shared" ref="D48:D55" si="2">CONCATENATE(C48," ",A48)</f>
        <v>Landon Ferraro</v>
      </c>
      <c r="I48" s="20"/>
      <c r="L48" s="21"/>
      <c r="N48" s="20"/>
      <c r="Q48" s="21"/>
    </row>
    <row r="49" spans="1:17" x14ac:dyDescent="0.25">
      <c r="A49" s="20" t="s">
        <v>891</v>
      </c>
      <c r="C49" s="5" t="s">
        <v>896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20" t="s">
        <v>952</v>
      </c>
      <c r="C50" s="5" t="s">
        <v>955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20" t="s">
        <v>892</v>
      </c>
      <c r="C51" s="5" t="s">
        <v>897</v>
      </c>
      <c r="D51" s="5" t="str">
        <f t="shared" si="2"/>
        <v>Kyle Okposo</v>
      </c>
      <c r="N51" s="20"/>
      <c r="Q51" s="21"/>
    </row>
    <row r="52" spans="1:17" x14ac:dyDescent="0.25">
      <c r="A52" s="5" t="s">
        <v>893</v>
      </c>
      <c r="C52" s="5" t="s">
        <v>898</v>
      </c>
      <c r="D52" s="5" t="str">
        <f t="shared" si="2"/>
        <v>Colin McDonald</v>
      </c>
      <c r="N52" s="20"/>
      <c r="Q52" s="21"/>
    </row>
    <row r="53" spans="1:17" x14ac:dyDescent="0.25">
      <c r="A53" s="5" t="s">
        <v>894</v>
      </c>
      <c r="C53" s="5" t="s">
        <v>883</v>
      </c>
      <c r="D53" s="5" t="str">
        <f t="shared" si="2"/>
        <v>Duncan Keith</v>
      </c>
      <c r="N53" s="20"/>
      <c r="Q53" s="21"/>
    </row>
    <row r="54" spans="1:17" x14ac:dyDescent="0.25">
      <c r="A54" s="5" t="s">
        <v>880</v>
      </c>
      <c r="C54" s="5" t="s">
        <v>881</v>
      </c>
      <c r="D54" s="5" t="str">
        <f t="shared" si="2"/>
        <v>Mike Green</v>
      </c>
      <c r="N54" s="20"/>
      <c r="Q54" s="21"/>
    </row>
    <row r="55" spans="1:17" x14ac:dyDescent="0.25">
      <c r="A55" s="5" t="s">
        <v>895</v>
      </c>
      <c r="C55" s="5" t="s">
        <v>899</v>
      </c>
      <c r="D55" s="5" t="str">
        <f t="shared" si="2"/>
        <v>Pekka Rinne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877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879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B6" sqref="B6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A32" sqref="A32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zoomScale="70" zoomScaleNormal="70" workbookViewId="0">
      <selection activeCell="E15" sqref="E15"/>
    </sheetView>
  </sheetViews>
  <sheetFormatPr defaultRowHeight="15" x14ac:dyDescent="0.25"/>
  <cols>
    <col min="1" max="1" width="111.7109375" customWidth="1"/>
    <col min="2" max="2" width="12.140625" customWidth="1"/>
    <col min="3" max="3" width="20.42578125" customWidth="1"/>
  </cols>
  <sheetData>
    <row r="1" spans="1:6" ht="78" customHeight="1" x14ac:dyDescent="0.25">
      <c r="A1" s="22" t="s">
        <v>805</v>
      </c>
      <c r="B1" t="s">
        <v>804</v>
      </c>
      <c r="C1" t="s">
        <v>961</v>
      </c>
      <c r="F1">
        <v>13</v>
      </c>
    </row>
    <row r="2" spans="1:6" x14ac:dyDescent="0.25">
      <c r="A2" s="23" t="s">
        <v>801</v>
      </c>
      <c r="B2" t="s">
        <v>793</v>
      </c>
      <c r="C2" s="1" t="s">
        <v>962</v>
      </c>
    </row>
    <row r="3" spans="1:6" x14ac:dyDescent="0.25">
      <c r="A3" s="2"/>
    </row>
    <row r="4" spans="1:6" x14ac:dyDescent="0.25">
      <c r="A4" s="2"/>
    </row>
    <row r="5" spans="1:6" x14ac:dyDescent="0.25">
      <c r="A5" s="23" t="s">
        <v>807</v>
      </c>
      <c r="B5" t="s">
        <v>785</v>
      </c>
      <c r="C5" t="s">
        <v>963</v>
      </c>
    </row>
    <row r="6" spans="1:6" x14ac:dyDescent="0.25">
      <c r="A6" s="23" t="s">
        <v>792</v>
      </c>
      <c r="B6" t="s">
        <v>799</v>
      </c>
      <c r="C6" t="s">
        <v>964</v>
      </c>
    </row>
    <row r="7" spans="1:6" x14ac:dyDescent="0.25">
      <c r="A7" s="2"/>
    </row>
    <row r="15" spans="1:6" x14ac:dyDescent="0.25">
      <c r="E15" t="s">
        <v>965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To Do</vt:lpstr>
      <vt:lpstr>Dashboard</vt:lpstr>
      <vt:lpstr>Backtest_Parameters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Backtest_Parameters!clDFNNBA</vt:lpstr>
      <vt:lpstr>clEntryLimit</vt:lpstr>
      <vt:lpstr>clEvent</vt:lpstr>
      <vt:lpstr>clEventDesc</vt:lpstr>
      <vt:lpstr>clHomeScore</vt:lpstr>
      <vt:lpstr>cLineUpURL</vt:lpstr>
      <vt:lpstr>clInning</vt:lpstr>
      <vt:lpstr>Backtest_Parameters!clLastDate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2015-04-22T00:37:06Z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