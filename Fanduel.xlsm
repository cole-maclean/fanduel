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4" activeTab="11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</sheets>
  <definedNames>
    <definedName name="_xlnm._FilterDatabase" localSheetId="11" hidden="1">Output!$D$1:$E$112</definedName>
    <definedName name="_xlnm._FilterDatabase" localSheetId="5" hidden="1">'Player Mapping'!#REF!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D23" i="19" l="1"/>
  <c r="D24" i="19"/>
  <c r="D25" i="19"/>
  <c r="D26" i="19"/>
  <c r="D27" i="19"/>
  <c r="D28" i="19"/>
  <c r="D29" i="19"/>
  <c r="D30" i="19"/>
  <c r="D22" i="19"/>
  <c r="D34" i="19"/>
  <c r="D35" i="19"/>
  <c r="D36" i="19"/>
  <c r="D37" i="19"/>
  <c r="D38" i="19"/>
  <c r="D39" i="19"/>
  <c r="D40" i="19"/>
  <c r="D41" i="19"/>
  <c r="D33" i="19"/>
  <c r="D48" i="19"/>
  <c r="D49" i="19"/>
  <c r="D50" i="19"/>
  <c r="D51" i="19"/>
  <c r="D52" i="19"/>
  <c r="D53" i="19"/>
  <c r="D54" i="19"/>
  <c r="D55" i="19"/>
  <c r="D47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<sst xmlns="http://schemas.openxmlformats.org/spreadsheetml/2006/main" count="2700" uniqueCount="1543">
  <si>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</si>
  <si>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</si>
  <si>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</si>
  <si>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</si>
  <si>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</si>
  <si>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</si>
  <si>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</si>
  <si>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</si>
  <si>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</si>
  <si>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</si>
  <si>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</si>
  <si>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</si>
  <si>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</si>
  <si>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</si>
  <si>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</si>
  <si>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</si>
  <si>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</si>
  <si>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</si>
  <si>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</si>
  <si>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</si>
  <si>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</si>
  <si>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</si>
  <si>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</si>
  <si>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</si>
  <si>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</si>
  <si>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</si>
  <si>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</si>
  <si>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</si>
  <si>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</si>
  <si>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</si>
  <si>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</si>
  <si>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</si>
  <si>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</si>
  <si>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</si>
  <si>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</si>
  <si>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</si>
  <si>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</si>
  <si>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</si>
  <si>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</si>
  <si>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</si>
  <si>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</si>
  <si>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</si>
  <si>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</si>
  <si>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</si>
  <si>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</si>
  <si>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</si>
  <si>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</si>
  <si>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</si>
  <si>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</si>
  <si>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</si>
  <si>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</si>
  <si>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</si>
  <si>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</si>
  <si>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</si>
  <si>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</si>
  <si>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</si>
  <si>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</si>
  <si>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</si>
  <si>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</si>
  <si>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</si>
  <si>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</si>
  <si>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</si>
  <si>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</si>
  <si>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</si>
  <si>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</si>
  <si>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</si>
  <si>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</si>
  <si>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</si>
  <si>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</si>
  <si>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</si>
  <si>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</si>
  <si>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</si>
  <si>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</si>
  <si>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</si>
  <si>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</si>
  <si>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</si>
  <si>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</si>
  <si>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</si>
  <si>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</si>
  <si>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</si>
  <si>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</si>
  <si>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</si>
  <si>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</si>
  <si>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</si>
  <si>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</si>
  <si>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</si>
  <si>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</si>
  <si>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</si>
  <si>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</si>
  <si>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</si>
  <si>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</si>
  <si>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</si>
  <si>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</si>
  <si>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</si>
  <si>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</si>
  <si>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</si>
  <si>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</si>
  <si>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</si>
  <si>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</si>
  <si>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</si>
  <si>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</si>
  <si>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</si>
  <si>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</si>
  <si>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</si>
  <si>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</si>
  <si>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</si>
  <si>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</si>
  <si>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</si>
  <si>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</si>
  <si>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</si>
  <si>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</si>
  <si>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</si>
  <si>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</si>
  <si>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</si>
  <si>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</si>
  <si>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</si>
  <si>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</si>
  <si>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</si>
  <si>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</si>
  <si>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</si>
  <si>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</si>
  <si>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</si>
  <si>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</si>
  <si>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</si>
  <si>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</si>
  <si>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</si>
  <si>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</si>
  <si>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</si>
  <si>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</si>
  <si>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</si>
  <si>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</si>
  <si>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</si>
  <si>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</si>
  <si>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</si>
  <si>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</si>
  <si>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</si>
  <si>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</si>
  <si>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</si>
  <si>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</si>
  <si>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</si>
  <si>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</si>
  <si>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</si>
  <si>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</si>
  <si>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</si>
  <si>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</si>
  <si>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</si>
  <si>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</si>
  <si>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</si>
  <si>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</si>
  <si>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</si>
  <si>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</si>
  <si>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</si>
  <si>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</si>
  <si>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</si>
  <si>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</si>
  <si>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</si>
  <si>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</si>
  <si>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</si>
  <si>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</si>
  <si>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</si>
  <si>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</si>
  <si>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</si>
  <si>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</si>
  <si>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</si>
  <si>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</si>
  <si>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</si>
  <si>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</si>
  <si>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</si>
  <si>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Objective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</si>
  <si>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</si>
  <si>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</si>
  <si>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</si>
  <si>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</si>
  <si>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</si>
  <si>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</si>
  <si>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</si>
  <si>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</si>
  <si>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</si>
  <si>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</si>
  <si>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</si>
  <si>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</si>
  <si>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</si>
  <si>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</si>
  <si>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</si>
  <si>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</si>
  <si>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</si>
  <si>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</si>
  <si>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</si>
  <si>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</si>
  <si>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</si>
  <si>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</si>
  <si>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</si>
  <si>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</si>
  <si>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</si>
  <si>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</si>
  <si>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</si>
  <si>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</si>
  <si>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</si>
  <si>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</si>
  <si>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</si>
  <si>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</si>
  <si>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</si>
  <si>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</si>
  <si>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</si>
  <si>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</si>
  <si>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</si>
  <si>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</si>
  <si>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</si>
  <si>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</si>
  <si>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</si>
  <si>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</si>
  <si>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</si>
  <si>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</si>
  <si>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</si>
  <si>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</si>
  <si>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</si>
  <si>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</si>
  <si>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</si>
  <si>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</si>
  <si>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</si>
  <si>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</si>
  <si>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</si>
  <si>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</si>
  <si>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</si>
  <si>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</si>
  <si>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</si>
  <si>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</si>
  <si>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</si>
  <si>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</si>
  <si>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</si>
  <si>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</si>
  <si>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</si>
  <si>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</si>
  <si>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</si>
  <si>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</si>
  <si>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</si>
  <si>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</si>
  <si>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</si>
  <si>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</si>
  <si>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</si>
  <si>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</si>
  <si>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</si>
  <si>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</si>
  <si>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</si>
  <si>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</si>
  <si>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</si>
  <si>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</si>
  <si>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</si>
  <si>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</si>
  <si>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</si>
  <si>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</si>
  <si>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</si>
  <si>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</si>
  <si>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</si>
  <si>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</si>
  <si>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</si>
  <si>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</si>
  <si>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</si>
  <si>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</si>
  <si>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</si>
  <si>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</si>
  <si>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</si>
  <si>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</si>
  <si>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</si>
  <si>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</si>
  <si>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</si>
  <si>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</si>
  <si>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</si>
  <si>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</si>
  <si>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</si>
  <si>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</si>
  <si>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</si>
  <si>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</si>
  <si>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</si>
  <si>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</si>
  <si>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</si>
  <si>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</si>
  <si>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</si>
  <si>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</si>
  <si>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</si>
  <si>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</si>
  <si>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</si>
  <si>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</si>
  <si>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</si>
  <si>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</si>
  <si>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</si>
  <si>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</si>
  <si>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</si>
  <si>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</si>
  <si>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</si>
  <si>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</si>
  <si>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</si>
  <si>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</si>
  <si>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</si>
  <si>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</si>
  <si>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</si>
  <si>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</si>
  <si>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</si>
  <si>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</si>
  <si>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</si>
  <si>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</si>
  <si>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</si>
  <si>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</si>
  <si>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</si>
  <si>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</si>
  <si>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</si>
  <si>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</si>
  <si>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</si>
  <si>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</si>
  <si>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</si>
  <si>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</si>
  <si>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</si>
  <si>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</si>
  <si>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</si>
  <si>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</si>
  <si>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</si>
  <si>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</si>
  <si>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</si>
  <si>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</si>
  <si>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</si>
  <si>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</si>
  <si>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</si>
  <si>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</si>
  <si>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</si>
  <si>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</si>
  <si>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</si>
  <si>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</si>
  <si>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</si>
  <si>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</si>
  <si>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</si>
  <si>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</si>
  <si>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</si>
  <si>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</si>
  <si>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</si>
  <si>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</si>
  <si>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</si>
  <si>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</si>
  <si>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</si>
  <si>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</si>
  <si>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</si>
  <si>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</si>
  <si>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</si>
  <si>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</si>
  <si>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</si>
  <si>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</si>
  <si>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</si>
  <si>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</si>
  <si>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</si>
  <si>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</si>
  <si>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</si>
  <si>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</si>
  <si>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</si>
  <si>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</si>
  <si>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</si>
  <si>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</si>
  <si>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</si>
  <si>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</si>
  <si>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</si>
  <si>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</si>
  <si>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</si>
  <si>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</si>
  <si>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</si>
  <si>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</si>
  <si>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</si>
  <si>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</si>
  <si>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</si>
  <si>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</si>
  <si>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</si>
  <si>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</si>
  <si>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</si>
  <si>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</si>
  <si>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</si>
  <si>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</si>
  <si>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</si>
  <si>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</si>
  <si>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</si>
  <si>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</si>
  <si>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</si>
  <si>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</si>
  <si>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</si>
  <si>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</si>
  <si>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</si>
  <si>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</si>
  <si>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</si>
  <si>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</si>
  <si>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</si>
  <si>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</si>
  <si>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</si>
  <si>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</si>
  <si>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</si>
  <si>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</si>
  <si>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</si>
  <si>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</si>
  <si>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</si>
  <si>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</si>
  <si>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</si>
  <si>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</si>
  <si>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</si>
  <si>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</si>
  <si>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</si>
  <si>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</si>
  <si>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</si>
  <si>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</si>
  <si>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</si>
  <si>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</si>
  <si>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</si>
  <si>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</si>
  <si>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</si>
  <si>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</si>
  <si>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</si>
  <si>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</si>
  <si>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</si>
  <si>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</si>
  <si>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</si>
  <si>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</si>
  <si>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</si>
  <si>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</si>
  <si>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</si>
  <si>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</si>
  <si>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</si>
  <si>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</si>
  <si>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</si>
  <si>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</si>
  <si>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</si>
  <si>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</si>
  <si>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</si>
  <si>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</si>
  <si>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</si>
  <si>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</si>
  <si>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</si>
  <si>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</si>
  <si>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</si>
  <si>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</si>
  <si>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</si>
  <si>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</si>
  <si>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</si>
  <si>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</si>
  <si>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</si>
  <si>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</si>
  <si>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</si>
  <si>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</si>
  <si>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</si>
  <si>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</si>
  <si>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</si>
  <si>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</si>
  <si>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</si>
  <si>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</si>
  <si>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</si>
  <si>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</si>
  <si>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</si>
  <si>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</si>
  <si>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</si>
  <si>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</si>
  <si>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</si>
  <si>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</si>
  <si>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</si>
  <si>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</si>
  <si>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</si>
  <si>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</si>
  <si>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</si>
  <si>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</si>
  <si>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</si>
  <si>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</si>
  <si>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</si>
  <si>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</si>
  <si>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</si>
  <si>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</si>
  <si>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</si>
  <si>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</si>
  <si>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</si>
  <si>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</si>
  <si>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</si>
  <si>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</si>
  <si>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</si>
  <si>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</si>
  <si>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</si>
  <si>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</si>
  <si>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</si>
  <si>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</si>
  <si>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</si>
  <si>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</si>
  <si>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</si>
  <si>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</si>
  <si>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</si>
  <si>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</si>
  <si>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</si>
  <si>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</si>
  <si>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</si>
  <si>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</si>
  <si>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</si>
  <si>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</si>
  <si>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</si>
  <si>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</si>
  <si>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</si>
  <si>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</si>
  <si>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</si>
  <si>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</si>
  <si>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</si>
  <si>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</si>
  <si>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</si>
  <si>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</si>
  <si>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</si>
  <si>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</si>
  <si>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</si>
  <si>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</si>
  <si>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</si>
  <si>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</si>
  <si>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</si>
  <si>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</si>
  <si>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</si>
  <si>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</si>
  <si>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</si>
  <si>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</si>
  <si>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</si>
  <si>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</si>
  <si>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</si>
  <si>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</si>
  <si>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</si>
  <si>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</si>
  <si>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</si>
  <si>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</si>
  <si>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</si>
  <si>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</si>
  <si>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</si>
  <si>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</si>
  <si>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</si>
  <si>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</si>
  <si>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</si>
  <si>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</si>
  <si>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</si>
  <si>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</si>
  <si>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</si>
  <si>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</si>
  <si>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</si>
  <si>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</si>
  <si>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</si>
  <si>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</si>
  <si>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</si>
  <si>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</si>
  <si>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</si>
  <si>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</si>
  <si>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</si>
  <si>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</si>
  <si>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</si>
  <si>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</si>
  <si>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</si>
  <si>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</si>
  <si>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</si>
  <si>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</si>
  <si>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</si>
  <si>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</si>
  <si>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</si>
  <si>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</si>
  <si>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</si>
  <si>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</si>
  <si>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</si>
  <si>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</si>
  <si>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</si>
  <si>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</si>
  <si>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</si>
  <si>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</si>
  <si>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</si>
  <si>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</si>
  <si>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</si>
  <si>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</si>
  <si>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</si>
  <si>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</si>
  <si>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</si>
  <si>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</si>
  <si>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</si>
  <si>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</si>
  <si>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</si>
  <si>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</si>
  <si>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</si>
  <si>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</si>
  <si>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</si>
  <si>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</si>
  <si>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</si>
  <si>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</si>
  <si>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</si>
  <si>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</si>
  <si>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</si>
  <si>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</si>
  <si>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</si>
  <si>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</si>
  <si>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</si>
  <si>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</si>
  <si>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</si>
  <si>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</si>
  <si>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</si>
  <si>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</si>
  <si>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</si>
  <si>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</si>
  <si>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</si>
  <si>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</si>
  <si>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</si>
  <si>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</si>
  <si>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</si>
  <si>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</si>
  <si>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</si>
  <si>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</si>
  <si>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</si>
  <si>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</si>
  <si>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</si>
  <si>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</si>
  <si>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</si>
  <si>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</si>
  <si>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</si>
  <si>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</si>
  <si>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</si>
  <si>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</si>
  <si>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</si>
  <si>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</si>
  <si>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</si>
  <si>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</si>
  <si>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</si>
  <si>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</si>
  <si>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</si>
  <si>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</si>
  <si>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</si>
  <si>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</si>
  <si>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</si>
  <si>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</si>
  <si>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</si>
  <si>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</si>
  <si>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</si>
  <si>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</si>
  <si>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</si>
  <si>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</si>
  <si>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</si>
  <si>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</si>
  <si>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</si>
  <si>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</si>
  <si>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</si>
  <si>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</si>
  <si>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</si>
  <si>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</si>
  <si>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</si>
  <si>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</si>
  <si>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</si>
  <si>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</si>
  <si>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</si>
  <si>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</si>
  <si>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</si>
  <si>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</si>
  <si>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</si>
  <si>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</si>
  <si>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</si>
  <si>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</si>
  <si>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</si>
  <si>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</si>
  <si>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</si>
  <si>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</si>
  <si>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</si>
  <si>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</si>
  <si>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</si>
  <si>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Duncan Keith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</si>
  <si>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</si>
  <si>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</si>
  <si>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</si>
  <si>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</si>
  <si>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</si>
  <si>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</si>
  <si>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</si>
  <si>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</si>
  <si>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</si>
  <si>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</si>
  <si>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</si>
  <si>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</si>
  <si>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</si>
  <si>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</si>
  <si>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</si>
  <si>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</si>
  <si>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</si>
  <si>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</si>
  <si>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</si>
  <si>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</si>
  <si>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</si>
  <si>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</si>
  <si>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</si>
  <si>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</si>
  <si>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</si>
  <si>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</si>
  <si>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</si>
  <si>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</si>
  <si>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</si>
  <si>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</si>
  <si>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</si>
  <si>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</si>
  <si>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</si>
  <si>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</si>
  <si>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</si>
  <si>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</si>
  <si>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</si>
  <si>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</si>
  <si>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</si>
  <si>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</si>
  <si>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</si>
  <si>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</si>
  <si>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</si>
  <si>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</si>
  <si>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</si>
  <si>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</si>
  <si>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</si>
  <si>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</si>
  <si>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</si>
  <si>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['OTT', 'OTT', 'OTT', 'OTT', 'OTT', 'OTT', 'OTT', 'OTT']</t>
  </si>
  <si>
    <t>['FLA', 'FLA', 'FLA', 'FLA', 'FLA', 'FLA', 'FLA', 'FLA']</t>
  </si>
  <si>
    <t>['WSH', 'WSH', 'WSH', 'WSH', 'WSH', 'WSH', 'WSH']</t>
  </si>
  <si>
    <t>John Carlson</t>
  </si>
  <si>
    <t>['CHI', 'CHI', 'CHI', 'CHI', 'CHI', 'CHI', 'CHI']</t>
  </si>
  <si>
    <t>['MTL', 'MTL', 'MTL', 'MTL', 'MTL', 'MTL', 'MTL', 'MTL']</t>
  </si>
  <si>
    <t>['OTT', 'OTT', 'OTT', 'OTT', 'OTT', 'OTT']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</si>
  <si>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</si>
  <si>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</si>
  <si>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</si>
  <si>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</si>
  <si>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</si>
  <si>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</si>
  <si>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</si>
  <si>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</si>
  <si>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</si>
  <si>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</si>
  <si>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</si>
  <si>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</si>
  <si>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</si>
  <si>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</si>
  <si>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</si>
  <si>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</si>
  <si>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</si>
  <si>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</si>
  <si>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</si>
  <si>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</si>
  <si>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</si>
  <si>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</si>
  <si>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>Paste Dailyfantasy Here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</si>
  <si>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</si>
  <si>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</si>
  <si>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</si>
  <si>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</si>
  <si>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</si>
  <si>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</si>
  <si>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</si>
  <si>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</si>
  <si>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</si>
  <si>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</si>
  <si>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</si>
  <si>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</si>
  <si>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</si>
  <si>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</si>
  <si>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</si>
  <si>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</si>
  <si>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</si>
  <si>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</si>
  <si>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</si>
  <si>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</si>
  <si>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</si>
  <si>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</si>
  <si>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</si>
  <si>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</si>
  <si>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</si>
  <si>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</si>
  <si>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</si>
  <si>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</si>
  <si>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</si>
  <si>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</si>
  <si>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</si>
  <si>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</si>
  <si>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</si>
  <si>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</si>
  <si>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</si>
  <si>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</si>
  <si>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</si>
  <si>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Ian To Do:</t>
  </si>
  <si>
    <t>1) Fanduel lineup historical points</t>
  </si>
  <si>
    <t>4) get Weather API working. Incorporate cities in Team Map</t>
  </si>
  <si>
    <t>5) Rotowire historize player point predictions</t>
  </si>
  <si>
    <t>6) automate hist_web_lineups by scraping web for lineups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</si>
  <si>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</si>
  <si>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</si>
  <si>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</si>
  <si>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</si>
  <si>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</si>
  <si>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</si>
  <si>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</si>
  <si>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</si>
  <si>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</si>
  <si>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</si>
  <si>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</si>
  <si>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</si>
  <si>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</si>
  <si>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</si>
  <si>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</si>
  <si>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</si>
  <si>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</si>
  <si>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</si>
  <si>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</si>
  <si>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</si>
  <si>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</si>
  <si>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</si>
  <si>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</si>
  <si>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</si>
  <si>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</si>
  <si>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</si>
  <si>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</si>
  <si>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</si>
  <si>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</si>
  <si>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</si>
  <si>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</si>
  <si>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</si>
  <si>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</si>
  <si>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</si>
  <si>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</si>
  <si>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</si>
  <si>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</si>
  <si>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</si>
  <si>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</si>
  <si>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</si>
  <si>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</si>
  <si>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</si>
  <si>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</si>
  <si>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</si>
  <si>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</si>
  <si>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</si>
  <si>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</si>
  <si>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</si>
  <si>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</si>
  <si>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</si>
  <si>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</si>
  <si>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</si>
  <si>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</si>
  <si>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</si>
  <si>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</si>
  <si>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</si>
  <si>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</si>
  <si>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</si>
  <si>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</si>
  <si>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</si>
  <si>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</si>
  <si>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</si>
  <si>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</si>
  <si>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</si>
  <si>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</si>
  <si>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</si>
  <si>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</si>
  <si>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</si>
  <si>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</si>
  <si>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</si>
  <si>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</si>
  <si>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</si>
  <si>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</si>
  <si>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</si>
  <si>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</si>
  <si>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</si>
  <si>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</si>
  <si>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</si>
  <si>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</si>
  <si>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</si>
  <si>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</si>
  <si>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</si>
  <si>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</si>
  <si>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</si>
  <si>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</si>
  <si>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</si>
  <si>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</si>
  <si>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</si>
  <si>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</si>
  <si>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</si>
  <si>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</si>
  <si>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</si>
  <si>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</si>
  <si>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</si>
  <si>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</si>
  <si>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</si>
  <si>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</si>
  <si>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</si>
  <si>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</si>
  <si>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</si>
  <si>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</si>
  <si>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</si>
  <si>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</si>
  <si>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</si>
  <si>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</si>
  <si>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</si>
  <si>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</si>
  <si>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</si>
  <si>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</si>
  <si>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</si>
  <si>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</si>
  <si>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</si>
  <si>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</si>
  <si>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</si>
  <si>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</si>
  <si>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</si>
  <si>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</si>
  <si>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</si>
  <si>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</si>
  <si>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</si>
  <si>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</si>
  <si>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</si>
  <si>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</si>
  <si>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</si>
  <si>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</si>
  <si>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</si>
  <si>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</si>
  <si>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</si>
  <si>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</si>
  <si>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</si>
  <si>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</si>
  <si>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</si>
  <si>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</si>
  <si>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</si>
  <si>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</si>
  <si>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</si>
  <si>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</si>
  <si>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</si>
  <si>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</si>
  <si>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</si>
  <si>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</si>
  <si>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</si>
  <si>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</si>
  <si>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</si>
  <si>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</si>
  <si>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</si>
  <si>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</si>
  <si>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</si>
  <si>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</si>
  <si>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</si>
  <si>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</si>
  <si>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</si>
  <si>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</si>
  <si>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</si>
  <si>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</si>
  <si>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</si>
  <si>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</si>
  <si>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</si>
  <si>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</si>
  <si>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</si>
  <si>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</si>
  <si>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</si>
  <si>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</si>
  <si>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</si>
  <si>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</si>
  <si>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</si>
  <si>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</si>
  <si>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</si>
  <si>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</si>
  <si>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</si>
  <si>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</si>
  <si>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</si>
  <si>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</si>
  <si>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</si>
  <si>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</si>
  <si>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</si>
  <si>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</si>
  <si>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</si>
  <si>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</si>
  <si>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</si>
  <si>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</si>
  <si>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</si>
  <si>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</si>
  <si>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</si>
  <si>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</si>
  <si>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</si>
  <si>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</si>
  <si>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</si>
  <si>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</si>
  <si>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</si>
  <si>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</si>
  <si>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</si>
  <si>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</si>
  <si>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</si>
  <si>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</si>
  <si>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</si>
  <si>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</si>
  <si>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</si>
  <si>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</si>
  <si>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</si>
  <si>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</si>
  <si>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</si>
  <si>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</si>
  <si>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</si>
  <si>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</si>
  <si>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</si>
  <si>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</si>
  <si>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</si>
  <si>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</si>
  <si>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</si>
  <si>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</si>
  <si>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</si>
  <si>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</si>
  <si>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</si>
  <si>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</si>
  <si>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</si>
  <si>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</si>
  <si>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</si>
  <si>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</si>
  <si>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</si>
  <si>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</si>
  <si>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</si>
  <si>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</si>
  <si>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</si>
  <si>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</si>
  <si>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</si>
  <si>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</si>
  <si>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</si>
  <si>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</si>
  <si>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</si>
  <si>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</si>
  <si>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</si>
  <si>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</si>
  <si>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</si>
  <si>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</si>
  <si>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</si>
  <si>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</si>
  <si>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</si>
  <si>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</si>
  <si>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</si>
  <si>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</si>
  <si>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</si>
  <si>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</si>
  <si>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</si>
  <si>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</si>
  <si>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</si>
  <si>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</si>
  <si>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</si>
  <si>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</si>
  <si>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</si>
  <si>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</si>
  <si>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</si>
  <si>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</si>
  <si>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</si>
  <si>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</si>
  <si>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</si>
  <si>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</si>
  <si>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</si>
  <si>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</si>
  <si>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</si>
  <si>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</si>
  <si>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</si>
  <si>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</si>
  <si>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</si>
  <si>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</si>
  <si>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</si>
  <si>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</si>
  <si>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</si>
  <si>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</si>
  <si>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</si>
  <si>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</si>
  <si>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</si>
  <si>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</si>
  <si>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</si>
  <si>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</si>
  <si>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</si>
  <si>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</si>
  <si>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</si>
  <si>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</si>
  <si>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</si>
  <si>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</si>
  <si>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</si>
  <si>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</si>
  <si>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</si>
  <si>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</si>
  <si>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</si>
  <si>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</si>
  <si>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</si>
  <si>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</si>
  <si>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</si>
  <si>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</si>
  <si>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</si>
  <si>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</si>
  <si>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</si>
  <si>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</si>
  <si>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</si>
  <si>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</si>
  <si>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</si>
  <si>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</si>
  <si>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</si>
  <si>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</si>
  <si>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</si>
  <si>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</si>
  <si>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</si>
  <si>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</si>
  <si>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</si>
  <si>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</si>
  <si>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</si>
  <si>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</si>
  <si>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</si>
  <si>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</si>
  <si>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</si>
  <si>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</si>
  <si>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</si>
  <si>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</si>
  <si>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</si>
  <si>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</si>
  <si>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</si>
  <si>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</si>
  <si>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</si>
  <si>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</si>
  <si>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</si>
  <si>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</si>
  <si>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</si>
  <si>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</si>
  <si>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</si>
  <si>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</si>
  <si>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</si>
  <si>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</si>
  <si>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</si>
  <si>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</si>
  <si>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</si>
  <si>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</si>
  <si>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</si>
  <si>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</si>
  <si>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</si>
  <si>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</si>
  <si>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</si>
  <si>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</si>
  <si>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</si>
  <si>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</si>
  <si>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</si>
  <si>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</si>
  <si>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</si>
  <si>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</si>
  <si>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</si>
  <si>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</si>
  <si>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</si>
  <si>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</si>
  <si>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</si>
  <si>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</si>
  <si>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</si>
  <si>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</si>
  <si>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</si>
  <si>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</si>
  <si>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</si>
  <si>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</si>
  <si>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</si>
  <si>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</si>
  <si>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</si>
  <si>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</si>
  <si>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</si>
  <si>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</si>
  <si>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</si>
  <si>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</si>
  <si>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</si>
  <si>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</si>
  <si>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</si>
  <si>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</si>
  <si>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</si>
  <si>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</si>
  <si>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</si>
  <si>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</si>
  <si>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</si>
  <si>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</si>
  <si>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</si>
  <si>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</si>
  <si>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</si>
  <si>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</si>
  <si>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</si>
  <si>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</si>
  <si>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</si>
  <si>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</si>
  <si>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</si>
  <si>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</si>
  <si>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</si>
  <si>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</si>
  <si>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</si>
  <si>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</si>
  <si>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</si>
  <si>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</si>
  <si>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</si>
  <si>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</si>
  <si>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</si>
  <si>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</si>
  <si>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</si>
  <si>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</si>
  <si>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</si>
  <si>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</si>
  <si>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</si>
  <si>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</si>
  <si>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</si>
  <si>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</si>
  <si>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</si>
  <si>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</si>
  <si>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</si>
  <si>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</si>
  <si>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</si>
  <si>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</si>
  <si>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</si>
  <si>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</si>
  <si>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</si>
  <si>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</si>
  <si>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</si>
  <si>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</si>
  <si>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</si>
  <si>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</si>
  <si>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</si>
  <si>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</si>
  <si>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</si>
  <si>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</si>
  <si>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</si>
  <si>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</si>
  <si>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</si>
  <si>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</si>
  <si>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</si>
  <si>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</si>
  <si>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</si>
  <si>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</si>
  <si>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</si>
  <si>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</si>
  <si>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</si>
  <si>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</si>
  <si>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</si>
  <si>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</si>
  <si>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</si>
  <si>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</si>
  <si>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</si>
  <si>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</si>
  <si>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</si>
  <si>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</si>
  <si>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</si>
  <si>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</si>
  <si>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</si>
  <si>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</si>
  <si>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</si>
  <si>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</si>
  <si>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</si>
  <si>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</si>
  <si>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</si>
  <si>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</si>
  <si>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</si>
  <si>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</si>
  <si>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</si>
  <si>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</si>
  <si>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</si>
  <si>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</si>
  <si>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</si>
  <si>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</si>
  <si>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</si>
  <si>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</si>
  <si>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</si>
  <si>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</si>
  <si>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</si>
  <si>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</si>
  <si>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</si>
  <si>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</si>
  <si>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</si>
  <si>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</si>
  <si>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</si>
  <si>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</si>
  <si>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</si>
  <si>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</si>
  <si>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</si>
  <si>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</si>
  <si>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</si>
  <si>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</si>
  <si>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</si>
  <si>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</si>
  <si>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</si>
  <si>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</si>
  <si>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</si>
  <si>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</si>
  <si>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</si>
  <si>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</si>
  <si>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</si>
  <si>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</si>
  <si>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</si>
  <si>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</si>
  <si>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</si>
  <si>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</si>
  <si>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</si>
  <si>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</si>
  <si>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</si>
  <si>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</si>
  <si>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</si>
  <si>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</si>
  <si>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</si>
  <si>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</si>
  <si>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</si>
  <si>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</si>
  <si>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</si>
  <si>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</si>
  <si>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</si>
  <si>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</si>
  <si>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</si>
  <si>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</si>
  <si>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</si>
  <si>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</si>
  <si>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</si>
  <si>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</si>
  <si>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</si>
  <si>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</si>
  <si>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</si>
  <si>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</si>
  <si>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</si>
  <si>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</si>
  <si>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</si>
  <si>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</si>
  <si>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</si>
  <si>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</si>
  <si>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</si>
  <si>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</si>
  <si>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</si>
  <si>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</si>
  <si>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</si>
  <si>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</si>
  <si>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</si>
  <si>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</si>
  <si>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</si>
  <si>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</si>
  <si>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</si>
  <si>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</si>
  <si>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</si>
  <si>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</si>
  <si>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</si>
  <si>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</si>
  <si>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</si>
  <si>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</si>
  <si>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</si>
  <si>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</si>
  <si>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</si>
  <si>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</si>
  <si>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</si>
  <si>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</si>
  <si>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</si>
  <si>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</si>
  <si>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</si>
  <si>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</si>
  <si>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</si>
  <si>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</si>
  <si>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</si>
  <si>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</si>
  <si>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</si>
  <si>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</si>
  <si>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</si>
  <si>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</si>
  <si>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</si>
  <si>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</si>
  <si>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</si>
  <si>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</si>
  <si>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</si>
  <si>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</si>
  <si>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</si>
  <si>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</si>
  <si>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</si>
  <si>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</si>
  <si>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</si>
  <si>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</si>
  <si>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</si>
  <si>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</si>
  <si>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</si>
  <si>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</si>
  <si>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</si>
  <si>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</si>
  <si>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</si>
  <si>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</si>
  <si>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</si>
  <si>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</si>
  <si>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</si>
  <si>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</si>
  <si>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</si>
  <si>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</si>
  <si>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</si>
  <si>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</si>
  <si>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</si>
  <si>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</si>
  <si>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</si>
  <si>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</si>
  <si>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</si>
  <si>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</si>
  <si>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</si>
  <si>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</si>
  <si>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</si>
  <si>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</si>
  <si>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</si>
  <si>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</si>
  <si>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</si>
  <si>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</si>
  <si>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</si>
  <si>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</si>
  <si>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</si>
  <si>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</si>
  <si>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</si>
  <si>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</si>
  <si>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</si>
  <si>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</si>
  <si>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</si>
  <si>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</si>
  <si>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</si>
  <si>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</si>
  <si>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</si>
  <si>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</si>
  <si>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</si>
  <si>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</si>
  <si>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</si>
  <si>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</si>
  <si>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</si>
  <si>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</si>
  <si>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</si>
  <si>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</si>
  <si>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</si>
  <si>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</si>
  <si>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</si>
  <si>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</si>
  <si>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</si>
  <si>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</si>
  <si>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</si>
  <si>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</si>
  <si>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</si>
  <si>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</si>
  <si>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</si>
  <si>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</si>
  <si>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</si>
  <si>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</si>
  <si>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</si>
  <si>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</si>
  <si>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</si>
  <si>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</si>
  <si>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</si>
  <si>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</si>
  <si>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</si>
  <si>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</si>
  <si>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</si>
  <si>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</si>
  <si>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</si>
  <si>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</si>
  <si>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</si>
  <si>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</si>
  <si>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</si>
  <si>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</si>
  <si>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</si>
  <si>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</si>
  <si>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</si>
  <si>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</si>
  <si>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</si>
  <si>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</si>
  <si>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</si>
  <si>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</si>
  <si>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</si>
  <si>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</si>
  <si>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</si>
  <si>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</si>
  <si>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</si>
  <si>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</si>
  <si>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</si>
  <si>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</si>
  <si>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</si>
  <si>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</si>
  <si>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</si>
  <si>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MLB Player Data Name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</si>
  <si>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</si>
  <si>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</si>
  <si>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</si>
  <si>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</si>
  <si>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</si>
  <si>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Paste Rotowire NBA Here</t>
  </si>
  <si>
    <t>Paste Rotowire MLB Here</t>
  </si>
  <si>
    <t>Tulowitzki</t>
  </si>
  <si>
    <t>Troy</t>
  </si>
  <si>
    <t>test_ian.py</t>
  </si>
  <si>
    <t>C:\Users\Ian Whitestone\Documents\Python Projects\Fanduel-master\fanduel\modules\test_ian.py</t>
  </si>
  <si>
    <t>script_name_12</t>
  </si>
  <si>
    <t>script_path_12</t>
  </si>
  <si>
    <t>McCutchen</t>
  </si>
  <si>
    <t>Dozier</t>
  </si>
  <si>
    <t>Brian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</si>
  <si>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</si>
  <si>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</si>
  <si>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</si>
  <si>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</si>
  <si>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</si>
  <si>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</si>
  <si>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</si>
  <si>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</si>
  <si>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</si>
  <si>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</si>
  <si>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</si>
  <si>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</si>
  <si>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</si>
  <si>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</si>
  <si>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</si>
  <si>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</si>
  <si>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</si>
  <si>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</si>
  <si>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</si>
  <si>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</si>
  <si>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</si>
  <si>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</si>
  <si>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</si>
  <si>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</si>
  <si>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</si>
  <si>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</si>
  <si>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</si>
  <si>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</si>
  <si>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</si>
  <si>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</si>
  <si>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</si>
  <si>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POR</t>
  </si>
  <si>
    <t>MEM</t>
  </si>
  <si>
    <t>BKN</t>
  </si>
  <si>
    <t>Stamkos</t>
  </si>
  <si>
    <t>Backstrom</t>
  </si>
  <si>
    <t>Ovechkin</t>
  </si>
  <si>
    <t>Palat</t>
  </si>
  <si>
    <t>Callahan</t>
  </si>
  <si>
    <t>McDonald</t>
  </si>
  <si>
    <t>Garrison</t>
  </si>
  <si>
    <t>Mayfield</t>
  </si>
  <si>
    <t>Holtby</t>
  </si>
  <si>
    <t>Nicklas</t>
  </si>
  <si>
    <t>Ondrej</t>
  </si>
  <si>
    <t>Colin</t>
  </si>
  <si>
    <t>Scott</t>
  </si>
  <si>
    <t>Braden</t>
  </si>
  <si>
    <t>Kluber</t>
  </si>
  <si>
    <t>Castro</t>
  </si>
  <si>
    <t>Valbuena</t>
  </si>
  <si>
    <t>Corey</t>
  </si>
  <si>
    <t>Seth</t>
  </si>
  <si>
    <t>Lillard</t>
  </si>
  <si>
    <t>Rose</t>
  </si>
  <si>
    <t>Korver</t>
  </si>
  <si>
    <t>Batum</t>
  </si>
  <si>
    <t>Bogdanovic</t>
  </si>
  <si>
    <t>Gasol</t>
  </si>
  <si>
    <t>Randolph</t>
  </si>
  <si>
    <t>Damian</t>
  </si>
  <si>
    <t>Derrick</t>
  </si>
  <si>
    <t>Joe</t>
  </si>
  <si>
    <t>Nicolas</t>
  </si>
  <si>
    <t>Bojan</t>
  </si>
  <si>
    <t>Pau</t>
  </si>
  <si>
    <t>Marc</t>
  </si>
  <si>
    <t>Damian Lillard</t>
  </si>
  <si>
    <t>Derrick Rose</t>
  </si>
  <si>
    <t>Jimmy Butler</t>
  </si>
  <si>
    <t>Joe Johnson</t>
  </si>
  <si>
    <t>Khris Middleton</t>
  </si>
  <si>
    <t>@CHI</t>
  </si>
  <si>
    <t>Bojan Bogdanovic</t>
  </si>
  <si>
    <t>LaMarcus Aldridge</t>
  </si>
  <si>
    <t>John Henson</t>
  </si>
  <si>
    <t>Joakim Noah</t>
  </si>
  <si>
    <t>{u'Justin Upton': [u'8:40 PM ET', u'62degF-Mostly Cloudy-0%', u'SD'], u'Seth Smith': [u'9:10 PM ET', u'52degF-Partly Cloudy-0%', u'SEA'], u'Chris Coghlan': [u'PPD', u'49degF-Rain-100%', u'CHC'], u'Brad Miller': [u'9:10 PM ET', u'52degF-Partly Cloudy-0%', u'SEA'], u'Jason Heyward': [u'7:10 PM ET', u'42degF-Overcast-0%', u'STL'], u'Jeff Francoeur': [u'7:05 PM ET', u'55degF-Mostly Cloudy-0%', u'PHI'], u'Ryan Braun': [u'7:10 PM ET', u'42degF-Overcast-0%', u'MIL'], u'John Danks': [u'PPD', u'44degF-Light Rain-100%', u'CHW'], u'Mark Teixeira': [u'4:05 PM ET', u'58degF-Clear-0%', u'NYY'], u'Kelly Johnson': [u'7:05 PM ET', u'55degF-Mostly Cloudy-0%', u'ATL'], u'Wilson Ramos': [u'4:10 PM ET', u'85degF-Mostly Cloudy-15%', u'WAS'], u'John Mayberry Jr.': [u'4:05 PM ET', u'58degF-Clear-0%', u'NYM'], u'Eric Sogard': [u'4:05 PM ET', u'57degF-Mostly Cloudy-0%', u'OAK'], u'Angel Pagan': [u'8:10 PM ET', u'58degF-Mostly Cloudy-1%', u'SF'], u'Jake Smolinski': [u'9:05 PM ET', u'59degF-Mostly Cloudy-0%', u'TEX'], u'Kevin Plawecki': [u'4:05 PM ET', u'58degF-Clear-0%', u'NYM'], u'Adrian Gonzalez': [u'8:40 PM ET', u'62degF-Mostly Cloudy-0%', u'LAD'], u'Jon Jay': [u'7:10 PM ET', u'42degF-Overcast-0%', u'STL'], u'Matt Joyce': [u'9:05 PM ET', u'59degF-Mostly Cloudy-0%', u'LAA'], u'Ender Inciarte': [u'8:10 PM ET', u'77degF-Mostly Cloudy-31%', u'ARI'], u'Jorge De La Rosa': [u'8:10 PM ET', u'58degF-Mostly Cloudy-1%', u'COL'], u'Dustin Pedroia': [u'7:05 PM ET', u'51degF-Mostly Cloudy-0%', u'BOS'], u'J.T. Realmuto': [u'4:10 PM ET', u'85degF-Mostly Cloudy-15%', u'MIA'], u'Eduardo Escobar': [u'9:10 PM ET', u'52degF-Partly Cloudy-0%', u'MIN'], u'David Murphy': [u'1:08 PM ET', u'47degF-Overcast-0%', u'CLE'], u'Justin Morneau': [u'8:10 PM ET', u'58degF-Mostly Cloudy-1%', u'COL'], u'Erasmo Ramirez': [u'6:10 PM ET', u'81degF-Clear-0%', u'TB'], u'Stephen Vogt': [u'4:05 PM ET', u'57degF-Mostly Cloudy-0%', u'OAK'], u'Matt Duffy': [u'8:10 PM ET', u'58degF-Mostly Cloudy-1%', u'SF'], u'Shane Robinson': [u'9:10 PM ET', u'52degF-Partly Cloudy-0%', u'MIN'], u'Kevin Pillar': [u'6:10 PM ET', u'81degF-Clear-0%', u'TOR'], u'Adam Wainwright': [u'7:10 PM ET', u'42degF-Overcast-0%', u'STL'], u'Mike Zunino': [u'9:10 PM ET', u'52degF-Partly Cloudy-0%', u'SEA'], u'TJ House': [u'1:08 PM ET', u'47degF-Overcast-0%', u'CLE'], u'Tony Cruz': [u'7:10 PM ET', u'42degF-Overcast-0%', u'STL'], u'Jose Ramirez': [u'1:08 PM ET', u'47degF-Overcast-0%', u'CLE'], u'Gregory Polanco': [u'8:10 PM ET', u'77degF-Mostly Cloudy-31%', u'PIT'], u'Corey Dickerson': [u'8:10 PM ET', u'58degF-Mostly Cloudy-1%', u'COL'], u'Drew Butera': [u'9:05 PM ET', u'59degF-Mostly Cloudy-0%', u'LAA'], u'Manny Machado': [u'7:05 PM ET', u'51degF-Mostly Cloudy-0%', u'BAL'], u'Chris Young': [u'4:05 PM ET', u'58degF-Clear-0%', u'NYY'], u'Allen Craig': [u'7:05 PM ET', u'51degF-Mostly Cloudy-0%', u'BOS'], u'Albert Pujols': [u'9:05 PM ET', u'59degF-Mostly Cloudy-0%', u'LAA'], u'Justin Masterson': [u'7:05 PM ET', u'51degF-Mostly Cloudy-0%', u'BOS'], u'Billy Hamilton': [u'PPD', u'49degF-Rain-100%', u'CIN'], u'Starlin Castro': [u'PPD', u'49degF-Rain-100%', u'CHC'], u'Robbie Grossman': [u'4:05 PM ET', u'57degF-Mostly Cloudy-0%', u'HOU'], u'Yasmani Grandal': [u'8:40 PM ET', u'62degF-Mostly Cloudy-0%', u'LAD'], u'Jimmy Rollins': [u'8:40 PM ET', u'62degF-Mostly Cloudy-0%', u'LAD'], u'Neil Walker': [u'8:10 PM ET', u'77degF-Mostly Cloudy-31%', u'PIT'], u'Billy Butler': [u'4:05 PM ET', u'57degF-Mostly Cloudy-0%', u'OAK'], u'Juan Uribe': [u'8:40 PM ET', u'62degF-Mostly Cloudy-0%', u'LAD'], u'Jason Castro': [u'4:05 PM ET', u'57degF-Mostly Cloudy-0%', u'HOU'], u'A.J. Burnett': [u'8:10 PM ET', u'77degF-Mostly Cloudy-31%', u'PIT'], u'Hector Gomez': [u'7:10 PM ET', u'42degF-Overcast-0%', u'MIL'], u'Starling Marte': [u'8:10 PM ET', u'77degF-Mostly Cloudy-31%', u'PIT'], u'Aaron Hill': [u'8:10 PM ET', u'77degF-Mostly Cloudy-31%', u'ARI'], u'Francisco Cervelli': [u'8:10 PM ET', u'77degF-Mostly Cloudy-31%', u'PIT'], u'Kyle Seager': [u'9:10 PM ET', u'52degF-Partly Cloudy-0%', u'SEA'], u'Torii Hunter': [u'9:10 PM ET', u'52degF-Partly Cloudy-0%', u'MIN'], u'Shin-Soo Choo': [u'9:05 PM ET', u'59degF-Mostly Cloudy-0%', u'TEX'], u'Kole Calhoun': [u'9:05 PM ET', u'59degF-Mostly Cloudy-0%', u'LAA'], u'Josh Reddick': [u'4:05 PM ET', u'57degF-Mostly Cloudy-0%', u'OAK'], 'no away_lineup listed': [u'PPD', u'44degF-Light Rain-100%', u'CHW'], u'Robinson Chirinos': [u'9:05 PM ET', u'59degF-Mostly Cloudy-0%', u'TEX'], u'Sam Fuld': [u'4:05 PM ET', u'57degF-Mostly Cloudy-0%', u'OAK'], u'Cody Ross': [u'4:05 PM ET', u'57degF-Mostly Cloudy-0%', u'OAK'], u'Evan Longoria': [u'6:10 PM ET', u'81degF-Clear-0%', u'TB'], u'Eduardo Nunez': [u'9:10 PM ET', u'52degF-Partly Cloudy-0%', u'MIN'], u'A.J. Pierzynski': [u'7:05 PM ET', u'55degF-Mostly Cloudy-0%', u'ATL'], u'Marcus Semien': [u'4:05 PM ET', u'57degF-Mostly Cloudy-0%', u'OAK'], u'Kendall Graveman': [u'4:05 PM ET', u'57degF-Mostly Cloudy-0%', u'OAK'], u'Ike Davis': [u'4:05 PM ET', u'57degF-Mostly Cloudy-0%', u'OAK'], u'Cody Asche': [u'7:05 PM ET', u'55degF-Mostly Cloudy-0%', u'PHI'], u'Alex Rodriguez': [u'4:05 PM ET', u'58degF-Clear-0%', u'NYY'], u'Mike Napoli': [u'7:05 PM ET', u'51degF-Mostly Cloudy-0%', u'BOS'], u'Devon Travis': [u'6:10 PM ET', u'81degF-Clear-0%', u'TOR'], u'Justin Bour': [u'4:10 PM ET', u'85degF-Mostly Cloudy-15%', u'MIA'], u'Nick Castellanos': [u'1:08 PM ET', u'47degF-Overcast-0%', u'DET'], u'Eric Campbell': [u'4:05 PM ET', u'58degF-Clear-0%', u'NYM'], u'Stephen Strasburg': [u'4:10 PM ET', u'85degF-Mostly Cloudy-15%', u'WAS'], u'Mike Trout': [u'9:05 PM ET', u'59degF-Mostly Cloudy-0%', u'LAA'], u'Khris Davis': [u'7:10 PM ET', u'42degF-Overcast-0%', u'MIL'], u'Miguel Montero': [u'PPD', u'49degF-Rain-100%', u'CHC'], u'Jonny Gomes': [u'7:05 PM ET', u'55degF-Mostly Cloudy-0%', u'ATL'], u'Andre Ethier': [u'8:40 PM ET', u'62degF-Mostly Cloudy-0%', u'LAD'], u'James Paxton': [u'9:10 PM ET', u'52degF-Partly Cloudy-0%', u'SEA'], u'Alejandro De Aza': [u'7:05 PM ET', u'51degF-Mostly Cloudy-0%', u'BAL'], u'Tim Beckham': [u'6:10 PM ET', u'81degF-Clear-0%', u'TB'], u'Troy Tulowitzki': [u'8:10 PM ET', u'58degF-Mostly Cloudy-1%', u'COL'], u'Jordy Mercer': [u'8:10 PM ET', u'77degF-Mostly Cloudy-31%', u'PIT'], u'Tim Hudson': [u'8:10 PM ET', u'58degF-Mostly Cloudy-1%', u'SF'], u'Brandon Guyer': [u'6:10 PM ET', u'81degF-Clear-0%', u'TB'], u'Wily Peralta': [u'7:10 PM ET', u'42degF-Overcast-0%', u'MIL'], u'Marlon Byrd': [u'PPD', u'49degF-Rain-100%', u'CIN'], u'Austin Jackson': [u'9:10 PM ET', u'52degF-Partly Cloudy-0%', u'SEA'], u'Jace Peterson': [u'7:05 PM ET', u'55degF-Mostly Cloudy-0%', u'ATL'], u'Jed Lowrie': [u'4:05 PM ET', u'57degF-Mostly Cloudy-0%', u'HOU'], u'Adam Rosales': [u'9:05 PM ET', u'59degF-Mostly Cloudy-0%', u'TEX'], u'Brandon Crawford': [u'8:10 PM ET', u'58degF-Mostly Cloudy-1%', u'SF'], u'Carlos Gonzalez': [u'8:10 PM ET', u'58degF-Mostly Cloudy-1%', u'COL'], u'Jean Segura': [u'7:10 PM ET', u'42degF-Overcast-0%', u'MIL'], u'Danny Espinosa': [u'4:10 PM ET', u'85degF-Mostly Cloudy-15%', u'WAS'], u'Miguel Cabrera': [u'1:08 PM ET', u'47degF-Overcast-0%', u'DET'], u'Desmond Jennings': [u'6:10 PM ET', u'81degF-Clear-0%', u'TB'], u'Jose Iglesias': [u'1:08 PM ET', u'47degF-Overcast-0%', u'DET'], u'Jason Kipnis': [u'1:08 PM ET', u'47degF-Overcast-0%', u'CLE'], u'Mitch Moreland': [u'9:05 PM ET', u'59degF-Mostly Cloudy-0%', u'TEX'], u'Nolan Arenado': [u'8:10 PM ET', u'58degF-Mostly Cloudy-1%', u'COL'], u'David Buchanan': [u'7:05 PM ET', u'55degF-Mostly Cloudy-0%', u'PHI'], u'Rubby De La Rosa': [u'8:10 PM ET', u'77degF-Mostly Cloudy-31%', u'ARI'], u'Brayan Pena': [u'PPD', u'49degF-Rain-100%', u'CIN'], u'Alex Avila': [u'1:08 PM ET', u'47degF-Overcast-0%', u'DET'], u'Wei-Yin Chen': [u'7:05 PM ET', u'51degF-Mostly Cloudy-0%', u'BAL'], u'Rajai Davis': [u'1:08 PM ET', u'47degF-Overcast-0%', u'DET'], u'Anthony DeSclafani': [u'PPD', u'49degF-Rain-100%', u'CIN'], u'Ryan Howard': [u'7:05 PM ET', u'55degF-Mostly Cloudy-0%', u'PHI'], u'Asdrubal Cabrera': [u'6:10 PM ET', u'81degF-Clear-0%', u'TB'], u'Edwin Encarnacion': [u'6:10 PM ET', u'81degF-Clear-0%', u'TOR'], u'CC Sabathia': [u'4:05 PM ET', u'58degF-Clear-0%', u'NYY'], u'DJ LeMahieu': [u'8:10 PM ET', u'58degF-Mostly Cloudy-1%', u'COL'], u'J.D. Martinez': [u'1:08 PM ET', u'47degF-Overcast-0%', u'DET'], u'Chase Utley': [u'7:05 PM ET', u'55degF-Mostly Cloudy-0%', u'PHI'], u'Matt Carpenter': [u'7:10 PM ET', u'42degF-Overcast-0%', u'STL'], u'Ian Desmond': [u'4:10 PM ET', u'85degF-Mostly Cloudy-15%', u'WAS'], u'Scott Feldman': [u'4:05 PM ET', u'57degF-Mostly Cloudy-0%', u'HOU'], u'Matt Harvey': [u'4:05 PM ET', u'58degF-Clear-0%', u'NYM'], u'Yangervis Solarte': [u'8:40 PM ET', u'62degF-Mostly Cloudy-0%', u'SD'], u'Jacoby Ellsbury': [u'4:05 PM ET', u'58degF-Clear-0%', u'NYY'], u'Xander Bogaerts': [u'7:05 PM ET', u'51degF-Mostly Cloudy-0%', u'BOS'], u'Joe Mauer': [u'9:10 PM ET', u'52degF-Partly Cloudy-0%', u'MIN'], u'Logan Morrison': [u'9:10 PM ET', u'52degF-Partly Cloudy-0%', u'SEA'], u'Trevor May': [u'9:10 PM ET', u'52degF-Partly Cloudy-0%', u'MIN'], u'Aramis Ramirez': [u'7:10 PM ET', u'42degF-Overcast-0%', u'MIL'], u'Nori Aoki': [u'8:10 PM ET', u'58degF-Mostly Cloudy-1%', u'SF'], u'Howie Kendrick': [u'8:40 PM ET', u'62degF-Mostly Cloudy-0%', u'LAD'], u'Ichiro Suzuki': [u'4:10 PM ET', u'85degF-Mostly Cloudy-15%', u'MIA'], u'Pablo Sandoval': [u'7:05 PM ET', u'51degF-Mostly Cloudy-0%', u'BOS'], u'Chris Carter': [u'4:05 PM ET', u'57degF-Mostly Cloudy-0%', u'HOU'], u'Jake Arrieta': [u'PPD', u'49degF-Rain-100%', u'CHC'], u'Jhonny Peralta': [u'7:10 PM ET', u'42degF-Overcast-0%', u'STL'], u'David Peralta': [u'8:10 PM ET', u'77degF-Mostly Cloudy-31%', u'ARI'], u'Michael Cuddyer': [u'4:05 PM ET', u'58degF-Clear-0%', u'NYM'], u'Jorge Soler': [u'PPD', u'49degF-Rain-100%', u'CHC'], u'Travis Snider': [u'7:05 PM ET', u'51degF-Mostly Cloudy-0%', u'BAL'], u'Dustin Ackley': [u'9:10 PM ET', u'52degF-Partly Cloudy-0%', u'SEA'], u'Pedro Alvarez': [u'8:10 PM ET', u'77degF-Mostly Cloudy-31%', u'PIT'], u'Edinson Volquez': [u'PPD', u'44degF-Light Rain-100%', u'KC'], u'Lucas Duda': [u'4:05 PM ET', u'58degF-Clear-0%', u'NYM'], u'Ian Kinsler': [u'1:08 PM ET', u'47degF-Overcast-0%', u'DET'], u'Ryan Zimmerman': [u'4:10 PM ET', u'85degF-Mostly Cloudy-15%', u'WAS'], u'Nick Hundley': [u'8:10 PM ET', u'58degF-Mostly Cloudy-1%', u'COL'], u'Justin Maxwell': [u'8:10 PM ET', u'58degF-Mostly Cloudy-1%', u'SF'], u'Odubel Herrera': [u'7:05 PM ET', u'55degF-Mostly Cloudy-0%', u'PHI'], u'Carlos Santana': [u'1:08 PM ET', u'47degF-Overcast-0%', u'CLE'], u'Chris Davis': [u'7:05 PM ET', u'51degF-Mostly Cloudy-0%', u'BAL'], u'Ryan Hanigan': [u'7:05 PM ET', u'51degF-Mostly Cloudy-0%', u'BOS'], u'Charlie Blackmon': [u'8:10 PM ET', u'58degF-Mostly Cloudy-1%', u'COL'], u'Brian McCann': [u'4:05 PM ET', u'58degF-Clear-0%', u'NYY'], u'Carl Crawford': [u'8:40 PM ET', u'62degF-Mostly Cloudy-0%', u'LAD'], u'Adam Jones': [u'7:05 PM ET', u'51degF-Mostly Cloudy-0%', u'BAL'], u'Reed Johnson': [u'4:10 PM ET', u'85degF-Mostly Cloudy-15%', u'WAS'], u'Luis Valbuena': [u'4:05 PM ET', u'57degF-Mostly Cloudy-0%', u'HOU'], u'Jose Altuve': [u'4:05 PM ET', u'57degF-Mostly Cloudy-0%', u'HOU'], u'Daniel Murphy': [u'4:05 PM ET', u'58degF-Clear-0%', u'NYM'], u'Robinson Cano': [u'9:10 PM ET', u'52degF-Partly Cloudy-0%', u'SEA'], u'Marwin Gonzalez': [u'4:05 PM ET', u'57degF-Mostly Cloudy-0%', u'HOU'], u'Logan Forsythe': [u'6:10 PM ET', u'81degF-Clear-0%', u'TB'], u'Dexter Fowler': [u'PPD', u'49degF-Rain-100%', u'CHC'], u'Zack Cozart': [u'PPD', u'49degF-Rain-100%', u'CIN'], u'Leonys Martin': [u'9:05 PM ET', u'59degF-Mostly Cloudy-0%', u'TEX'], u'Yoenis Cespedes': [u'1:08 PM ET', u'47degF-Overcast-0%', u'DET'], u'Yunel Escobar': [u'4:10 PM ET', u'85degF-Mostly Cloudy-15%', u'WAS'], u'Freddie Freeman': [u'7:05 PM ET', u'55degF-Mostly Cloudy-0%', u'ATL'], u'Lonnie Chisenhall': [u'1:08 PM ET', u'47degF-Overcast-0%', u'CLE'], u'Adeiny Hechavarria': [u'4:10 PM ET', u'85degF-Mostly Cloudy-15%', u'MIA'], u'Brennan Boesch': [u'PPD', u'49degF-Rain-100%', u'CIN'], u'Hanley Ramirez': [u'7:05 PM ET', u'51degF-Mostly Cloudy-0%', u'BOS'], u'Daniel Norris': [u'6:10 PM ET', u'81degF-Clear-0%', u'TOR'], u'Wil Myers': [u'8:40 PM ET', u'62degF-Mostly Cloudy-0%', u'SD'], u'Caleb Joseph': [u'7:05 PM ET', u'51degF-Mostly Cloudy-0%', u'BAL'], u'Mark Reynolds': [u'7:10 PM ET', u'42degF-Overcast-0%', u'STL'], u'Nelson Cruz': [u'9:10 PM ET', u'52degF-Partly Cloudy-0%', u'SEA'], u'Mookie Betts': [u'7:05 PM ET', u'51degF-Mostly Cloudy-0%', u'BOS'], u'Brandon Moss': [u'1:08 PM ET', u'47degF-Overcast-0%', u'CLE'], u'Matt Holliday': [u'7:10 PM ET', u'42degF-Overcast-0%', u'STL'], u'Jimmy Paredes': [u'7:05 PM ET', u'51degF-Mostly Cloudy-0%', u'BAL'], u'Dee Gordon': [u'4:10 PM ET', u'85degF-Mostly Cloudy-15%', u'MIA'], u'Freddy Galvis': [u'7:05 PM ET', u'55degF-Mostly Cloudy-0%', u'PHI'], u'Dalton Pompey': [u'6:10 PM ET', u'81degF-Clear-0%', u'TOR'], 'no home_lineup listed': [u'PPD', u'44degF-Light Rain-100%', u'KC'], u'Tom Koehler': [u'4:10 PM ET', u'85degF-Mostly Cloudy-15%', u'MIA'], u'Alfredo Simon': [u'1:08 PM ET', u'47degF-Overcast-0%', u'DET'], u'Justin Smoak': [u'6:10 PM ET', u'81degF-Clear-0%', u'TOR'], u'Jose Reyes': [u'6:10 PM ET', u'81degF-Clear-0%', u'TOR'], u'Joey Votto': [u'PPD', u'49degF-Rain-100%', u'CIN'], u'Bobby Wilson': [u'6:10 PM ET', u'81degF-Clear-0%', u'TB'], u'Brandon McCarthy': [u'8:40 PM ET', u'62degF-Mostly Cloudy-0%', u'LAD'], u'Michael Bourn': [u'1:08 PM ET', u'47degF-Overcast-0%', u'CLE'], u'Andrew McCutchen': [u'8:10 PM ET', u'77degF-Mostly Cloudy-31%', u'PIT'], u'Wilmer Flores': [u'4:05 PM ET', u'58degF-Clear-0%', u'NYM'], u'Curtis Granderson': [u'4:05 PM ET', u'58degF-Clear-0%', u'NYM'], u'Shelby Miller': [u'7:05 PM ET', u'55degF-Mostly Cloudy-0%', u'ATL'], u'Adam Lind': [u'7:10 PM ET', u'42degF-Overcast-0%', u'MIL'], u'Paul Goldschmidt': [u'8:10 PM ET', u'77degF-Mostly Cloudy-31%', u'ARI'], u'Eric Young Jr.': [u'7:05 PM ET', u'55degF-Mostly Cloudy-0%', u'ATL'], u'George Springer': [u'4:05 PM ET', u'57degF-Mostly Cloudy-0%', u'HOU'], u'Adrian Beltre': [u'9:05 PM ET', u'59degF-Mostly Cloudy-0%', u'TEX'], u'Erick Aybar': [u'9:05 PM ET', u'59degF-Mostly Cloudy-0%', u'LAA'], u'Stephen Drew': [u'4:05 PM ET', u'58degF-Clear-0%', u'NYY'], u'Jayson Werth': [u'4:10 PM ET', u'85degF-Mostly Cloudy-15%', u'WAS'], u'Bryce Harper': [u'4:10 PM ET', u'85degF-Mostly Cloudy-15%', u'WAS'], u'Kris Bryant': [u'PPD', u'49degF-Rain-100%', u'CHC'], u'Brian Dozier': [u'9:10 PM ET', u'52degF-Partly Cloudy-0%', u'MIN'], u'Didi Gregorius': [u'4:05 PM ET', u'58degF-Clear-0%', u'NYY'], u'Colby Rasmus': [u'4:05 PM ET', u'57degF-Mostly Cloudy-0%', u'HOU'], u'Nick Markakis': [u'7:05 PM ET', u'55degF-Mostly Cloudy-0%', u'ATL'], u'Casey McGehee': [u'8:10 PM ET', u'58degF-Mostly Cloudy-1%', u'SF'], u'Steven Souza Jr.': [u'6:10 PM ET', u'81degF-Clear-0%', u'TB'], u'Ben Revere': [u'7:05 PM ET', u'55degF-Mostly Cloudy-0%', u'PHI'], u'Ian Kennedy': [u'8:40 PM ET', u'62degF-Mostly Cloudy-0%', u'SD'], u'Grant Green': [u'9:05 PM ET', u'59degF-Mostly Cloudy-0%', u'LAA'], u'Chris Owings': [u'8:10 PM ET', u'77degF-Mostly Cloudy-31%', u'ARI'], u'Josh Donaldson': [u'6:10 PM ET', u'81degF-Clear-0%', u'TOR'], u'Brett Gardner': [u'4:05 PM ET', u'58degF-Clear-0%', u'NYY'], u'Andrew Susac': [u'8:10 PM ET', u'58degF-Mostly Cloudy-1%', u'SF'], u'Brandon Phillips': [u'PPD', u'49degF-Rain-100%', u'CIN'], u'Addison Russell': [u'PPD', u'49degF-Rain-100%', u'CHC'], u'Giancarlo Stanton': [u'4:10 PM ET', u'85degF-Mostly Cloudy-15%', u'MIA'], u'Derek Norris': [u'8:40 PM ET', u'62degF-Mostly Cloudy-0%', u'SD'], u'Kolten Wong': [u'7:10 PM ET', u'42degF-Overcast-0%', u'STL'], u'Victor Martinez': [u'1:08 PM ET', u'47degF-Overcast-0%', u'DET'], u'Marcell Ozuna': [u'4:10 PM ET', u'85degF-Mostly Cloudy-15%', u'MIA'], u'Rey Navarro': [u'7:05 PM ET', u'51degF-Mostly Cloudy-0%', u'BAL'], u'Joc Pederson': [u'8:40 PM ET', u'62degF-Mostly Cloudy-0%', u'LAD'], u'Tuffy Gosewisch': [u'8:10 PM ET', u'77degF-Mostly Cloudy-31%', u'ARI'], u'Trevor Plouffe': [u'9:10 PM ET', u'52degF-Partly Cloudy-0%', u'MIN'], u'Matt Kemp': [u'8:40 PM ET', u'62degF-Mostly Cloudy-0%', u'SD'], u'Michael Saunders': [u'6:10 PM ET', u'81degF-Clear-0%', u'TOR'], u'Anthony Rizzo': [u'PPD', u'49degF-Rain-100%', u'CHC'], u'Michael Brantley': [u'1:08 PM ET', u'47degF-Overcast-0%', u'CLE'], u'Juan Lagares': [u'4:05 PM ET', u'58degF-Clear-0%', u'NYM'], u'Gerardo Parra': [u'7:10 PM ET', u'42degF-Overcast-0%', u'MIL'], u'Will Middlebrooks': [u'8:40 PM ET', u'62degF-Mostly Cloudy-0%', u'SD'], u'A.J. Pollock': [u'8:10 PM ET', u'77degF-Mostly Cloudy-31%', u'ARI'], u'Prince Fielder': [u'9:05 PM ET', u'59degF-Mostly Cloudy-0%', u'TEX'], u'Kurt Suzuki': [u'9:10 PM ET', u'52degF-Partly Cloudy-0%', u'MIN'], u'Josh Harrison': [u'8:10 PM ET', u'77degF-Mostly Cloudy-31%', u'PIT'], u'Colby Lewis': [u'9:05 PM ET', u'59degF-Mostly Cloudy-0%', u'TEX'], u'Buster Posey': [u'8:10 PM ET', u'58degF-Mostly Cloudy-1%', u'SF'], u'Martin Maldonado': [u'7:10 PM ET', u'42degF-Overcast-0%', u'MIL'], u'David Ortiz': [u'7:05 PM ET', u'51degF-Mostly Cloudy-0%', u'BOS'], u'Alexi Amarista': [u'8:40 PM ET', u'62degF-Mostly Cloudy-0%', u'SD'], u'Todd Frazier': [u'PPD', u'49degF-Rain-100%', u'CIN'], u'Andrelton Simmons': [u'7:05 PM ET', u'55degF-Mostly Cloudy-0%', u'ATL'], u'Russell Martin': [u'6:10 PM ET', u'81degF-Clear-0%', u'TOR'], u'Brett Hayes': [u'1:08 PM ET', u'47degF-Overcast-0%', u'CLE'], u'Carlos Ruiz': [u'7:05 PM ET', u'55degF-Mostly Cloudy-0%', u'PHI'], u'Kennys Vargas': [u'9:10 PM ET', u'52degF-Partly Cloudy-0%', u'MIN'], u'Jake Elmore': [u'6:10 PM ET', u'81degF-Clear-0%', u'TB'], u'Martin Prado': [u'4:10 PM ET', u'85degF-Mostly Cloudy-15%', u'MIA'], u'David Freese': [u'9:05 PM ET', u'59degF-Mostly Cloudy-0%', u'LAA'], u'Everth Cabrera': [u'7:05 PM ET', u'51degF-Mostly Cloudy-0%', u'BAL'], u'Chase Headley': [u'4:05 PM ET', u'58degF-Clear-0%', u'NYY'], u'Yonder Alonso': [u'8:40 PM ET', u'62degF-Mostly Cloudy-0%', u'SD'], u'Elvis Andrus': [u'9:05 PM ET', u'59degF-Mostly Cloudy-0%', u'TEX'], u'C.J. Cron': [u'9:05 PM ET', u'59degF-Mostly Cloudy-0%', u'LAA'], u'Max Muncy': [u'4:05 PM ET', u'57degF-Mostly Cloudy-0%', u'OAK'], u'Cliff Pennington': [u'8:10 PM ET', u'77degF-Mostly Cloudy-31%', u'ARI'], u'C.J. Wilson': [u'9:05 PM ET', u'59degF-Mostly Cloudy-0%', u'LAA']}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</si>
</sst>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0" fillId="0" borderId="0" xfId="0" applyAlignment="1">
      <alignment vertical="top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014592"/>
        <c:axId val="190016128"/>
      </c:barChart>
      <c:catAx>
        <c:axId val="19001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0016128"/>
        <c:crosses val="autoZero"/>
        <c:auto val="1"/>
        <c:lblAlgn val="ctr"/>
        <c:lblOffset val="100"/>
        <c:noMultiLvlLbl val="0"/>
      </c:catAx>
      <c:valAx>
        <c:axId val="19001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014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36224"/>
        <c:axId val="190042112"/>
      </c:areaChart>
      <c:catAx>
        <c:axId val="190036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0042112"/>
        <c:crosses val="autoZero"/>
        <c:auto val="1"/>
        <c:lblAlgn val="ctr"/>
        <c:lblOffset val="100"/>
        <c:noMultiLvlLbl val="0"/>
      </c:catAx>
      <c:valAx>
        <c:axId val="1900421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0036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/>
  </sheetViews>
  <sheetFormatPr defaultRowHeight="15" x14ac:dyDescent="0.25"/>
  <sheetData>
    <row r="1" spans="1:2" x14ac:dyDescent="0.25">
      <c r="A1">
        <v>28</v>
      </c>
    </row>
    <row r="3" spans="1:2" x14ac:dyDescent="0.25">
      <c r="A3" t="s">
        <v>0</v>
      </c>
      <c r="B3">
        <v>10</v>
      </c>
    </row>
    <row r="4" spans="1:2" x14ac:dyDescent="0.25">
      <c r="A4" t="s">
        <v>1</v>
      </c>
      <c r="B4" t="s">
        <v>1458</v>
      </c>
    </row>
    <row r="5" spans="1:2" x14ac:dyDescent="0.25">
      <c r="A5" t="s">
        <v>2</v>
      </c>
      <c r="B5" t="s">
        <v>1459</v>
      </c>
    </row>
    <row r="6" spans="1:2" x14ac:dyDescent="0.25">
      <c r="A6" t="s">
        <v>5</v>
      </c>
      <c r="B6" t="s">
        <v>778</v>
      </c>
    </row>
    <row r="7" spans="1:2" x14ac:dyDescent="0.25">
      <c r="A7" t="s">
        <v>6</v>
      </c>
      <c r="B7" t="s">
        <v>779</v>
      </c>
    </row>
    <row r="8" spans="1:2" x14ac:dyDescent="0.25">
      <c r="A8" t="s">
        <v>7</v>
      </c>
      <c r="B8" t="s">
        <v>769</v>
      </c>
    </row>
    <row r="9" spans="1:2" x14ac:dyDescent="0.25">
      <c r="A9" t="s">
        <v>8</v>
      </c>
      <c r="B9" t="s">
        <v>770</v>
      </c>
    </row>
    <row r="10" spans="1:2" x14ac:dyDescent="0.25">
      <c r="A10" t="s">
        <v>9</v>
      </c>
      <c r="B10" t="s">
        <v>731</v>
      </c>
    </row>
    <row r="11" spans="1:2" x14ac:dyDescent="0.25">
      <c r="A11" t="s">
        <v>10</v>
      </c>
      <c r="B11" t="s">
        <v>732</v>
      </c>
    </row>
    <row r="12" spans="1:2" x14ac:dyDescent="0.25">
      <c r="A12" t="s">
        <v>12</v>
      </c>
      <c r="B12" t="s">
        <v>727</v>
      </c>
    </row>
    <row r="13" spans="1:2" x14ac:dyDescent="0.25">
      <c r="A13" t="s">
        <v>13</v>
      </c>
      <c r="B13" t="s">
        <v>728</v>
      </c>
    </row>
    <row r="14" spans="1:2" x14ac:dyDescent="0.25">
      <c r="A14" t="s">
        <v>715</v>
      </c>
      <c r="B14" t="s">
        <v>723</v>
      </c>
    </row>
    <row r="15" spans="1:2" x14ac:dyDescent="0.25">
      <c r="A15" t="s">
        <v>716</v>
      </c>
      <c r="B15" t="s">
        <v>724</v>
      </c>
    </row>
    <row r="16" spans="1:2" x14ac:dyDescent="0.25">
      <c r="A16" t="s">
        <v>721</v>
      </c>
      <c r="B16" t="s">
        <v>713</v>
      </c>
    </row>
    <row r="17" spans="1:2" x14ac:dyDescent="0.25">
      <c r="A17" t="s">
        <v>722</v>
      </c>
      <c r="B17" t="s">
        <v>714</v>
      </c>
    </row>
    <row r="18" spans="1:2" x14ac:dyDescent="0.25">
      <c r="A18" t="s">
        <v>725</v>
      </c>
      <c r="B18" t="s">
        <v>336</v>
      </c>
    </row>
    <row r="19" spans="1:2" x14ac:dyDescent="0.25">
      <c r="A19" t="s">
        <v>726</v>
      </c>
      <c r="B19" t="s">
        <v>337</v>
      </c>
    </row>
    <row r="20" spans="1:2" x14ac:dyDescent="0.25">
      <c r="A20" t="s">
        <v>729</v>
      </c>
      <c r="B20" t="s">
        <v>224</v>
      </c>
    </row>
    <row r="21" spans="1:2" x14ac:dyDescent="0.25">
      <c r="A21" t="s">
        <v>730</v>
      </c>
      <c r="B21" t="s">
        <v>225</v>
      </c>
    </row>
    <row r="22" spans="1:2" x14ac:dyDescent="0.25">
      <c r="A22" t="s">
        <v>733</v>
      </c>
      <c r="B22" t="s">
        <v>209</v>
      </c>
    </row>
    <row r="23" spans="1:2" x14ac:dyDescent="0.25">
      <c r="A23" t="s">
        <v>734</v>
      </c>
      <c r="B23" t="s">
        <v>210</v>
      </c>
    </row>
    <row r="24" spans="1:2" x14ac:dyDescent="0.25">
      <c r="A24" t="s">
        <v>771</v>
      </c>
      <c r="B24" t="s">
        <v>11</v>
      </c>
    </row>
    <row r="25" spans="1:2" x14ac:dyDescent="0.25">
      <c r="A25" t="s">
        <v>772</v>
      </c>
      <c r="B25" t="s">
        <v>208</v>
      </c>
    </row>
    <row r="26" spans="1:2" x14ac:dyDescent="0.25">
      <c r="A26" t="s">
        <v>780</v>
      </c>
      <c r="B26" t="s">
        <v>11</v>
      </c>
    </row>
    <row r="27" spans="1:2" x14ac:dyDescent="0.25">
      <c r="A27" t="s">
        <v>781</v>
      </c>
      <c r="B27" t="s">
        <v>208</v>
      </c>
    </row>
    <row r="28" spans="1:2" x14ac:dyDescent="0.25">
      <c r="A28" t="s">
        <v>1460</v>
      </c>
      <c r="B28" t="s">
        <v>11</v>
      </c>
    </row>
    <row r="29" spans="1:2" x14ac:dyDescent="0.25">
      <c r="A29" t="s">
        <v>1461</v>
      </c>
      <c r="B29" t="s">
        <v>208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229</v>
      </c>
      <c r="D1" s="6" t="s">
        <v>230</v>
      </c>
      <c r="E1" s="6" t="s">
        <v>16</v>
      </c>
      <c r="F1" s="6" t="s">
        <v>28</v>
      </c>
      <c r="G1" s="6" t="s">
        <v>20</v>
      </c>
      <c r="H1" s="6" t="s">
        <v>207</v>
      </c>
    </row>
    <row r="2" spans="1:8" ht="45" x14ac:dyDescent="0.25">
      <c r="A2" s="6" t="s">
        <v>17</v>
      </c>
      <c r="B2" s="6" t="s">
        <v>18</v>
      </c>
      <c r="C2" s="6" t="s">
        <v>231</v>
      </c>
      <c r="D2" s="6" t="s">
        <v>22</v>
      </c>
      <c r="E2" s="6">
        <v>1</v>
      </c>
      <c r="F2" s="6" t="s">
        <v>48</v>
      </c>
      <c r="G2" s="6" t="s">
        <v>196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231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231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204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231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231</v>
      </c>
      <c r="D12" s="6" t="s">
        <v>46</v>
      </c>
      <c r="E12" s="6">
        <v>5</v>
      </c>
      <c r="F12" s="6" t="s">
        <v>47</v>
      </c>
      <c r="G12" s="6" t="s">
        <v>197</v>
      </c>
    </row>
    <row r="13" spans="1:8" x14ac:dyDescent="0.25">
      <c r="A13" s="6" t="s">
        <v>32</v>
      </c>
      <c r="B13" s="6" t="s">
        <v>33</v>
      </c>
      <c r="C13" s="6" t="s">
        <v>231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231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231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198</v>
      </c>
    </row>
    <row r="20" spans="1:7" x14ac:dyDescent="0.25">
      <c r="A20" s="6" t="s">
        <v>202</v>
      </c>
      <c r="B20" s="6" t="s">
        <v>203</v>
      </c>
      <c r="C20" s="6" t="s">
        <v>204</v>
      </c>
      <c r="D20" s="6" t="s">
        <v>233</v>
      </c>
      <c r="E20" s="6">
        <v>4</v>
      </c>
      <c r="F20" s="6" t="s">
        <v>29</v>
      </c>
    </row>
    <row r="21" spans="1:7" ht="30" x14ac:dyDescent="0.25">
      <c r="A21" s="6" t="s">
        <v>205</v>
      </c>
      <c r="C21" s="6" t="s">
        <v>204</v>
      </c>
      <c r="D21" s="6" t="s">
        <v>232</v>
      </c>
      <c r="E21" s="6">
        <v>5</v>
      </c>
    </row>
    <row r="22" spans="1:7" ht="30" x14ac:dyDescent="0.25">
      <c r="A22" s="6" t="s">
        <v>206</v>
      </c>
      <c r="C22" s="6" t="s">
        <v>204</v>
      </c>
      <c r="D22" s="6" t="s">
        <v>234</v>
      </c>
      <c r="E22" s="6">
        <v>5</v>
      </c>
    </row>
    <row r="23" spans="1:7" ht="30" x14ac:dyDescent="0.25">
      <c r="A23" s="6" t="s">
        <v>247</v>
      </c>
      <c r="B23" s="6" t="s">
        <v>248</v>
      </c>
      <c r="C23" s="6" t="s">
        <v>231</v>
      </c>
      <c r="D23" s="6" t="s">
        <v>249</v>
      </c>
      <c r="E23" s="6">
        <v>5</v>
      </c>
    </row>
    <row r="24" spans="1:7" x14ac:dyDescent="0.25">
      <c r="A24" s="6" t="s">
        <v>306</v>
      </c>
      <c r="B24" s="6" t="s">
        <v>307</v>
      </c>
      <c r="C24" s="6" t="s">
        <v>231</v>
      </c>
      <c r="D24" s="6" t="s">
        <v>308</v>
      </c>
      <c r="E24" s="6">
        <v>5</v>
      </c>
      <c r="F24" s="6" t="s">
        <v>29</v>
      </c>
    </row>
    <row r="25" spans="1:7" x14ac:dyDescent="0.25">
      <c r="A25" s="6" t="s">
        <v>321</v>
      </c>
      <c r="B25" s="6" t="s">
        <v>322</v>
      </c>
      <c r="C25" s="6" t="s">
        <v>231</v>
      </c>
      <c r="D25" s="6" t="s">
        <v>320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170</v>
      </c>
      <c r="C2" s="5" t="s">
        <v>172</v>
      </c>
      <c r="D2" s="5" t="s">
        <v>173</v>
      </c>
      <c r="L2" s="10" t="s">
        <v>170</v>
      </c>
      <c r="M2" t="s">
        <v>173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171</v>
      </c>
      <c r="C4" s="13">
        <v>-10</v>
      </c>
      <c r="D4" s="13">
        <v>-1</v>
      </c>
      <c r="L4" s="12" t="s">
        <v>171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4" sqref="B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1" t="s">
        <v>752</v>
      </c>
      <c r="I1" s="31"/>
      <c r="J1" s="31"/>
    </row>
    <row r="2" spans="1:18" x14ac:dyDescent="0.25">
      <c r="H2" s="5" t="s">
        <v>753</v>
      </c>
      <c r="I2" s="5" t="s">
        <v>759</v>
      </c>
      <c r="J2" s="5" t="s">
        <v>754</v>
      </c>
    </row>
    <row r="3" spans="1:18" ht="12.75" customHeight="1" x14ac:dyDescent="0.25">
      <c r="A3" s="18" t="s">
        <v>717</v>
      </c>
      <c r="B3" s="19">
        <v>42121</v>
      </c>
      <c r="H3" s="20" t="s">
        <v>746</v>
      </c>
      <c r="I3" s="20" t="s">
        <v>755</v>
      </c>
      <c r="J3" s="5" t="s">
        <v>155</v>
      </c>
    </row>
    <row r="4" spans="1:18" x14ac:dyDescent="0.25">
      <c r="A4" s="5" t="s">
        <v>718</v>
      </c>
      <c r="B4" s="5" t="str">
        <f>IF(A11&gt;0,CONCATENATE(A11,", ",A12,", ",A13,", ",A14,", ",A16,", ",A17,", ",A18,", ",A19),"")</f>
        <v>Damian Lillard, Derrick Rose, Jimmy Butler, Joe Johnson, Bojan Bogdanovic, LaMarcus Aldridge, John Henson, Joakim Noah</v>
      </c>
      <c r="H4" s="20" t="s">
        <v>155</v>
      </c>
      <c r="I4" s="20" t="s">
        <v>755</v>
      </c>
      <c r="J4" s="5" t="s">
        <v>155</v>
      </c>
    </row>
    <row r="5" spans="1:18" x14ac:dyDescent="0.25">
      <c r="A5" s="5" t="s">
        <v>719</v>
      </c>
      <c r="B5" s="5" t="str">
        <f>IF(D22&gt;0,CONCATENATE(D22,", ",D23,", ",D24,", ",D25,", ",D26,", ",D27,", ",D28,", ",D29,", ",D30),"")</f>
        <v>Damian Lillard, Derrick Rose, Joe Johnson, Kyle Korver, Nicolas Batum, Bojan Bogdanovic, Pau Gasol, Zach Randolph, Marc Gasol</v>
      </c>
      <c r="H5" s="20" t="s">
        <v>747</v>
      </c>
      <c r="I5" s="20" t="s">
        <v>756</v>
      </c>
      <c r="J5" s="5" t="s">
        <v>156</v>
      </c>
    </row>
    <row r="6" spans="1:18" x14ac:dyDescent="0.25">
      <c r="A6" s="5" t="s">
        <v>720</v>
      </c>
      <c r="B6" s="5" t="str">
        <f>IF(D33&gt;0,CONCATENATE(D33,", ",D34,", ",D35,", ",D36,", ",D37,", ",D38,", ",D39,", ",D40,", ",D41),"")</f>
        <v>Corey Kluber, Jason Castro, Edwin Encarnacion, Brian Dozier, Luis Valbuena, Troy Tulowitzki, Andrew McCutchen, Carlos Gonzalez, Seth Smith</v>
      </c>
      <c r="H6" s="20" t="s">
        <v>748</v>
      </c>
      <c r="I6" s="20" t="s">
        <v>756</v>
      </c>
      <c r="J6" s="5" t="s">
        <v>156</v>
      </c>
    </row>
    <row r="7" spans="1:18" x14ac:dyDescent="0.25">
      <c r="A7" s="5" t="s">
        <v>738</v>
      </c>
      <c r="B7" s="5" t="str">
        <f>IF(D47&gt;0,CONCATENATE(D47,", ",D48,", ",D49,", ",D50,", ",D51,", ",D52,", ",D53,", ",D54,", ",D55),"")</f>
        <v>Steven Stamkos, Nicklas Backstrom, Alex Ovechkin, Ondrej Palat, Ryan Callahan, Colin McDonald, Jason Garrison, Scott Mayfield, Braden Holtby</v>
      </c>
      <c r="H7" s="20" t="s">
        <v>749</v>
      </c>
      <c r="I7" s="20" t="s">
        <v>757</v>
      </c>
      <c r="J7" s="5" t="s">
        <v>157</v>
      </c>
      <c r="N7" s="21"/>
    </row>
    <row r="8" spans="1:18" x14ac:dyDescent="0.25">
      <c r="H8" s="20" t="s">
        <v>750</v>
      </c>
      <c r="I8" s="5" t="s">
        <v>757</v>
      </c>
      <c r="J8" s="5" t="s">
        <v>157</v>
      </c>
      <c r="K8" s="20"/>
      <c r="N8" s="21"/>
    </row>
    <row r="9" spans="1:18" x14ac:dyDescent="0.25">
      <c r="B9" s="5" t="s">
        <v>736</v>
      </c>
      <c r="H9" s="20" t="s">
        <v>751</v>
      </c>
      <c r="I9" s="5" t="s">
        <v>758</v>
      </c>
      <c r="J9" s="5" t="s">
        <v>158</v>
      </c>
      <c r="K9" s="20"/>
      <c r="L9" s="20"/>
      <c r="N9" s="21"/>
    </row>
    <row r="10" spans="1:18" x14ac:dyDescent="0.25">
      <c r="A10" s="7" t="s">
        <v>735</v>
      </c>
      <c r="B10" s="1"/>
      <c r="H10" s="5" t="s">
        <v>751</v>
      </c>
      <c r="I10" s="5" t="s">
        <v>758</v>
      </c>
      <c r="J10" s="5" t="s">
        <v>158</v>
      </c>
      <c r="K10" s="20"/>
      <c r="L10" s="20"/>
      <c r="N10" s="21"/>
    </row>
    <row r="11" spans="1:18" x14ac:dyDescent="0.25">
      <c r="A11" s="20" t="s">
        <v>1532</v>
      </c>
      <c r="H11" s="5" t="s">
        <v>751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A12" s="5" t="s">
        <v>1533</v>
      </c>
      <c r="I12" s="20"/>
      <c r="K12" s="20"/>
      <c r="L12" s="20"/>
      <c r="M12" s="20"/>
      <c r="N12" s="21"/>
      <c r="P12" s="21"/>
    </row>
    <row r="13" spans="1:18" x14ac:dyDescent="0.25">
      <c r="A13" s="5" t="s">
        <v>1534</v>
      </c>
      <c r="I13" s="20"/>
      <c r="K13" s="20"/>
      <c r="L13" s="20"/>
      <c r="M13" s="20"/>
      <c r="N13" s="21"/>
      <c r="P13" s="21"/>
    </row>
    <row r="14" spans="1:18" x14ac:dyDescent="0.25">
      <c r="A14" s="5" t="s">
        <v>1535</v>
      </c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A15" s="5" t="s">
        <v>1536</v>
      </c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20" t="s">
        <v>1538</v>
      </c>
      <c r="I16" s="20" t="s">
        <v>773</v>
      </c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20" t="s">
        <v>1539</v>
      </c>
      <c r="I17" s="20" t="s">
        <v>774</v>
      </c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20" t="s">
        <v>1540</v>
      </c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20" t="s">
        <v>1541</v>
      </c>
      <c r="I19" s="20"/>
      <c r="L19" s="20"/>
      <c r="M19" s="20"/>
      <c r="N19" s="20"/>
      <c r="O19" s="20"/>
      <c r="P19" s="21"/>
      <c r="Q19" s="21"/>
      <c r="R19" s="21"/>
    </row>
    <row r="20" spans="1:18" x14ac:dyDescent="0.25">
      <c r="I20" s="20" t="s">
        <v>775</v>
      </c>
      <c r="M20" s="20"/>
      <c r="N20" s="20"/>
      <c r="O20" s="20"/>
      <c r="P20" s="21"/>
      <c r="Q20" s="21"/>
      <c r="R20" s="21"/>
    </row>
    <row r="21" spans="1:18" x14ac:dyDescent="0.25">
      <c r="A21" s="7" t="s">
        <v>1454</v>
      </c>
      <c r="I21" s="20" t="s">
        <v>776</v>
      </c>
      <c r="L21" s="20"/>
      <c r="M21" s="20"/>
      <c r="N21" s="20"/>
      <c r="O21" s="20"/>
      <c r="P21" s="21"/>
      <c r="Q21" s="21"/>
      <c r="R21" s="21"/>
    </row>
    <row r="22" spans="1:18" x14ac:dyDescent="0.25">
      <c r="A22" s="20" t="s">
        <v>1518</v>
      </c>
      <c r="C22" s="5" t="s">
        <v>1525</v>
      </c>
      <c r="D22" s="5" t="str">
        <f>CONCATENATE(C22," ",A22)</f>
        <v>Damian Lillard</v>
      </c>
      <c r="I22" s="20" t="s">
        <v>777</v>
      </c>
      <c r="L22" s="20"/>
      <c r="N22" s="20"/>
      <c r="O22" s="20"/>
      <c r="Q22" s="21"/>
      <c r="R22" s="21"/>
    </row>
    <row r="23" spans="1:18" x14ac:dyDescent="0.25">
      <c r="A23" s="5" t="s">
        <v>1519</v>
      </c>
      <c r="C23" s="5" t="s">
        <v>1526</v>
      </c>
      <c r="D23" s="5" t="str">
        <f t="shared" ref="D23:D30" si="0">CONCATENATE(C23," ",A23)</f>
        <v>Derrick Rose</v>
      </c>
      <c r="L23" s="20"/>
      <c r="N23" s="21"/>
      <c r="O23" s="21"/>
      <c r="R23" s="21"/>
    </row>
    <row r="24" spans="1:18" hidden="1" x14ac:dyDescent="0.25">
      <c r="A24" s="5" t="s">
        <v>1243</v>
      </c>
      <c r="C24" s="5" t="s">
        <v>1527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1520</v>
      </c>
      <c r="C25" s="5" t="s">
        <v>745</v>
      </c>
      <c r="D25" s="5" t="str">
        <f t="shared" si="0"/>
        <v>Kyle Korver</v>
      </c>
      <c r="L25" s="20"/>
      <c r="M25" s="20"/>
      <c r="N25" s="21"/>
      <c r="O25" s="21"/>
      <c r="R25" s="21"/>
    </row>
    <row r="26" spans="1:18" x14ac:dyDescent="0.25">
      <c r="A26" s="5" t="s">
        <v>1521</v>
      </c>
      <c r="C26" s="5" t="s">
        <v>1528</v>
      </c>
      <c r="D26" s="5" t="str">
        <f t="shared" si="0"/>
        <v>Nicolas Batum</v>
      </c>
      <c r="L26" s="20"/>
      <c r="M26" s="20"/>
      <c r="N26" s="21"/>
      <c r="O26" s="21"/>
      <c r="R26" s="21"/>
    </row>
    <row r="27" spans="1:18" x14ac:dyDescent="0.25">
      <c r="A27" s="20" t="s">
        <v>1522</v>
      </c>
      <c r="C27" s="5" t="s">
        <v>1529</v>
      </c>
      <c r="D27" s="5" t="str">
        <f t="shared" si="0"/>
        <v>Bojan Bogdanovic</v>
      </c>
      <c r="I27" s="20"/>
      <c r="J27" s="20"/>
      <c r="K27" s="20" t="s">
        <v>755</v>
      </c>
      <c r="L27" s="20" t="s">
        <v>1532</v>
      </c>
      <c r="M27" s="20"/>
      <c r="N27" s="20" t="s">
        <v>1496</v>
      </c>
      <c r="O27" s="20" t="s">
        <v>1497</v>
      </c>
      <c r="P27" s="20">
        <v>7500</v>
      </c>
      <c r="Q27" s="21">
        <v>37.299999999999997</v>
      </c>
      <c r="R27" s="21">
        <v>5</v>
      </c>
    </row>
    <row r="28" spans="1:18" x14ac:dyDescent="0.25">
      <c r="A28" s="20" t="s">
        <v>1523</v>
      </c>
      <c r="C28" s="5" t="s">
        <v>1530</v>
      </c>
      <c r="D28" s="5" t="str">
        <f t="shared" si="0"/>
        <v>Pau Gasol</v>
      </c>
      <c r="K28" s="5" t="s">
        <v>755</v>
      </c>
      <c r="L28" s="5" t="s">
        <v>1533</v>
      </c>
      <c r="M28" s="20"/>
      <c r="N28" s="20" t="s">
        <v>129</v>
      </c>
      <c r="O28" s="20" t="s">
        <v>789</v>
      </c>
      <c r="P28" s="20">
        <v>6100</v>
      </c>
      <c r="Q28" s="21">
        <v>39.299999999999997</v>
      </c>
      <c r="R28" s="21">
        <v>6.4</v>
      </c>
    </row>
    <row r="29" spans="1:18" x14ac:dyDescent="0.25">
      <c r="A29" s="20" t="s">
        <v>1524</v>
      </c>
      <c r="C29" s="5" t="s">
        <v>1399</v>
      </c>
      <c r="D29" s="5" t="str">
        <f t="shared" si="0"/>
        <v>Zach Randolph</v>
      </c>
      <c r="K29" s="5" t="s">
        <v>756</v>
      </c>
      <c r="L29" s="5" t="s">
        <v>1534</v>
      </c>
      <c r="M29" s="20"/>
      <c r="N29" s="20" t="s">
        <v>129</v>
      </c>
      <c r="O29" s="20" t="s">
        <v>789</v>
      </c>
      <c r="P29" s="20">
        <v>8700</v>
      </c>
      <c r="Q29" s="21">
        <v>43</v>
      </c>
      <c r="R29" s="21">
        <v>4.9000000000000004</v>
      </c>
    </row>
    <row r="30" spans="1:18" x14ac:dyDescent="0.25">
      <c r="A30" s="20" t="s">
        <v>1523</v>
      </c>
      <c r="C30" s="5" t="s">
        <v>1531</v>
      </c>
      <c r="D30" s="5" t="str">
        <f t="shared" si="0"/>
        <v>Marc Gasol</v>
      </c>
      <c r="K30" s="5" t="s">
        <v>756</v>
      </c>
      <c r="L30" s="5" t="s">
        <v>1535</v>
      </c>
      <c r="M30" s="20"/>
      <c r="N30" s="20" t="s">
        <v>1498</v>
      </c>
      <c r="O30" s="20" t="s">
        <v>784</v>
      </c>
      <c r="P30" s="20">
        <v>6400</v>
      </c>
      <c r="Q30" s="21">
        <v>31.1</v>
      </c>
      <c r="R30" s="21">
        <v>4.9000000000000004</v>
      </c>
    </row>
    <row r="31" spans="1:18" x14ac:dyDescent="0.25">
      <c r="K31" s="5" t="s">
        <v>757</v>
      </c>
      <c r="L31" s="5" t="s">
        <v>1536</v>
      </c>
      <c r="M31" s="20"/>
      <c r="N31" s="20" t="s">
        <v>789</v>
      </c>
      <c r="O31" s="20" t="s">
        <v>1537</v>
      </c>
      <c r="P31" s="20">
        <v>6600</v>
      </c>
      <c r="Q31" s="21">
        <v>34.700000000000003</v>
      </c>
      <c r="R31" s="21">
        <v>5.3</v>
      </c>
    </row>
    <row r="32" spans="1:18" x14ac:dyDescent="0.25">
      <c r="A32" s="7" t="s">
        <v>1455</v>
      </c>
      <c r="I32" s="20"/>
      <c r="J32" s="20"/>
      <c r="K32" s="20" t="s">
        <v>757</v>
      </c>
      <c r="L32" s="20" t="s">
        <v>1538</v>
      </c>
      <c r="M32" s="20"/>
      <c r="N32" s="20" t="s">
        <v>1498</v>
      </c>
      <c r="O32" s="20" t="s">
        <v>784</v>
      </c>
      <c r="P32" s="20">
        <v>4300</v>
      </c>
      <c r="Q32" s="21">
        <v>19.8</v>
      </c>
      <c r="R32" s="21">
        <v>4.5999999999999996</v>
      </c>
    </row>
    <row r="33" spans="1:18" x14ac:dyDescent="0.25">
      <c r="A33" s="20" t="s">
        <v>1513</v>
      </c>
      <c r="C33" s="5" t="s">
        <v>1516</v>
      </c>
      <c r="D33" s="5" t="str">
        <f>CONCATENATE(C33," ",A33)</f>
        <v>Corey Kluber</v>
      </c>
      <c r="I33" s="20"/>
      <c r="J33" s="20"/>
      <c r="K33" s="20" t="s">
        <v>758</v>
      </c>
      <c r="L33" s="20" t="s">
        <v>1539</v>
      </c>
      <c r="M33" s="20"/>
      <c r="N33" s="20" t="s">
        <v>1496</v>
      </c>
      <c r="O33" s="20" t="s">
        <v>1497</v>
      </c>
      <c r="P33" s="20">
        <v>9400</v>
      </c>
      <c r="Q33" s="21">
        <v>48.6</v>
      </c>
      <c r="R33" s="21">
        <v>5.2</v>
      </c>
    </row>
    <row r="34" spans="1:18" x14ac:dyDescent="0.25">
      <c r="A34" s="5" t="s">
        <v>1514</v>
      </c>
      <c r="C34" s="5" t="s">
        <v>1205</v>
      </c>
      <c r="D34" s="5" t="str">
        <f t="shared" ref="D34:D41" si="1">CONCATENATE(C34," ",A34)</f>
        <v>Jason Castro</v>
      </c>
      <c r="I34" s="20"/>
      <c r="J34" s="20"/>
      <c r="K34" s="20" t="s">
        <v>758</v>
      </c>
      <c r="L34" s="20" t="s">
        <v>1540</v>
      </c>
      <c r="M34" s="20"/>
      <c r="N34" s="20" t="s">
        <v>789</v>
      </c>
      <c r="O34" s="20" t="s">
        <v>1537</v>
      </c>
      <c r="P34" s="20">
        <v>4800</v>
      </c>
      <c r="Q34" s="21">
        <v>28.4</v>
      </c>
      <c r="R34" s="21">
        <v>5.9</v>
      </c>
    </row>
    <row r="35" spans="1:18" x14ac:dyDescent="0.25">
      <c r="A35" s="5" t="s">
        <v>1152</v>
      </c>
      <c r="C35" s="5" t="s">
        <v>1151</v>
      </c>
      <c r="D35" s="5" t="str">
        <f t="shared" si="1"/>
        <v>Edwin Encarnacion</v>
      </c>
      <c r="I35" s="20"/>
      <c r="J35" s="20"/>
      <c r="K35" s="20" t="s">
        <v>155</v>
      </c>
      <c r="L35" s="20" t="s">
        <v>1541</v>
      </c>
      <c r="M35" s="20"/>
      <c r="N35" s="20" t="s">
        <v>129</v>
      </c>
      <c r="O35" s="20" t="s">
        <v>789</v>
      </c>
      <c r="P35" s="20">
        <v>6200</v>
      </c>
      <c r="Q35" s="21">
        <v>30.6</v>
      </c>
      <c r="R35" s="21">
        <v>4.9000000000000004</v>
      </c>
    </row>
    <row r="36" spans="1:18" x14ac:dyDescent="0.25">
      <c r="A36" s="5" t="s">
        <v>1463</v>
      </c>
      <c r="C36" s="5" t="s">
        <v>1464</v>
      </c>
      <c r="D36" s="5" t="str">
        <f t="shared" si="1"/>
        <v>Brian Dozier</v>
      </c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A37" s="5" t="s">
        <v>1515</v>
      </c>
      <c r="C37" s="5" t="s">
        <v>743</v>
      </c>
      <c r="D37" s="5" t="str">
        <f t="shared" si="1"/>
        <v>Luis Valbuena</v>
      </c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 t="s">
        <v>1456</v>
      </c>
      <c r="C38" s="5" t="s">
        <v>1457</v>
      </c>
      <c r="D38" s="5" t="str">
        <f t="shared" si="1"/>
        <v>Troy Tulowitzki</v>
      </c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 t="s">
        <v>1462</v>
      </c>
      <c r="C39" s="5" t="s">
        <v>1028</v>
      </c>
      <c r="D39" s="5" t="str">
        <f t="shared" si="1"/>
        <v>Andrew McCutchen</v>
      </c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 t="s">
        <v>764</v>
      </c>
      <c r="C40" s="5" t="s">
        <v>765</v>
      </c>
      <c r="D40" s="5" t="str">
        <f t="shared" si="1"/>
        <v>Carlos Gonzalez</v>
      </c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 t="s">
        <v>1071</v>
      </c>
      <c r="C41" s="5" t="s">
        <v>1517</v>
      </c>
      <c r="D41" s="5" t="str">
        <f t="shared" si="1"/>
        <v>Seth Smith</v>
      </c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 t="s">
        <v>739</v>
      </c>
      <c r="I46" s="20"/>
      <c r="L46" s="21"/>
    </row>
    <row r="47" spans="1:18" x14ac:dyDescent="0.25">
      <c r="A47" s="20" t="s">
        <v>1499</v>
      </c>
      <c r="C47" s="5" t="s">
        <v>768</v>
      </c>
      <c r="D47" s="5" t="str">
        <f>CONCATENATE(C47," ",A47)</f>
        <v>Steven Stamkos</v>
      </c>
      <c r="I47" s="20"/>
      <c r="L47" s="21"/>
    </row>
    <row r="48" spans="1:18" x14ac:dyDescent="0.25">
      <c r="A48" s="5" t="s">
        <v>1500</v>
      </c>
      <c r="C48" s="5" t="s">
        <v>1508</v>
      </c>
      <c r="D48" s="5" t="str">
        <f t="shared" ref="D48:D55" si="2">CONCATENATE(C48," ",A48)</f>
        <v>Nicklas Backstrom</v>
      </c>
      <c r="I48" s="20"/>
      <c r="L48" s="21"/>
      <c r="N48" s="20"/>
      <c r="Q48" s="21"/>
    </row>
    <row r="49" spans="1:17" x14ac:dyDescent="0.25">
      <c r="A49" s="5" t="s">
        <v>1501</v>
      </c>
      <c r="C49" s="5" t="s">
        <v>744</v>
      </c>
      <c r="D49" s="5" t="str">
        <f t="shared" si="2"/>
        <v>Alex Ovechkin</v>
      </c>
      <c r="I49" s="20"/>
      <c r="L49" s="21"/>
      <c r="N49" s="20"/>
      <c r="Q49" s="21"/>
    </row>
    <row r="50" spans="1:17" x14ac:dyDescent="0.25">
      <c r="A50" s="5" t="s">
        <v>1502</v>
      </c>
      <c r="C50" s="5" t="s">
        <v>1509</v>
      </c>
      <c r="D50" s="5" t="str">
        <f t="shared" si="2"/>
        <v>Ondrej Palat</v>
      </c>
      <c r="I50" s="20"/>
      <c r="L50" s="21"/>
      <c r="N50" s="20"/>
      <c r="Q50" s="21"/>
    </row>
    <row r="51" spans="1:17" x14ac:dyDescent="0.25">
      <c r="A51" s="5" t="s">
        <v>1503</v>
      </c>
      <c r="C51" s="5" t="s">
        <v>1063</v>
      </c>
      <c r="D51" s="5" t="str">
        <f t="shared" si="2"/>
        <v>Ryan Callahan</v>
      </c>
      <c r="N51" s="20"/>
      <c r="Q51" s="21"/>
    </row>
    <row r="52" spans="1:17" x14ac:dyDescent="0.25">
      <c r="A52" s="20" t="s">
        <v>1504</v>
      </c>
      <c r="C52" s="5" t="s">
        <v>1510</v>
      </c>
      <c r="D52" s="5" t="str">
        <f t="shared" si="2"/>
        <v>Colin McDonald</v>
      </c>
      <c r="N52" s="20"/>
      <c r="Q52" s="21"/>
    </row>
    <row r="53" spans="1:17" x14ac:dyDescent="0.25">
      <c r="A53" s="20" t="s">
        <v>1505</v>
      </c>
      <c r="C53" s="5" t="s">
        <v>1205</v>
      </c>
      <c r="D53" s="5" t="str">
        <f t="shared" si="2"/>
        <v>Jason Garrison</v>
      </c>
      <c r="N53" s="20"/>
      <c r="Q53" s="21"/>
    </row>
    <row r="54" spans="1:17" x14ac:dyDescent="0.25">
      <c r="A54" s="20" t="s">
        <v>1506</v>
      </c>
      <c r="C54" s="5" t="s">
        <v>1511</v>
      </c>
      <c r="D54" s="5" t="str">
        <f t="shared" si="2"/>
        <v>Scott Mayfield</v>
      </c>
      <c r="N54" s="20"/>
      <c r="Q54" s="21"/>
    </row>
    <row r="55" spans="1:17" x14ac:dyDescent="0.25">
      <c r="A55" s="20" t="s">
        <v>1507</v>
      </c>
      <c r="C55" s="5" t="s">
        <v>1512</v>
      </c>
      <c r="D55" s="5" t="str">
        <f t="shared" si="2"/>
        <v>Braden Holtby</v>
      </c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737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692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309</v>
      </c>
      <c r="B7">
        <f>COUNTA('Best Contests'!B:B)+1</f>
        <v>21</v>
      </c>
    </row>
    <row r="8" spans="1:3" x14ac:dyDescent="0.25">
      <c r="A8" t="s">
        <v>319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739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topLeftCell="G1" workbookViewId="0">
      <selection activeCell="P18" sqref="P18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</cols>
  <sheetData>
    <row r="1" spans="1:21" s="5" customFormat="1" ht="45" x14ac:dyDescent="0.25">
      <c r="N1" s="23" t="s">
        <v>1452</v>
      </c>
      <c r="O1" s="23" t="s">
        <v>1453</v>
      </c>
      <c r="P1" s="23"/>
      <c r="Q1" s="28" t="s">
        <v>1451</v>
      </c>
    </row>
    <row r="2" spans="1:21" x14ac:dyDescent="0.25">
      <c r="A2" t="s">
        <v>693</v>
      </c>
      <c r="B2" t="s">
        <v>425</v>
      </c>
      <c r="C2" t="s">
        <v>111</v>
      </c>
      <c r="D2" t="s">
        <v>176</v>
      </c>
      <c r="E2" t="s">
        <v>199</v>
      </c>
      <c r="F2" t="s">
        <v>200</v>
      </c>
      <c r="G2" t="s">
        <v>241</v>
      </c>
      <c r="H2" t="s">
        <v>201</v>
      </c>
      <c r="I2" t="s">
        <v>177</v>
      </c>
      <c r="J2" t="s">
        <v>178</v>
      </c>
      <c r="K2" t="s">
        <v>250</v>
      </c>
      <c r="N2" s="5" t="s">
        <v>1164</v>
      </c>
      <c r="O2" s="5" t="s">
        <v>1165</v>
      </c>
      <c r="Q2" s="7" t="s">
        <v>914</v>
      </c>
    </row>
    <row r="3" spans="1:21" x14ac:dyDescent="0.25">
      <c r="A3" t="s">
        <v>694</v>
      </c>
      <c r="B3" t="s">
        <v>189</v>
      </c>
      <c r="C3" t="s">
        <v>188</v>
      </c>
      <c r="D3" t="s">
        <v>357</v>
      </c>
      <c r="E3" t="s">
        <v>606</v>
      </c>
      <c r="F3" t="s">
        <v>348</v>
      </c>
      <c r="G3" t="s">
        <v>352</v>
      </c>
      <c r="H3" t="s">
        <v>349</v>
      </c>
      <c r="I3" t="s">
        <v>353</v>
      </c>
      <c r="J3" t="s">
        <v>211</v>
      </c>
      <c r="K3" t="s">
        <v>187</v>
      </c>
      <c r="N3" s="5" t="s">
        <v>1041</v>
      </c>
      <c r="O3" s="5" t="s">
        <v>1042</v>
      </c>
      <c r="Q3" s="7" t="s">
        <v>938</v>
      </c>
    </row>
    <row r="4" spans="1:21" x14ac:dyDescent="0.25">
      <c r="A4" t="s">
        <v>593</v>
      </c>
      <c r="B4" t="s">
        <v>221</v>
      </c>
      <c r="C4" t="s">
        <v>403</v>
      </c>
      <c r="D4" t="s">
        <v>523</v>
      </c>
      <c r="E4" t="s">
        <v>270</v>
      </c>
      <c r="F4" t="s">
        <v>303</v>
      </c>
      <c r="G4" t="s">
        <v>304</v>
      </c>
      <c r="H4" t="s">
        <v>354</v>
      </c>
      <c r="I4" t="s">
        <v>355</v>
      </c>
      <c r="J4" t="s">
        <v>187</v>
      </c>
      <c r="K4" t="s">
        <v>62</v>
      </c>
      <c r="N4" s="5" t="s">
        <v>1017</v>
      </c>
      <c r="O4" s="5" t="s">
        <v>1018</v>
      </c>
      <c r="Q4" s="7" t="s">
        <v>941</v>
      </c>
    </row>
    <row r="5" spans="1:21" x14ac:dyDescent="0.25">
      <c r="A5" t="s">
        <v>695</v>
      </c>
      <c r="B5" t="s">
        <v>603</v>
      </c>
      <c r="C5" t="s">
        <v>424</v>
      </c>
      <c r="D5" t="s">
        <v>384</v>
      </c>
      <c r="E5" t="s">
        <v>279</v>
      </c>
      <c r="F5" t="s">
        <v>258</v>
      </c>
      <c r="G5" t="s">
        <v>238</v>
      </c>
      <c r="H5" t="s">
        <v>217</v>
      </c>
      <c r="I5" t="s">
        <v>217</v>
      </c>
      <c r="J5" t="s">
        <v>201</v>
      </c>
      <c r="K5" t="s">
        <v>242</v>
      </c>
      <c r="L5" t="s">
        <v>287</v>
      </c>
      <c r="M5" t="s">
        <v>287</v>
      </c>
      <c r="N5" s="5" t="s">
        <v>1039</v>
      </c>
      <c r="O5" s="5" t="s">
        <v>1040</v>
      </c>
      <c r="Q5" s="7" t="s">
        <v>934</v>
      </c>
      <c r="R5" t="s">
        <v>289</v>
      </c>
      <c r="S5" t="s">
        <v>289</v>
      </c>
      <c r="T5" t="s">
        <v>290</v>
      </c>
      <c r="U5" t="s">
        <v>290</v>
      </c>
    </row>
    <row r="6" spans="1:21" x14ac:dyDescent="0.25">
      <c r="A6" t="s">
        <v>640</v>
      </c>
      <c r="B6" t="s">
        <v>343</v>
      </c>
      <c r="C6" t="s">
        <v>304</v>
      </c>
      <c r="D6" t="s">
        <v>639</v>
      </c>
      <c r="E6" t="s">
        <v>254</v>
      </c>
      <c r="F6" t="s">
        <v>301</v>
      </c>
      <c r="G6" t="s">
        <v>258</v>
      </c>
      <c r="H6" t="s">
        <v>256</v>
      </c>
      <c r="I6" t="s">
        <v>242</v>
      </c>
      <c r="J6" t="s">
        <v>339</v>
      </c>
      <c r="K6" t="s">
        <v>67</v>
      </c>
      <c r="N6" s="5" t="s">
        <v>1231</v>
      </c>
      <c r="O6" s="5" t="s">
        <v>1232</v>
      </c>
      <c r="Q6" s="7" t="s">
        <v>925</v>
      </c>
    </row>
    <row r="7" spans="1:21" x14ac:dyDescent="0.25">
      <c r="A7" t="s">
        <v>646</v>
      </c>
      <c r="B7" t="s">
        <v>647</v>
      </c>
      <c r="C7" t="s">
        <v>648</v>
      </c>
      <c r="D7" t="s">
        <v>439</v>
      </c>
      <c r="E7" t="s">
        <v>440</v>
      </c>
      <c r="F7" t="s">
        <v>441</v>
      </c>
      <c r="G7" t="s">
        <v>235</v>
      </c>
      <c r="H7" t="s">
        <v>442</v>
      </c>
      <c r="I7" t="s">
        <v>443</v>
      </c>
      <c r="J7" t="s">
        <v>270</v>
      </c>
      <c r="K7" t="s">
        <v>355</v>
      </c>
      <c r="N7" s="5" t="s">
        <v>1178</v>
      </c>
      <c r="O7" s="5" t="s">
        <v>1179</v>
      </c>
      <c r="Q7" s="7" t="s">
        <v>940</v>
      </c>
    </row>
    <row r="8" spans="1:21" x14ac:dyDescent="0.25">
      <c r="A8" t="s">
        <v>696</v>
      </c>
      <c r="B8" t="s">
        <v>615</v>
      </c>
      <c r="C8" t="s">
        <v>252</v>
      </c>
      <c r="D8" t="s">
        <v>639</v>
      </c>
      <c r="E8" t="s">
        <v>344</v>
      </c>
      <c r="F8" t="s">
        <v>359</v>
      </c>
      <c r="G8" t="s">
        <v>238</v>
      </c>
      <c r="H8" t="s">
        <v>258</v>
      </c>
      <c r="I8" t="s">
        <v>256</v>
      </c>
      <c r="J8" t="s">
        <v>256</v>
      </c>
      <c r="N8" s="5" t="s">
        <v>1231</v>
      </c>
      <c r="O8" s="5" t="s">
        <v>1179</v>
      </c>
      <c r="Q8" s="7" t="s">
        <v>922</v>
      </c>
    </row>
    <row r="9" spans="1:21" x14ac:dyDescent="0.25">
      <c r="A9" t="s">
        <v>597</v>
      </c>
      <c r="B9" t="s">
        <v>550</v>
      </c>
      <c r="C9" t="s">
        <v>521</v>
      </c>
      <c r="D9" t="s">
        <v>300</v>
      </c>
      <c r="E9" t="s">
        <v>267</v>
      </c>
      <c r="F9" t="s">
        <v>268</v>
      </c>
      <c r="G9" t="s">
        <v>184</v>
      </c>
      <c r="H9" t="s">
        <v>217</v>
      </c>
      <c r="I9" t="s">
        <v>201</v>
      </c>
      <c r="J9" t="s">
        <v>242</v>
      </c>
      <c r="K9" t="s">
        <v>339</v>
      </c>
      <c r="N9" s="5" t="s">
        <v>1321</v>
      </c>
      <c r="O9" s="5" t="s">
        <v>1179</v>
      </c>
      <c r="Q9" s="7" t="s">
        <v>913</v>
      </c>
    </row>
    <row r="10" spans="1:21" x14ac:dyDescent="0.25">
      <c r="A10" t="s">
        <v>649</v>
      </c>
      <c r="B10" t="s">
        <v>402</v>
      </c>
      <c r="C10" t="s">
        <v>650</v>
      </c>
      <c r="D10" t="s">
        <v>73</v>
      </c>
      <c r="E10" t="s">
        <v>385</v>
      </c>
      <c r="F10" t="s">
        <v>359</v>
      </c>
      <c r="G10" t="s">
        <v>352</v>
      </c>
      <c r="H10" t="s">
        <v>409</v>
      </c>
      <c r="I10" t="s">
        <v>349</v>
      </c>
      <c r="J10" t="s">
        <v>353</v>
      </c>
      <c r="K10" t="s">
        <v>211</v>
      </c>
      <c r="N10" s="5" t="s">
        <v>1128</v>
      </c>
      <c r="O10" s="5" t="s">
        <v>1129</v>
      </c>
      <c r="Q10" s="7" t="s">
        <v>912</v>
      </c>
    </row>
    <row r="11" spans="1:21" x14ac:dyDescent="0.25">
      <c r="A11" t="s">
        <v>641</v>
      </c>
      <c r="B11" t="s">
        <v>642</v>
      </c>
      <c r="C11" t="s">
        <v>635</v>
      </c>
      <c r="D11" t="s">
        <v>356</v>
      </c>
      <c r="E11" t="s">
        <v>344</v>
      </c>
      <c r="F11" t="s">
        <v>268</v>
      </c>
      <c r="G11" t="s">
        <v>258</v>
      </c>
      <c r="H11" t="s">
        <v>256</v>
      </c>
      <c r="I11" t="s">
        <v>256</v>
      </c>
      <c r="J11" t="s">
        <v>353</v>
      </c>
      <c r="K11" t="s">
        <v>211</v>
      </c>
      <c r="N11" s="5" t="s">
        <v>1315</v>
      </c>
      <c r="O11" s="5" t="s">
        <v>1316</v>
      </c>
      <c r="Q11" s="7" t="s">
        <v>936</v>
      </c>
    </row>
    <row r="12" spans="1:21" x14ac:dyDescent="0.25">
      <c r="A12" t="s">
        <v>366</v>
      </c>
      <c r="B12" t="s">
        <v>367</v>
      </c>
      <c r="C12" t="s">
        <v>257</v>
      </c>
      <c r="D12" t="s">
        <v>181</v>
      </c>
      <c r="E12" t="s">
        <v>183</v>
      </c>
      <c r="F12" t="s">
        <v>184</v>
      </c>
      <c r="G12" t="s">
        <v>338</v>
      </c>
      <c r="H12" t="s">
        <v>256</v>
      </c>
      <c r="I12" t="s">
        <v>258</v>
      </c>
      <c r="J12" t="s">
        <v>256</v>
      </c>
      <c r="K12" t="s">
        <v>374</v>
      </c>
      <c r="N12" s="5" t="s">
        <v>1066</v>
      </c>
      <c r="O12" s="5" t="s">
        <v>1067</v>
      </c>
      <c r="Q12" s="7" t="s">
        <v>969</v>
      </c>
    </row>
    <row r="13" spans="1:21" x14ac:dyDescent="0.25">
      <c r="A13" t="s">
        <v>697</v>
      </c>
      <c r="B13" t="s">
        <v>604</v>
      </c>
      <c r="C13" t="s">
        <v>698</v>
      </c>
      <c r="D13" t="s">
        <v>181</v>
      </c>
      <c r="E13" t="s">
        <v>183</v>
      </c>
      <c r="F13" t="s">
        <v>184</v>
      </c>
      <c r="G13" t="s">
        <v>217</v>
      </c>
      <c r="H13" t="s">
        <v>409</v>
      </c>
      <c r="I13" t="s">
        <v>349</v>
      </c>
      <c r="J13" t="s">
        <v>353</v>
      </c>
      <c r="K13" t="s">
        <v>211</v>
      </c>
      <c r="N13" s="5" t="s">
        <v>743</v>
      </c>
      <c r="O13" s="5" t="s">
        <v>1276</v>
      </c>
      <c r="Q13" s="7" t="s">
        <v>920</v>
      </c>
    </row>
    <row r="14" spans="1:21" x14ac:dyDescent="0.25">
      <c r="A14" t="s">
        <v>411</v>
      </c>
      <c r="B14" t="s">
        <v>657</v>
      </c>
      <c r="C14" t="s">
        <v>188</v>
      </c>
      <c r="D14" t="s">
        <v>357</v>
      </c>
      <c r="E14" t="s">
        <v>606</v>
      </c>
      <c r="F14" t="s">
        <v>348</v>
      </c>
      <c r="G14" t="s">
        <v>352</v>
      </c>
      <c r="H14" t="s">
        <v>409</v>
      </c>
      <c r="I14" t="s">
        <v>349</v>
      </c>
      <c r="J14" t="s">
        <v>353</v>
      </c>
      <c r="K14" t="s">
        <v>211</v>
      </c>
      <c r="N14" s="5" t="s">
        <v>1321</v>
      </c>
      <c r="O14" s="5" t="s">
        <v>1322</v>
      </c>
      <c r="Q14" s="7" t="s">
        <v>921</v>
      </c>
    </row>
    <row r="15" spans="1:21" x14ac:dyDescent="0.25">
      <c r="A15" t="s">
        <v>699</v>
      </c>
      <c r="B15" t="s">
        <v>550</v>
      </c>
      <c r="C15" t="s">
        <v>184</v>
      </c>
      <c r="D15" t="s">
        <v>181</v>
      </c>
      <c r="E15" t="s">
        <v>183</v>
      </c>
      <c r="F15" t="s">
        <v>184</v>
      </c>
      <c r="G15" t="s">
        <v>258</v>
      </c>
      <c r="H15" t="s">
        <v>256</v>
      </c>
      <c r="I15" t="s">
        <v>349</v>
      </c>
      <c r="J15" t="s">
        <v>353</v>
      </c>
      <c r="K15" t="s">
        <v>211</v>
      </c>
      <c r="N15" s="5" t="s">
        <v>1121</v>
      </c>
      <c r="O15" s="5" t="s">
        <v>1122</v>
      </c>
      <c r="Q15" s="7" t="s">
        <v>910</v>
      </c>
    </row>
    <row r="16" spans="1:21" x14ac:dyDescent="0.25">
      <c r="A16" t="s">
        <v>405</v>
      </c>
      <c r="B16" t="s">
        <v>700</v>
      </c>
      <c r="C16" t="s">
        <v>304</v>
      </c>
      <c r="D16" t="s">
        <v>658</v>
      </c>
      <c r="E16" t="s">
        <v>343</v>
      </c>
      <c r="F16" t="s">
        <v>302</v>
      </c>
      <c r="G16" t="s">
        <v>338</v>
      </c>
      <c r="H16" t="s">
        <v>349</v>
      </c>
      <c r="I16" t="s">
        <v>353</v>
      </c>
      <c r="J16" t="s">
        <v>211</v>
      </c>
      <c r="K16" t="s">
        <v>187</v>
      </c>
      <c r="N16" s="5" t="s">
        <v>1055</v>
      </c>
      <c r="O16" s="5" t="s">
        <v>1056</v>
      </c>
      <c r="Q16" s="7" t="s">
        <v>915</v>
      </c>
    </row>
    <row r="17" spans="1:17" x14ac:dyDescent="0.25">
      <c r="A17" t="s">
        <v>652</v>
      </c>
      <c r="B17" t="s">
        <v>216</v>
      </c>
      <c r="C17" t="s">
        <v>370</v>
      </c>
      <c r="D17" t="s">
        <v>111</v>
      </c>
      <c r="E17" t="s">
        <v>67</v>
      </c>
      <c r="F17" t="s">
        <v>195</v>
      </c>
      <c r="G17" t="s">
        <v>217</v>
      </c>
      <c r="H17" t="s">
        <v>349</v>
      </c>
      <c r="I17" t="s">
        <v>353</v>
      </c>
      <c r="J17" t="s">
        <v>211</v>
      </c>
      <c r="K17" t="s">
        <v>187</v>
      </c>
      <c r="N17" s="5" t="s">
        <v>670</v>
      </c>
      <c r="O17" s="5" t="s">
        <v>1115</v>
      </c>
      <c r="Q17" s="7" t="s">
        <v>926</v>
      </c>
    </row>
    <row r="18" spans="1:17" x14ac:dyDescent="0.25">
      <c r="A18" t="s">
        <v>701</v>
      </c>
      <c r="B18" t="s">
        <v>383</v>
      </c>
      <c r="C18" t="s">
        <v>633</v>
      </c>
      <c r="D18" t="s">
        <v>73</v>
      </c>
      <c r="E18" t="s">
        <v>385</v>
      </c>
      <c r="F18" t="s">
        <v>359</v>
      </c>
      <c r="G18" t="s">
        <v>217</v>
      </c>
      <c r="H18" t="s">
        <v>349</v>
      </c>
      <c r="I18" t="s">
        <v>353</v>
      </c>
      <c r="J18" t="s">
        <v>211</v>
      </c>
      <c r="K18" t="s">
        <v>187</v>
      </c>
      <c r="N18" s="5" t="s">
        <v>765</v>
      </c>
      <c r="O18" s="5" t="s">
        <v>1072</v>
      </c>
    </row>
    <row r="19" spans="1:17" x14ac:dyDescent="0.25">
      <c r="A19" t="s">
        <v>404</v>
      </c>
      <c r="B19" t="s">
        <v>407</v>
      </c>
      <c r="C19" t="s">
        <v>659</v>
      </c>
      <c r="D19" t="s">
        <v>239</v>
      </c>
      <c r="E19" t="s">
        <v>195</v>
      </c>
      <c r="F19" t="s">
        <v>217</v>
      </c>
      <c r="G19" t="s">
        <v>238</v>
      </c>
      <c r="H19" t="s">
        <v>442</v>
      </c>
      <c r="I19" t="s">
        <v>443</v>
      </c>
      <c r="J19" t="s">
        <v>270</v>
      </c>
      <c r="K19" t="s">
        <v>355</v>
      </c>
      <c r="N19" s="5" t="s">
        <v>1013</v>
      </c>
      <c r="O19" s="5" t="s">
        <v>1014</v>
      </c>
    </row>
    <row r="20" spans="1:17" x14ac:dyDescent="0.25">
      <c r="A20" t="s">
        <v>240</v>
      </c>
      <c r="B20" t="s">
        <v>407</v>
      </c>
      <c r="C20" t="s">
        <v>659</v>
      </c>
      <c r="D20" t="s">
        <v>239</v>
      </c>
      <c r="E20" t="s">
        <v>622</v>
      </c>
      <c r="F20" t="s">
        <v>634</v>
      </c>
      <c r="G20" t="s">
        <v>623</v>
      </c>
      <c r="H20" t="s">
        <v>624</v>
      </c>
      <c r="I20" t="s">
        <v>572</v>
      </c>
      <c r="J20" t="s">
        <v>355</v>
      </c>
      <c r="K20" t="s">
        <v>350</v>
      </c>
      <c r="N20" s="5" t="s">
        <v>1219</v>
      </c>
      <c r="O20" s="5" t="s">
        <v>1220</v>
      </c>
    </row>
    <row r="21" spans="1:17" x14ac:dyDescent="0.25">
      <c r="A21" t="s">
        <v>567</v>
      </c>
      <c r="B21" t="s">
        <v>660</v>
      </c>
      <c r="C21" t="s">
        <v>381</v>
      </c>
      <c r="D21" t="s">
        <v>72</v>
      </c>
      <c r="E21" t="s">
        <v>606</v>
      </c>
      <c r="F21" t="s">
        <v>348</v>
      </c>
      <c r="G21" t="s">
        <v>352</v>
      </c>
      <c r="H21" t="s">
        <v>353</v>
      </c>
      <c r="I21" t="s">
        <v>211</v>
      </c>
      <c r="J21" t="s">
        <v>187</v>
      </c>
      <c r="K21" t="s">
        <v>62</v>
      </c>
      <c r="N21" s="5" t="s">
        <v>1089</v>
      </c>
      <c r="O21" s="5" t="s">
        <v>1090</v>
      </c>
    </row>
    <row r="22" spans="1:17" x14ac:dyDescent="0.25">
      <c r="A22" t="s">
        <v>430</v>
      </c>
      <c r="B22" t="s">
        <v>216</v>
      </c>
      <c r="C22" t="s">
        <v>370</v>
      </c>
      <c r="D22" t="s">
        <v>111</v>
      </c>
      <c r="E22" t="s">
        <v>67</v>
      </c>
      <c r="F22" t="s">
        <v>195</v>
      </c>
      <c r="G22" t="s">
        <v>217</v>
      </c>
      <c r="H22" t="s">
        <v>353</v>
      </c>
      <c r="I22" t="s">
        <v>211</v>
      </c>
      <c r="J22" t="s">
        <v>187</v>
      </c>
      <c r="K22" t="s">
        <v>62</v>
      </c>
      <c r="N22" s="5" t="s">
        <v>1384</v>
      </c>
      <c r="O22" s="5" t="s">
        <v>1385</v>
      </c>
    </row>
    <row r="23" spans="1:17" x14ac:dyDescent="0.25">
      <c r="A23" t="s">
        <v>702</v>
      </c>
      <c r="B23" t="s">
        <v>212</v>
      </c>
      <c r="C23" t="s">
        <v>178</v>
      </c>
      <c r="D23" t="s">
        <v>214</v>
      </c>
      <c r="E23" t="s">
        <v>215</v>
      </c>
      <c r="F23" t="s">
        <v>340</v>
      </c>
      <c r="G23" t="s">
        <v>338</v>
      </c>
      <c r="H23" t="s">
        <v>188</v>
      </c>
      <c r="I23" t="s">
        <v>358</v>
      </c>
      <c r="J23" t="s">
        <v>255</v>
      </c>
      <c r="K23" t="s">
        <v>350</v>
      </c>
      <c r="N23" s="5" t="s">
        <v>1274</v>
      </c>
      <c r="O23" s="5" t="s">
        <v>1275</v>
      </c>
    </row>
    <row r="24" spans="1:17" x14ac:dyDescent="0.25">
      <c r="A24" t="s">
        <v>271</v>
      </c>
      <c r="B24" t="s">
        <v>272</v>
      </c>
      <c r="C24" t="s">
        <v>273</v>
      </c>
      <c r="D24" t="s">
        <v>274</v>
      </c>
      <c r="E24" t="s">
        <v>275</v>
      </c>
      <c r="F24" t="s">
        <v>276</v>
      </c>
      <c r="G24" t="s">
        <v>238</v>
      </c>
      <c r="N24" s="5" t="s">
        <v>1205</v>
      </c>
      <c r="O24" s="5" t="s">
        <v>1206</v>
      </c>
    </row>
    <row r="25" spans="1:17" x14ac:dyDescent="0.25">
      <c r="A25" t="s">
        <v>390</v>
      </c>
      <c r="B25" t="s">
        <v>391</v>
      </c>
      <c r="C25" t="s">
        <v>400</v>
      </c>
      <c r="D25" t="s">
        <v>214</v>
      </c>
      <c r="E25" t="s">
        <v>215</v>
      </c>
      <c r="F25" t="s">
        <v>340</v>
      </c>
      <c r="G25" t="s">
        <v>418</v>
      </c>
      <c r="H25" t="s">
        <v>419</v>
      </c>
      <c r="I25" t="s">
        <v>258</v>
      </c>
      <c r="J25" t="s">
        <v>256</v>
      </c>
      <c r="K25" t="s">
        <v>350</v>
      </c>
      <c r="N25" s="5" t="s">
        <v>1053</v>
      </c>
      <c r="O25" s="5" t="s">
        <v>1054</v>
      </c>
    </row>
    <row r="26" spans="1:17" x14ac:dyDescent="0.25">
      <c r="A26" t="s">
        <v>588</v>
      </c>
      <c r="B26" t="s">
        <v>584</v>
      </c>
      <c r="C26" t="s">
        <v>703</v>
      </c>
      <c r="D26" t="s">
        <v>111</v>
      </c>
      <c r="E26" t="s">
        <v>67</v>
      </c>
      <c r="F26" t="s">
        <v>195</v>
      </c>
      <c r="G26" t="s">
        <v>217</v>
      </c>
      <c r="H26" t="s">
        <v>256</v>
      </c>
      <c r="I26" t="s">
        <v>374</v>
      </c>
      <c r="J26" t="s">
        <v>340</v>
      </c>
      <c r="K26" t="s">
        <v>375</v>
      </c>
      <c r="N26" s="5" t="s">
        <v>1332</v>
      </c>
      <c r="O26" s="5" t="s">
        <v>1333</v>
      </c>
    </row>
    <row r="27" spans="1:17" x14ac:dyDescent="0.25">
      <c r="A27" t="s">
        <v>704</v>
      </c>
      <c r="B27" t="s">
        <v>705</v>
      </c>
      <c r="C27" t="s">
        <v>614</v>
      </c>
      <c r="D27" t="s">
        <v>637</v>
      </c>
      <c r="E27" t="s">
        <v>254</v>
      </c>
      <c r="F27" t="s">
        <v>301</v>
      </c>
      <c r="G27" t="s">
        <v>258</v>
      </c>
      <c r="H27" t="s">
        <v>256</v>
      </c>
      <c r="I27" t="s">
        <v>358</v>
      </c>
      <c r="J27" t="s">
        <v>255</v>
      </c>
      <c r="K27" t="s">
        <v>350</v>
      </c>
      <c r="N27" s="5" t="s">
        <v>1136</v>
      </c>
      <c r="O27" s="5" t="s">
        <v>1137</v>
      </c>
    </row>
    <row r="28" spans="1:17" x14ac:dyDescent="0.25">
      <c r="A28" t="s">
        <v>409</v>
      </c>
      <c r="B28" t="s">
        <v>606</v>
      </c>
      <c r="C28" t="s">
        <v>348</v>
      </c>
      <c r="D28" t="s">
        <v>357</v>
      </c>
      <c r="E28" t="s">
        <v>349</v>
      </c>
      <c r="F28" t="s">
        <v>211</v>
      </c>
      <c r="G28" t="s">
        <v>187</v>
      </c>
      <c r="H28" t="s">
        <v>188</v>
      </c>
      <c r="I28" t="s">
        <v>358</v>
      </c>
      <c r="J28" t="s">
        <v>255</v>
      </c>
      <c r="K28" t="s">
        <v>350</v>
      </c>
      <c r="N28" s="5" t="s">
        <v>1047</v>
      </c>
      <c r="O28" s="5" t="s">
        <v>1048</v>
      </c>
    </row>
    <row r="29" spans="1:17" x14ac:dyDescent="0.25">
      <c r="A29" t="s">
        <v>444</v>
      </c>
      <c r="B29" t="s">
        <v>445</v>
      </c>
      <c r="C29" t="s">
        <v>257</v>
      </c>
      <c r="D29" t="s">
        <v>540</v>
      </c>
      <c r="E29" t="s">
        <v>622</v>
      </c>
      <c r="F29" t="s">
        <v>634</v>
      </c>
      <c r="G29" t="s">
        <v>623</v>
      </c>
      <c r="H29" t="s">
        <v>624</v>
      </c>
      <c r="I29" t="s">
        <v>572</v>
      </c>
      <c r="J29" t="s">
        <v>373</v>
      </c>
      <c r="K29" t="s">
        <v>374</v>
      </c>
      <c r="N29" s="5" t="s">
        <v>1373</v>
      </c>
      <c r="O29" s="5" t="s">
        <v>1374</v>
      </c>
    </row>
    <row r="30" spans="1:17" x14ac:dyDescent="0.25">
      <c r="A30" t="s">
        <v>292</v>
      </c>
      <c r="B30" t="s">
        <v>445</v>
      </c>
      <c r="C30" t="s">
        <v>187</v>
      </c>
      <c r="D30" t="s">
        <v>357</v>
      </c>
      <c r="E30" t="s">
        <v>606</v>
      </c>
      <c r="F30" t="s">
        <v>352</v>
      </c>
      <c r="G30" t="s">
        <v>211</v>
      </c>
      <c r="H30" t="s">
        <v>188</v>
      </c>
      <c r="I30" t="s">
        <v>350</v>
      </c>
      <c r="J30" t="s">
        <v>449</v>
      </c>
      <c r="K30" t="s">
        <v>189</v>
      </c>
      <c r="N30" s="5" t="s">
        <v>767</v>
      </c>
      <c r="O30" s="5" t="s">
        <v>1287</v>
      </c>
    </row>
    <row r="31" spans="1:17" x14ac:dyDescent="0.25">
      <c r="A31" t="s">
        <v>392</v>
      </c>
      <c r="B31" t="s">
        <v>381</v>
      </c>
      <c r="C31" t="s">
        <v>108</v>
      </c>
      <c r="D31" t="s">
        <v>111</v>
      </c>
      <c r="E31" t="s">
        <v>67</v>
      </c>
      <c r="F31" t="s">
        <v>195</v>
      </c>
      <c r="G31" t="s">
        <v>217</v>
      </c>
      <c r="H31" t="s">
        <v>437</v>
      </c>
      <c r="I31" t="s">
        <v>372</v>
      </c>
      <c r="J31" t="s">
        <v>373</v>
      </c>
      <c r="K31" t="s">
        <v>374</v>
      </c>
      <c r="N31" s="5" t="s">
        <v>1335</v>
      </c>
      <c r="O31" s="5" t="s">
        <v>1336</v>
      </c>
    </row>
    <row r="32" spans="1:17" x14ac:dyDescent="0.25">
      <c r="A32" t="s">
        <v>376</v>
      </c>
      <c r="B32" t="s">
        <v>377</v>
      </c>
      <c r="C32" t="s">
        <v>108</v>
      </c>
      <c r="D32" t="s">
        <v>357</v>
      </c>
      <c r="E32" t="s">
        <v>349</v>
      </c>
      <c r="F32" t="s">
        <v>211</v>
      </c>
      <c r="G32" t="s">
        <v>187</v>
      </c>
      <c r="H32" t="s">
        <v>188</v>
      </c>
      <c r="I32" t="s">
        <v>358</v>
      </c>
      <c r="J32" t="s">
        <v>255</v>
      </c>
      <c r="K32" t="s">
        <v>350</v>
      </c>
      <c r="N32" s="5" t="s">
        <v>1079</v>
      </c>
      <c r="O32" s="5" t="s">
        <v>1080</v>
      </c>
    </row>
    <row r="33" spans="1:15" x14ac:dyDescent="0.25">
      <c r="A33" t="s">
        <v>649</v>
      </c>
      <c r="B33" t="s">
        <v>402</v>
      </c>
      <c r="C33" t="s">
        <v>650</v>
      </c>
      <c r="D33" t="s">
        <v>633</v>
      </c>
      <c r="E33" t="s">
        <v>215</v>
      </c>
      <c r="F33" t="s">
        <v>340</v>
      </c>
      <c r="G33" t="s">
        <v>623</v>
      </c>
      <c r="H33" t="s">
        <v>624</v>
      </c>
      <c r="I33" t="s">
        <v>572</v>
      </c>
      <c r="J33" t="s">
        <v>178</v>
      </c>
      <c r="K33" t="s">
        <v>373</v>
      </c>
      <c r="N33" s="5" t="s">
        <v>1098</v>
      </c>
      <c r="O33" s="5" t="s">
        <v>1099</v>
      </c>
    </row>
    <row r="34" spans="1:15" x14ac:dyDescent="0.25">
      <c r="A34" t="s">
        <v>652</v>
      </c>
      <c r="B34" t="s">
        <v>402</v>
      </c>
      <c r="C34" t="s">
        <v>650</v>
      </c>
      <c r="D34" t="s">
        <v>357</v>
      </c>
      <c r="E34" t="s">
        <v>349</v>
      </c>
      <c r="F34" t="s">
        <v>211</v>
      </c>
      <c r="G34" t="s">
        <v>187</v>
      </c>
      <c r="H34" t="s">
        <v>188</v>
      </c>
      <c r="I34" t="s">
        <v>358</v>
      </c>
      <c r="J34" t="s">
        <v>255</v>
      </c>
      <c r="K34" t="s">
        <v>350</v>
      </c>
      <c r="N34" s="5" t="s">
        <v>765</v>
      </c>
      <c r="O34" s="5" t="s">
        <v>1073</v>
      </c>
    </row>
    <row r="35" spans="1:15" x14ac:dyDescent="0.25">
      <c r="A35" t="s">
        <v>269</v>
      </c>
      <c r="B35" t="s">
        <v>270</v>
      </c>
      <c r="C35" t="s">
        <v>643</v>
      </c>
      <c r="D35" t="s">
        <v>216</v>
      </c>
      <c r="E35" t="s">
        <v>241</v>
      </c>
      <c r="F35" t="s">
        <v>111</v>
      </c>
      <c r="G35" t="s">
        <v>67</v>
      </c>
      <c r="H35" t="s">
        <v>256</v>
      </c>
      <c r="I35" t="s">
        <v>358</v>
      </c>
      <c r="J35" t="s">
        <v>255</v>
      </c>
      <c r="K35" t="s">
        <v>350</v>
      </c>
      <c r="N35" s="5" t="s">
        <v>1388</v>
      </c>
      <c r="O35" s="5" t="s">
        <v>1389</v>
      </c>
    </row>
    <row r="36" spans="1:15" x14ac:dyDescent="0.25">
      <c r="A36" t="s">
        <v>277</v>
      </c>
      <c r="B36" t="s">
        <v>270</v>
      </c>
      <c r="C36" t="s">
        <v>257</v>
      </c>
      <c r="D36" t="s">
        <v>357</v>
      </c>
      <c r="E36" t="s">
        <v>211</v>
      </c>
      <c r="F36" t="s">
        <v>187</v>
      </c>
      <c r="G36" t="s">
        <v>188</v>
      </c>
      <c r="H36" t="s">
        <v>358</v>
      </c>
      <c r="I36" t="s">
        <v>255</v>
      </c>
      <c r="J36" t="s">
        <v>350</v>
      </c>
      <c r="K36" t="s">
        <v>256</v>
      </c>
      <c r="N36" s="5" t="s">
        <v>1395</v>
      </c>
      <c r="O36" s="5" t="s">
        <v>1396</v>
      </c>
    </row>
    <row r="37" spans="1:15" x14ac:dyDescent="0.25">
      <c r="A37" t="s">
        <v>277</v>
      </c>
      <c r="B37" t="s">
        <v>402</v>
      </c>
      <c r="C37" t="s">
        <v>650</v>
      </c>
      <c r="D37" t="s">
        <v>214</v>
      </c>
      <c r="E37" t="s">
        <v>215</v>
      </c>
      <c r="F37" t="s">
        <v>340</v>
      </c>
      <c r="G37" t="s">
        <v>437</v>
      </c>
      <c r="H37" t="s">
        <v>372</v>
      </c>
      <c r="I37" t="s">
        <v>373</v>
      </c>
      <c r="J37" t="s">
        <v>374</v>
      </c>
      <c r="K37" t="s">
        <v>340</v>
      </c>
      <c r="N37" s="5" t="s">
        <v>1379</v>
      </c>
      <c r="O37" s="5" t="s">
        <v>1380</v>
      </c>
    </row>
    <row r="38" spans="1:15" x14ac:dyDescent="0.25">
      <c r="A38" t="s">
        <v>661</v>
      </c>
      <c r="B38" t="s">
        <v>241</v>
      </c>
      <c r="C38" t="s">
        <v>111</v>
      </c>
      <c r="D38" t="s">
        <v>389</v>
      </c>
      <c r="E38" t="s">
        <v>262</v>
      </c>
      <c r="F38" t="s">
        <v>261</v>
      </c>
      <c r="G38" t="s">
        <v>584</v>
      </c>
      <c r="H38" t="s">
        <v>437</v>
      </c>
      <c r="I38" t="s">
        <v>372</v>
      </c>
      <c r="J38" t="s">
        <v>178</v>
      </c>
      <c r="K38" t="s">
        <v>373</v>
      </c>
      <c r="N38" s="5" t="s">
        <v>1368</v>
      </c>
      <c r="O38" s="5" t="s">
        <v>1369</v>
      </c>
    </row>
    <row r="39" spans="1:15" x14ac:dyDescent="0.25">
      <c r="A39" t="s">
        <v>652</v>
      </c>
      <c r="B39" t="s">
        <v>374</v>
      </c>
      <c r="C39" t="s">
        <v>584</v>
      </c>
      <c r="D39" t="s">
        <v>616</v>
      </c>
      <c r="E39" t="s">
        <v>373</v>
      </c>
      <c r="F39" t="s">
        <v>617</v>
      </c>
      <c r="G39" t="s">
        <v>211</v>
      </c>
      <c r="H39" t="s">
        <v>188</v>
      </c>
      <c r="I39" t="s">
        <v>350</v>
      </c>
      <c r="J39" t="s">
        <v>449</v>
      </c>
      <c r="K39" t="s">
        <v>189</v>
      </c>
      <c r="N39" s="5" t="s">
        <v>1352</v>
      </c>
      <c r="O39" s="5" t="s">
        <v>1353</v>
      </c>
    </row>
    <row r="40" spans="1:15" x14ac:dyDescent="0.25">
      <c r="A40" t="s">
        <v>269</v>
      </c>
      <c r="B40" t="s">
        <v>436</v>
      </c>
      <c r="C40" t="s">
        <v>221</v>
      </c>
      <c r="D40" t="s">
        <v>280</v>
      </c>
      <c r="E40" t="s">
        <v>262</v>
      </c>
      <c r="F40" t="s">
        <v>261</v>
      </c>
      <c r="G40" t="s">
        <v>584</v>
      </c>
      <c r="H40" t="s">
        <v>437</v>
      </c>
      <c r="I40" t="s">
        <v>372</v>
      </c>
      <c r="J40" t="s">
        <v>178</v>
      </c>
      <c r="K40" t="s">
        <v>373</v>
      </c>
      <c r="N40" s="5" t="s">
        <v>744</v>
      </c>
      <c r="O40" s="5" t="s">
        <v>1019</v>
      </c>
    </row>
    <row r="41" spans="1:15" x14ac:dyDescent="0.25">
      <c r="A41" t="s">
        <v>277</v>
      </c>
      <c r="B41" t="s">
        <v>236</v>
      </c>
      <c r="C41" t="s">
        <v>237</v>
      </c>
      <c r="D41" t="s">
        <v>238</v>
      </c>
      <c r="E41" t="s">
        <v>241</v>
      </c>
      <c r="F41" t="s">
        <v>111</v>
      </c>
      <c r="G41" t="s">
        <v>67</v>
      </c>
      <c r="N41" s="5" t="s">
        <v>1361</v>
      </c>
      <c r="O41" s="5" t="s">
        <v>1362</v>
      </c>
    </row>
    <row r="42" spans="1:15" x14ac:dyDescent="0.25">
      <c r="A42" t="s">
        <v>438</v>
      </c>
      <c r="B42" t="s">
        <v>645</v>
      </c>
      <c r="C42" t="s">
        <v>267</v>
      </c>
      <c r="D42" t="s">
        <v>263</v>
      </c>
      <c r="E42" t="s">
        <v>546</v>
      </c>
      <c r="F42" t="s">
        <v>617</v>
      </c>
      <c r="G42" t="s">
        <v>437</v>
      </c>
      <c r="H42" t="s">
        <v>372</v>
      </c>
      <c r="I42" t="s">
        <v>373</v>
      </c>
      <c r="J42" t="s">
        <v>374</v>
      </c>
      <c r="K42" t="s">
        <v>340</v>
      </c>
      <c r="N42" s="5" t="s">
        <v>744</v>
      </c>
      <c r="O42" s="5" t="s">
        <v>1020</v>
      </c>
    </row>
    <row r="43" spans="1:15" x14ac:dyDescent="0.25">
      <c r="A43" t="s">
        <v>646</v>
      </c>
      <c r="B43" t="s">
        <v>647</v>
      </c>
      <c r="C43" t="s">
        <v>648</v>
      </c>
      <c r="D43" t="s">
        <v>439</v>
      </c>
      <c r="E43" t="s">
        <v>440</v>
      </c>
      <c r="F43" t="s">
        <v>441</v>
      </c>
      <c r="G43" t="s">
        <v>235</v>
      </c>
      <c r="H43" t="s">
        <v>442</v>
      </c>
      <c r="I43" t="s">
        <v>443</v>
      </c>
      <c r="J43" t="s">
        <v>270</v>
      </c>
      <c r="K43" t="s">
        <v>355</v>
      </c>
      <c r="N43" s="5" t="s">
        <v>1045</v>
      </c>
      <c r="O43" s="5" t="s">
        <v>1046</v>
      </c>
    </row>
    <row r="44" spans="1:15" x14ac:dyDescent="0.25">
      <c r="A44" t="s">
        <v>390</v>
      </c>
      <c r="B44" t="s">
        <v>391</v>
      </c>
      <c r="C44" t="s">
        <v>257</v>
      </c>
      <c r="D44" t="s">
        <v>381</v>
      </c>
      <c r="E44" t="s">
        <v>111</v>
      </c>
      <c r="F44" t="s">
        <v>67</v>
      </c>
      <c r="G44" t="s">
        <v>584</v>
      </c>
      <c r="H44" t="s">
        <v>437</v>
      </c>
      <c r="I44" t="s">
        <v>372</v>
      </c>
      <c r="J44" t="s">
        <v>178</v>
      </c>
      <c r="K44" t="s">
        <v>373</v>
      </c>
      <c r="N44" s="5" t="s">
        <v>1102</v>
      </c>
      <c r="O44" s="5" t="s">
        <v>1046</v>
      </c>
    </row>
    <row r="45" spans="1:15" x14ac:dyDescent="0.25">
      <c r="A45" t="s">
        <v>602</v>
      </c>
      <c r="B45" t="s">
        <v>464</v>
      </c>
      <c r="C45" t="s">
        <v>267</v>
      </c>
      <c r="D45" t="s">
        <v>263</v>
      </c>
      <c r="E45" t="s">
        <v>546</v>
      </c>
      <c r="F45" t="s">
        <v>617</v>
      </c>
      <c r="G45" t="s">
        <v>178</v>
      </c>
      <c r="H45" t="s">
        <v>372</v>
      </c>
      <c r="I45" t="s">
        <v>373</v>
      </c>
      <c r="J45" t="s">
        <v>374</v>
      </c>
      <c r="K45" t="s">
        <v>340</v>
      </c>
      <c r="N45" s="5" t="s">
        <v>1319</v>
      </c>
      <c r="O45" s="5" t="s">
        <v>1320</v>
      </c>
    </row>
    <row r="46" spans="1:15" x14ac:dyDescent="0.25">
      <c r="A46" t="s">
        <v>240</v>
      </c>
      <c r="B46" t="s">
        <v>395</v>
      </c>
      <c r="C46" t="s">
        <v>396</v>
      </c>
      <c r="D46" t="s">
        <v>299</v>
      </c>
      <c r="E46" t="s">
        <v>192</v>
      </c>
      <c r="F46" t="s">
        <v>193</v>
      </c>
      <c r="G46" t="s">
        <v>194</v>
      </c>
      <c r="N46" s="5" t="s">
        <v>1116</v>
      </c>
      <c r="O46" s="5" t="s">
        <v>1117</v>
      </c>
    </row>
    <row r="47" spans="1:15" x14ac:dyDescent="0.25">
      <c r="A47" t="s">
        <v>597</v>
      </c>
      <c r="B47" t="s">
        <v>550</v>
      </c>
      <c r="C47" t="s">
        <v>521</v>
      </c>
      <c r="D47" t="s">
        <v>300</v>
      </c>
      <c r="E47" t="s">
        <v>373</v>
      </c>
      <c r="F47" t="s">
        <v>261</v>
      </c>
      <c r="G47" t="s">
        <v>584</v>
      </c>
      <c r="H47" t="s">
        <v>372</v>
      </c>
      <c r="I47" t="s">
        <v>178</v>
      </c>
      <c r="J47" t="s">
        <v>373</v>
      </c>
      <c r="K47" t="s">
        <v>374</v>
      </c>
      <c r="N47" s="5" t="s">
        <v>1158</v>
      </c>
      <c r="O47" s="5" t="s">
        <v>1159</v>
      </c>
    </row>
    <row r="48" spans="1:15" x14ac:dyDescent="0.25">
      <c r="A48" t="s">
        <v>649</v>
      </c>
      <c r="B48" t="s">
        <v>402</v>
      </c>
      <c r="C48" t="s">
        <v>650</v>
      </c>
      <c r="D48" t="s">
        <v>452</v>
      </c>
      <c r="E48" t="s">
        <v>644</v>
      </c>
      <c r="F48" t="s">
        <v>505</v>
      </c>
      <c r="G48" t="s">
        <v>540</v>
      </c>
      <c r="H48" t="s">
        <v>624</v>
      </c>
      <c r="I48" t="s">
        <v>622</v>
      </c>
      <c r="J48" t="s">
        <v>634</v>
      </c>
      <c r="N48" s="5" t="s">
        <v>765</v>
      </c>
      <c r="O48" s="5" t="s">
        <v>1074</v>
      </c>
    </row>
    <row r="49" spans="1:15" x14ac:dyDescent="0.25">
      <c r="A49" t="s">
        <v>446</v>
      </c>
      <c r="B49" t="s">
        <v>651</v>
      </c>
      <c r="C49" t="s">
        <v>221</v>
      </c>
      <c r="D49" t="s">
        <v>280</v>
      </c>
      <c r="E49" t="s">
        <v>262</v>
      </c>
      <c r="F49" t="s">
        <v>261</v>
      </c>
      <c r="G49" t="s">
        <v>584</v>
      </c>
      <c r="H49" t="s">
        <v>372</v>
      </c>
      <c r="I49" t="s">
        <v>178</v>
      </c>
      <c r="J49" t="s">
        <v>373</v>
      </c>
      <c r="K49" t="s">
        <v>374</v>
      </c>
      <c r="N49" s="5" t="s">
        <v>1108</v>
      </c>
      <c r="O49" s="5" t="s">
        <v>1109</v>
      </c>
    </row>
    <row r="50" spans="1:15" x14ac:dyDescent="0.25">
      <c r="A50" t="s">
        <v>360</v>
      </c>
      <c r="B50" t="s">
        <v>236</v>
      </c>
      <c r="C50" t="s">
        <v>237</v>
      </c>
      <c r="D50" t="s">
        <v>238</v>
      </c>
      <c r="E50" t="s">
        <v>237</v>
      </c>
      <c r="F50" t="s">
        <v>238</v>
      </c>
      <c r="G50" t="s">
        <v>418</v>
      </c>
      <c r="H50" t="s">
        <v>419</v>
      </c>
      <c r="I50" t="s">
        <v>217</v>
      </c>
      <c r="J50" t="s">
        <v>201</v>
      </c>
      <c r="K50" t="s">
        <v>242</v>
      </c>
      <c r="N50" s="5" t="s">
        <v>745</v>
      </c>
      <c r="O50" s="5" t="s">
        <v>1266</v>
      </c>
    </row>
    <row r="51" spans="1:15" x14ac:dyDescent="0.25">
      <c r="A51" t="s">
        <v>380</v>
      </c>
      <c r="B51" t="s">
        <v>381</v>
      </c>
      <c r="C51" t="s">
        <v>72</v>
      </c>
      <c r="D51" t="s">
        <v>381</v>
      </c>
      <c r="E51" t="s">
        <v>275</v>
      </c>
      <c r="F51" t="s">
        <v>276</v>
      </c>
      <c r="G51" t="s">
        <v>194</v>
      </c>
      <c r="H51" t="s">
        <v>372</v>
      </c>
      <c r="I51" t="s">
        <v>373</v>
      </c>
      <c r="J51" t="s">
        <v>374</v>
      </c>
      <c r="K51" t="s">
        <v>340</v>
      </c>
      <c r="N51" s="5" t="s">
        <v>1011</v>
      </c>
      <c r="O51" s="5" t="s">
        <v>1012</v>
      </c>
    </row>
    <row r="52" spans="1:15" x14ac:dyDescent="0.25">
      <c r="A52" t="s">
        <v>404</v>
      </c>
      <c r="B52" t="s">
        <v>647</v>
      </c>
      <c r="C52" t="s">
        <v>648</v>
      </c>
      <c r="D52" t="s">
        <v>439</v>
      </c>
      <c r="E52" t="s">
        <v>440</v>
      </c>
      <c r="F52" t="s">
        <v>441</v>
      </c>
      <c r="G52" t="s">
        <v>235</v>
      </c>
      <c r="H52" t="s">
        <v>442</v>
      </c>
      <c r="I52" t="s">
        <v>443</v>
      </c>
      <c r="J52" t="s">
        <v>270</v>
      </c>
      <c r="K52" t="s">
        <v>355</v>
      </c>
      <c r="N52" s="5" t="s">
        <v>1368</v>
      </c>
      <c r="O52" s="5" t="s">
        <v>1222</v>
      </c>
    </row>
    <row r="53" spans="1:15" x14ac:dyDescent="0.25">
      <c r="A53" t="s">
        <v>652</v>
      </c>
      <c r="B53" t="s">
        <v>343</v>
      </c>
      <c r="C53" t="s">
        <v>237</v>
      </c>
      <c r="D53" t="s">
        <v>238</v>
      </c>
      <c r="E53" t="s">
        <v>237</v>
      </c>
      <c r="F53" t="s">
        <v>238</v>
      </c>
      <c r="G53" t="s">
        <v>418</v>
      </c>
      <c r="H53" t="s">
        <v>419</v>
      </c>
      <c r="I53" t="s">
        <v>270</v>
      </c>
      <c r="J53" t="s">
        <v>355</v>
      </c>
      <c r="N53" s="5" t="s">
        <v>1093</v>
      </c>
      <c r="O53" s="5" t="s">
        <v>1094</v>
      </c>
    </row>
    <row r="54" spans="1:15" x14ac:dyDescent="0.25">
      <c r="A54" t="s">
        <v>605</v>
      </c>
      <c r="B54" t="s">
        <v>391</v>
      </c>
      <c r="C54" t="s">
        <v>273</v>
      </c>
      <c r="D54" t="s">
        <v>274</v>
      </c>
      <c r="E54" t="s">
        <v>275</v>
      </c>
      <c r="F54" t="s">
        <v>276</v>
      </c>
      <c r="G54" t="s">
        <v>584</v>
      </c>
      <c r="H54" t="s">
        <v>372</v>
      </c>
      <c r="I54" t="s">
        <v>178</v>
      </c>
      <c r="J54" t="s">
        <v>373</v>
      </c>
      <c r="K54" t="s">
        <v>374</v>
      </c>
      <c r="N54" s="5" t="s">
        <v>1055</v>
      </c>
      <c r="O54" s="5" t="s">
        <v>1057</v>
      </c>
    </row>
    <row r="55" spans="1:15" x14ac:dyDescent="0.25">
      <c r="A55" t="s">
        <v>271</v>
      </c>
      <c r="B55" t="s">
        <v>272</v>
      </c>
      <c r="C55" t="s">
        <v>273</v>
      </c>
      <c r="D55" t="s">
        <v>274</v>
      </c>
      <c r="E55" t="s">
        <v>275</v>
      </c>
      <c r="F55" t="s">
        <v>276</v>
      </c>
      <c r="G55" t="s">
        <v>194</v>
      </c>
      <c r="H55" t="s">
        <v>443</v>
      </c>
      <c r="I55" t="s">
        <v>270</v>
      </c>
      <c r="J55" t="s">
        <v>355</v>
      </c>
      <c r="K55" t="s">
        <v>242</v>
      </c>
      <c r="N55" s="5" t="s">
        <v>1370</v>
      </c>
      <c r="O55" s="5" t="s">
        <v>1371</v>
      </c>
    </row>
    <row r="56" spans="1:15" x14ac:dyDescent="0.25">
      <c r="A56" t="s">
        <v>610</v>
      </c>
      <c r="B56" t="s">
        <v>611</v>
      </c>
      <c r="C56" t="s">
        <v>267</v>
      </c>
      <c r="D56" t="s">
        <v>263</v>
      </c>
      <c r="E56" t="s">
        <v>546</v>
      </c>
      <c r="F56" t="s">
        <v>617</v>
      </c>
      <c r="G56" t="s">
        <v>418</v>
      </c>
      <c r="H56" t="s">
        <v>419</v>
      </c>
      <c r="N56" s="5" t="s">
        <v>1397</v>
      </c>
      <c r="O56" s="5" t="s">
        <v>1398</v>
      </c>
    </row>
    <row r="57" spans="1:15" x14ac:dyDescent="0.25">
      <c r="A57" t="s">
        <v>653</v>
      </c>
      <c r="B57" t="s">
        <v>607</v>
      </c>
      <c r="C57" t="s">
        <v>378</v>
      </c>
      <c r="D57" t="s">
        <v>279</v>
      </c>
      <c r="E57" t="s">
        <v>280</v>
      </c>
      <c r="F57" t="s">
        <v>178</v>
      </c>
      <c r="G57" t="s">
        <v>418</v>
      </c>
      <c r="H57" t="s">
        <v>419</v>
      </c>
      <c r="I57" t="s">
        <v>374</v>
      </c>
      <c r="J57" t="s">
        <v>340</v>
      </c>
      <c r="K57" t="s">
        <v>375</v>
      </c>
      <c r="N57" s="5" t="s">
        <v>745</v>
      </c>
      <c r="O57" s="5" t="s">
        <v>1267</v>
      </c>
    </row>
    <row r="58" spans="1:15" x14ac:dyDescent="0.25">
      <c r="A58" t="s">
        <v>636</v>
      </c>
      <c r="B58" t="s">
        <v>379</v>
      </c>
      <c r="C58" t="s">
        <v>521</v>
      </c>
      <c r="D58" t="s">
        <v>300</v>
      </c>
      <c r="E58" t="s">
        <v>222</v>
      </c>
      <c r="F58" t="s">
        <v>223</v>
      </c>
      <c r="G58" t="s">
        <v>584</v>
      </c>
      <c r="H58" t="s">
        <v>437</v>
      </c>
      <c r="I58" t="s">
        <v>372</v>
      </c>
      <c r="J58" t="s">
        <v>373</v>
      </c>
      <c r="K58" t="s">
        <v>374</v>
      </c>
      <c r="N58" s="5" t="s">
        <v>1158</v>
      </c>
      <c r="O58" s="5" t="s">
        <v>1160</v>
      </c>
    </row>
    <row r="59" spans="1:15" x14ac:dyDescent="0.25">
      <c r="A59" t="s">
        <v>282</v>
      </c>
      <c r="B59" t="s">
        <v>267</v>
      </c>
      <c r="C59" t="s">
        <v>243</v>
      </c>
      <c r="D59" t="s">
        <v>283</v>
      </c>
      <c r="E59" t="s">
        <v>244</v>
      </c>
      <c r="F59" t="s">
        <v>359</v>
      </c>
      <c r="N59" s="5" t="s">
        <v>1221</v>
      </c>
      <c r="O59" s="5" t="s">
        <v>1405</v>
      </c>
    </row>
    <row r="60" spans="1:15" x14ac:dyDescent="0.25">
      <c r="A60" t="s">
        <v>654</v>
      </c>
      <c r="B60" t="s">
        <v>638</v>
      </c>
      <c r="C60" t="s">
        <v>616</v>
      </c>
      <c r="D60" t="s">
        <v>655</v>
      </c>
      <c r="E60" t="s">
        <v>237</v>
      </c>
      <c r="F60" t="s">
        <v>238</v>
      </c>
      <c r="G60" t="s">
        <v>418</v>
      </c>
      <c r="H60" t="s">
        <v>419</v>
      </c>
      <c r="N60" s="5" t="s">
        <v>1339</v>
      </c>
      <c r="O60" s="5" t="s">
        <v>1407</v>
      </c>
    </row>
    <row r="61" spans="1:15" x14ac:dyDescent="0.25">
      <c r="A61" t="s">
        <v>345</v>
      </c>
      <c r="B61" t="s">
        <v>346</v>
      </c>
      <c r="C61" t="s">
        <v>365</v>
      </c>
      <c r="D61" t="s">
        <v>274</v>
      </c>
      <c r="E61" t="s">
        <v>275</v>
      </c>
      <c r="F61" t="s">
        <v>276</v>
      </c>
      <c r="G61" t="s">
        <v>305</v>
      </c>
      <c r="N61" s="5" t="s">
        <v>1197</v>
      </c>
      <c r="O61" s="5" t="s">
        <v>1198</v>
      </c>
    </row>
    <row r="62" spans="1:15" x14ac:dyDescent="0.25">
      <c r="A62" t="s">
        <v>398</v>
      </c>
      <c r="B62" t="s">
        <v>415</v>
      </c>
      <c r="C62" t="s">
        <v>416</v>
      </c>
      <c r="D62" t="s">
        <v>417</v>
      </c>
      <c r="E62" t="s">
        <v>237</v>
      </c>
      <c r="F62" t="s">
        <v>238</v>
      </c>
      <c r="G62" t="s">
        <v>418</v>
      </c>
      <c r="H62" t="s">
        <v>419</v>
      </c>
      <c r="I62" t="s">
        <v>449</v>
      </c>
      <c r="J62" t="s">
        <v>189</v>
      </c>
      <c r="N62" s="5" t="s">
        <v>1123</v>
      </c>
      <c r="O62" s="5" t="s">
        <v>1124</v>
      </c>
    </row>
    <row r="63" spans="1:15" x14ac:dyDescent="0.25">
      <c r="A63" t="s">
        <v>404</v>
      </c>
      <c r="B63" t="s">
        <v>236</v>
      </c>
      <c r="C63" t="s">
        <v>237</v>
      </c>
      <c r="D63" t="s">
        <v>238</v>
      </c>
      <c r="E63" t="s">
        <v>624</v>
      </c>
      <c r="F63" t="s">
        <v>261</v>
      </c>
      <c r="G63" t="s">
        <v>584</v>
      </c>
      <c r="H63" t="s">
        <v>437</v>
      </c>
      <c r="I63" t="s">
        <v>372</v>
      </c>
      <c r="J63" t="s">
        <v>373</v>
      </c>
      <c r="K63" t="s">
        <v>374</v>
      </c>
      <c r="N63" s="5" t="s">
        <v>767</v>
      </c>
      <c r="O63" s="5" t="s">
        <v>1406</v>
      </c>
    </row>
    <row r="64" spans="1:15" x14ac:dyDescent="0.25">
      <c r="A64" t="s">
        <v>652</v>
      </c>
      <c r="B64" t="s">
        <v>212</v>
      </c>
      <c r="C64" t="s">
        <v>340</v>
      </c>
      <c r="D64" t="s">
        <v>279</v>
      </c>
      <c r="E64" t="s">
        <v>280</v>
      </c>
      <c r="F64" t="s">
        <v>178</v>
      </c>
      <c r="G64" t="s">
        <v>305</v>
      </c>
      <c r="N64" s="5" t="s">
        <v>1130</v>
      </c>
      <c r="O64" s="5" t="s">
        <v>1404</v>
      </c>
    </row>
    <row r="65" spans="1:15" x14ac:dyDescent="0.25">
      <c r="A65" t="s">
        <v>605</v>
      </c>
      <c r="B65" t="s">
        <v>253</v>
      </c>
      <c r="C65" t="s">
        <v>617</v>
      </c>
      <c r="D65" t="s">
        <v>612</v>
      </c>
      <c r="E65" t="s">
        <v>222</v>
      </c>
      <c r="F65" t="s">
        <v>223</v>
      </c>
      <c r="G65" t="s">
        <v>194</v>
      </c>
      <c r="N65" s="5" t="s">
        <v>1231</v>
      </c>
      <c r="O65" s="5" t="s">
        <v>1233</v>
      </c>
    </row>
    <row r="66" spans="1:15" x14ac:dyDescent="0.25">
      <c r="A66" t="s">
        <v>271</v>
      </c>
      <c r="B66" t="s">
        <v>272</v>
      </c>
      <c r="C66" t="s">
        <v>273</v>
      </c>
      <c r="D66" t="s">
        <v>274</v>
      </c>
      <c r="E66" t="s">
        <v>275</v>
      </c>
      <c r="F66" t="s">
        <v>276</v>
      </c>
      <c r="G66" t="s">
        <v>189</v>
      </c>
      <c r="H66" t="s">
        <v>348</v>
      </c>
      <c r="I66" t="s">
        <v>352</v>
      </c>
      <c r="J66" t="s">
        <v>349</v>
      </c>
      <c r="N66" s="5" t="s">
        <v>1231</v>
      </c>
      <c r="O66" s="5" t="s">
        <v>1234</v>
      </c>
    </row>
    <row r="67" spans="1:15" x14ac:dyDescent="0.25">
      <c r="A67" t="s">
        <v>610</v>
      </c>
      <c r="B67" t="s">
        <v>611</v>
      </c>
      <c r="C67" t="s">
        <v>416</v>
      </c>
      <c r="D67" t="s">
        <v>417</v>
      </c>
      <c r="E67" t="s">
        <v>237</v>
      </c>
      <c r="F67" t="s">
        <v>238</v>
      </c>
      <c r="G67" t="s">
        <v>418</v>
      </c>
      <c r="H67" t="s">
        <v>419</v>
      </c>
      <c r="N67" s="5" t="s">
        <v>1344</v>
      </c>
      <c r="O67" s="5" t="s">
        <v>1345</v>
      </c>
    </row>
    <row r="68" spans="1:15" x14ac:dyDescent="0.25">
      <c r="A68" t="s">
        <v>278</v>
      </c>
      <c r="B68" t="s">
        <v>212</v>
      </c>
      <c r="C68" t="s">
        <v>340</v>
      </c>
      <c r="D68" t="s">
        <v>279</v>
      </c>
      <c r="E68" t="s">
        <v>280</v>
      </c>
      <c r="F68" t="s">
        <v>178</v>
      </c>
      <c r="G68" t="s">
        <v>194</v>
      </c>
      <c r="N68" s="5" t="s">
        <v>1296</v>
      </c>
      <c r="O68" s="5" t="s">
        <v>1297</v>
      </c>
    </row>
    <row r="69" spans="1:15" x14ac:dyDescent="0.25">
      <c r="A69" t="s">
        <v>653</v>
      </c>
      <c r="B69" t="s">
        <v>607</v>
      </c>
      <c r="C69" t="s">
        <v>72</v>
      </c>
      <c r="D69" t="s">
        <v>389</v>
      </c>
      <c r="E69" t="s">
        <v>275</v>
      </c>
      <c r="F69" t="s">
        <v>276</v>
      </c>
      <c r="N69" s="5" t="s">
        <v>1143</v>
      </c>
      <c r="O69" s="5" t="s">
        <v>1144</v>
      </c>
    </row>
    <row r="70" spans="1:15" x14ac:dyDescent="0.25">
      <c r="A70" t="s">
        <v>636</v>
      </c>
      <c r="B70" t="s">
        <v>379</v>
      </c>
      <c r="C70" t="s">
        <v>351</v>
      </c>
      <c r="D70" t="s">
        <v>300</v>
      </c>
      <c r="E70" t="s">
        <v>70</v>
      </c>
      <c r="F70" t="s">
        <v>191</v>
      </c>
      <c r="G70" t="s">
        <v>180</v>
      </c>
      <c r="N70" s="5" t="s">
        <v>1239</v>
      </c>
      <c r="O70" s="5" t="s">
        <v>1240</v>
      </c>
    </row>
    <row r="71" spans="1:15" x14ac:dyDescent="0.25">
      <c r="A71" t="s">
        <v>281</v>
      </c>
      <c r="B71" t="s">
        <v>253</v>
      </c>
      <c r="C71" t="s">
        <v>617</v>
      </c>
      <c r="D71" t="s">
        <v>612</v>
      </c>
      <c r="E71" t="s">
        <v>222</v>
      </c>
      <c r="F71" t="s">
        <v>223</v>
      </c>
      <c r="G71" t="s">
        <v>305</v>
      </c>
      <c r="N71" s="5" t="s">
        <v>1227</v>
      </c>
      <c r="O71" s="5" t="s">
        <v>1228</v>
      </c>
    </row>
    <row r="72" spans="1:15" x14ac:dyDescent="0.25">
      <c r="A72" t="s">
        <v>282</v>
      </c>
      <c r="B72" t="s">
        <v>267</v>
      </c>
      <c r="C72" t="s">
        <v>243</v>
      </c>
      <c r="D72" t="s">
        <v>283</v>
      </c>
      <c r="E72" t="s">
        <v>244</v>
      </c>
      <c r="F72" t="s">
        <v>180</v>
      </c>
      <c r="N72" s="5" t="s">
        <v>1151</v>
      </c>
      <c r="O72" s="5" t="s">
        <v>1152</v>
      </c>
    </row>
    <row r="73" spans="1:15" x14ac:dyDescent="0.25">
      <c r="A73" t="s">
        <v>654</v>
      </c>
      <c r="B73" t="s">
        <v>638</v>
      </c>
      <c r="C73" t="s">
        <v>616</v>
      </c>
      <c r="D73" t="s">
        <v>655</v>
      </c>
      <c r="E73" t="s">
        <v>275</v>
      </c>
      <c r="F73" t="s">
        <v>276</v>
      </c>
      <c r="G73" t="s">
        <v>221</v>
      </c>
      <c r="N73" s="5" t="s">
        <v>1151</v>
      </c>
      <c r="O73" s="5" t="s">
        <v>1153</v>
      </c>
    </row>
    <row r="74" spans="1:15" x14ac:dyDescent="0.25">
      <c r="A74" t="s">
        <v>345</v>
      </c>
      <c r="B74" t="s">
        <v>346</v>
      </c>
      <c r="C74" t="s">
        <v>365</v>
      </c>
      <c r="D74" t="s">
        <v>274</v>
      </c>
      <c r="E74" t="s">
        <v>275</v>
      </c>
      <c r="F74" t="s">
        <v>276</v>
      </c>
      <c r="G74" t="s">
        <v>221</v>
      </c>
      <c r="N74" s="5" t="s">
        <v>1361</v>
      </c>
      <c r="O74" s="5" t="s">
        <v>1363</v>
      </c>
    </row>
    <row r="75" spans="1:15" x14ac:dyDescent="0.25">
      <c r="A75" t="s">
        <v>398</v>
      </c>
      <c r="B75" t="s">
        <v>415</v>
      </c>
      <c r="C75" t="s">
        <v>416</v>
      </c>
      <c r="D75" t="s">
        <v>417</v>
      </c>
      <c r="E75" t="s">
        <v>237</v>
      </c>
      <c r="F75" t="s">
        <v>238</v>
      </c>
      <c r="G75" t="s">
        <v>418</v>
      </c>
      <c r="H75" t="s">
        <v>419</v>
      </c>
      <c r="N75" s="5" t="s">
        <v>1231</v>
      </c>
      <c r="O75" s="5" t="s">
        <v>1235</v>
      </c>
    </row>
    <row r="76" spans="1:15" x14ac:dyDescent="0.25">
      <c r="A76" t="s">
        <v>382</v>
      </c>
      <c r="B76" t="s">
        <v>383</v>
      </c>
      <c r="C76" t="s">
        <v>179</v>
      </c>
      <c r="D76" t="s">
        <v>111</v>
      </c>
      <c r="E76" t="s">
        <v>389</v>
      </c>
      <c r="F76" t="s">
        <v>276</v>
      </c>
      <c r="G76" t="s">
        <v>268</v>
      </c>
      <c r="N76" s="5" t="s">
        <v>1239</v>
      </c>
      <c r="O76" s="5" t="s">
        <v>1241</v>
      </c>
    </row>
    <row r="77" spans="1:15" x14ac:dyDescent="0.25">
      <c r="A77" t="s">
        <v>560</v>
      </c>
      <c r="B77" t="s">
        <v>475</v>
      </c>
      <c r="C77" t="s">
        <v>521</v>
      </c>
      <c r="D77" t="s">
        <v>300</v>
      </c>
      <c r="E77" t="s">
        <v>362</v>
      </c>
      <c r="F77" t="s">
        <v>267</v>
      </c>
      <c r="G77" t="s">
        <v>268</v>
      </c>
      <c r="N77" s="5" t="s">
        <v>1296</v>
      </c>
      <c r="O77" s="5" t="s">
        <v>1298</v>
      </c>
    </row>
    <row r="78" spans="1:15" x14ac:dyDescent="0.25">
      <c r="A78" t="s">
        <v>548</v>
      </c>
      <c r="B78" t="s">
        <v>518</v>
      </c>
      <c r="C78" t="s">
        <v>625</v>
      </c>
      <c r="D78" t="s">
        <v>626</v>
      </c>
      <c r="E78" t="s">
        <v>514</v>
      </c>
      <c r="F78" t="s">
        <v>67</v>
      </c>
      <c r="N78" s="5" t="s">
        <v>1168</v>
      </c>
      <c r="O78" s="5" t="s">
        <v>1169</v>
      </c>
    </row>
    <row r="79" spans="1:15" x14ac:dyDescent="0.25">
      <c r="A79" t="s">
        <v>399</v>
      </c>
      <c r="B79" t="s">
        <v>181</v>
      </c>
      <c r="C79" t="s">
        <v>400</v>
      </c>
      <c r="D79" t="s">
        <v>274</v>
      </c>
      <c r="E79" t="s">
        <v>275</v>
      </c>
      <c r="F79" t="s">
        <v>276</v>
      </c>
      <c r="N79" s="5" t="s">
        <v>1311</v>
      </c>
      <c r="O79" s="5" t="s">
        <v>1312</v>
      </c>
    </row>
    <row r="80" spans="1:15" x14ac:dyDescent="0.25">
      <c r="A80" t="s">
        <v>582</v>
      </c>
      <c r="B80" t="s">
        <v>395</v>
      </c>
      <c r="C80" t="s">
        <v>396</v>
      </c>
      <c r="D80" t="s">
        <v>299</v>
      </c>
      <c r="E80" t="s">
        <v>192</v>
      </c>
      <c r="F80" t="s">
        <v>193</v>
      </c>
      <c r="G80" t="s">
        <v>194</v>
      </c>
      <c r="N80" s="5" t="s">
        <v>1305</v>
      </c>
      <c r="O80" s="5" t="s">
        <v>1306</v>
      </c>
    </row>
    <row r="81" spans="1:15" x14ac:dyDescent="0.25">
      <c r="A81" t="s">
        <v>401</v>
      </c>
      <c r="B81" t="s">
        <v>238</v>
      </c>
      <c r="C81" t="s">
        <v>396</v>
      </c>
      <c r="D81" t="s">
        <v>299</v>
      </c>
      <c r="E81" t="s">
        <v>192</v>
      </c>
      <c r="F81" t="s">
        <v>193</v>
      </c>
      <c r="G81" t="s">
        <v>194</v>
      </c>
      <c r="N81" s="5" t="s">
        <v>765</v>
      </c>
      <c r="O81" s="5" t="s">
        <v>1075</v>
      </c>
    </row>
    <row r="82" spans="1:15" x14ac:dyDescent="0.25">
      <c r="A82" t="s">
        <v>592</v>
      </c>
      <c r="B82" t="s">
        <v>545</v>
      </c>
      <c r="C82" t="s">
        <v>243</v>
      </c>
      <c r="D82" t="s">
        <v>283</v>
      </c>
      <c r="E82" t="s">
        <v>244</v>
      </c>
      <c r="N82" s="5" t="s">
        <v>1328</v>
      </c>
      <c r="O82" s="5" t="s">
        <v>1329</v>
      </c>
    </row>
    <row r="83" spans="1:15" x14ac:dyDescent="0.25">
      <c r="A83" t="s">
        <v>547</v>
      </c>
      <c r="B83" t="s">
        <v>607</v>
      </c>
      <c r="C83" t="s">
        <v>378</v>
      </c>
      <c r="D83" t="s">
        <v>347</v>
      </c>
      <c r="E83" t="s">
        <v>70</v>
      </c>
      <c r="F83" t="s">
        <v>267</v>
      </c>
      <c r="G83" t="s">
        <v>268</v>
      </c>
      <c r="N83" s="5" t="s">
        <v>1270</v>
      </c>
      <c r="O83" s="5" t="s">
        <v>1271</v>
      </c>
    </row>
    <row r="84" spans="1:15" x14ac:dyDescent="0.25">
      <c r="A84" t="s">
        <v>411</v>
      </c>
      <c r="B84" t="s">
        <v>299</v>
      </c>
      <c r="C84" t="s">
        <v>192</v>
      </c>
      <c r="D84" t="s">
        <v>361</v>
      </c>
      <c r="E84" t="s">
        <v>362</v>
      </c>
      <c r="F84" t="s">
        <v>186</v>
      </c>
      <c r="G84" t="s">
        <v>221</v>
      </c>
      <c r="N84" s="5" t="s">
        <v>1145</v>
      </c>
      <c r="O84" s="5" t="s">
        <v>1146</v>
      </c>
    </row>
    <row r="85" spans="1:15" x14ac:dyDescent="0.25">
      <c r="A85" t="s">
        <v>530</v>
      </c>
      <c r="B85" t="s">
        <v>436</v>
      </c>
      <c r="C85" t="s">
        <v>543</v>
      </c>
      <c r="D85" t="s">
        <v>603</v>
      </c>
      <c r="E85" t="s">
        <v>70</v>
      </c>
      <c r="N85" s="5" t="s">
        <v>1166</v>
      </c>
      <c r="O85" s="5" t="s">
        <v>1167</v>
      </c>
    </row>
    <row r="86" spans="1:15" x14ac:dyDescent="0.25">
      <c r="A86" t="s">
        <v>609</v>
      </c>
      <c r="B86" t="s">
        <v>346</v>
      </c>
      <c r="C86" t="s">
        <v>365</v>
      </c>
      <c r="D86" t="s">
        <v>347</v>
      </c>
      <c r="E86" t="s">
        <v>70</v>
      </c>
      <c r="F86" t="s">
        <v>276</v>
      </c>
      <c r="G86" t="s">
        <v>268</v>
      </c>
      <c r="N86" s="5" t="s">
        <v>1199</v>
      </c>
      <c r="O86" s="5" t="s">
        <v>1044</v>
      </c>
    </row>
    <row r="87" spans="1:15" x14ac:dyDescent="0.25">
      <c r="A87" t="s">
        <v>481</v>
      </c>
      <c r="B87" t="s">
        <v>346</v>
      </c>
      <c r="C87" t="s">
        <v>365</v>
      </c>
      <c r="D87" t="s">
        <v>244</v>
      </c>
      <c r="N87" s="5" t="s">
        <v>743</v>
      </c>
      <c r="O87" s="5" t="s">
        <v>1044</v>
      </c>
    </row>
    <row r="88" spans="1:15" x14ac:dyDescent="0.25">
      <c r="A88" t="s">
        <v>527</v>
      </c>
      <c r="B88" t="s">
        <v>252</v>
      </c>
      <c r="N88" s="5" t="s">
        <v>1394</v>
      </c>
      <c r="O88" s="5" t="s">
        <v>1044</v>
      </c>
    </row>
    <row r="89" spans="1:15" x14ac:dyDescent="0.25">
      <c r="A89" t="s">
        <v>594</v>
      </c>
      <c r="B89" t="s">
        <v>367</v>
      </c>
      <c r="C89" t="s">
        <v>279</v>
      </c>
      <c r="D89" t="s">
        <v>280</v>
      </c>
      <c r="E89" t="s">
        <v>178</v>
      </c>
      <c r="N89" s="5" t="s">
        <v>1043</v>
      </c>
      <c r="O89" s="5" t="s">
        <v>1044</v>
      </c>
    </row>
    <row r="90" spans="1:15" x14ac:dyDescent="0.25">
      <c r="A90" t="s">
        <v>453</v>
      </c>
      <c r="B90" t="s">
        <v>299</v>
      </c>
      <c r="C90" t="s">
        <v>361</v>
      </c>
      <c r="D90" t="s">
        <v>362</v>
      </c>
      <c r="E90" t="s">
        <v>275</v>
      </c>
      <c r="F90" t="s">
        <v>276</v>
      </c>
      <c r="N90" s="5" t="s">
        <v>764</v>
      </c>
      <c r="O90" s="5" t="s">
        <v>1172</v>
      </c>
    </row>
    <row r="91" spans="1:15" x14ac:dyDescent="0.25">
      <c r="A91" t="s">
        <v>349</v>
      </c>
      <c r="B91" t="s">
        <v>357</v>
      </c>
      <c r="C91" t="s">
        <v>606</v>
      </c>
      <c r="D91" t="s">
        <v>352</v>
      </c>
      <c r="E91" t="s">
        <v>211</v>
      </c>
      <c r="F91" t="s">
        <v>188</v>
      </c>
      <c r="G91" t="s">
        <v>350</v>
      </c>
      <c r="H91" t="s">
        <v>189</v>
      </c>
      <c r="N91" s="5" t="s">
        <v>1255</v>
      </c>
      <c r="O91" s="5" t="s">
        <v>1256</v>
      </c>
    </row>
    <row r="92" spans="1:15" x14ac:dyDescent="0.25">
      <c r="A92" t="s">
        <v>213</v>
      </c>
      <c r="B92" t="s">
        <v>436</v>
      </c>
      <c r="C92" t="s">
        <v>262</v>
      </c>
      <c r="D92" t="s">
        <v>261</v>
      </c>
      <c r="E92" t="s">
        <v>372</v>
      </c>
      <c r="F92" t="s">
        <v>373</v>
      </c>
      <c r="G92" t="s">
        <v>374</v>
      </c>
      <c r="H92" t="s">
        <v>340</v>
      </c>
      <c r="N92" s="5" t="s">
        <v>1158</v>
      </c>
      <c r="O92" s="5" t="s">
        <v>1161</v>
      </c>
    </row>
    <row r="93" spans="1:15" x14ac:dyDescent="0.25">
      <c r="A93" t="s">
        <v>575</v>
      </c>
      <c r="B93" t="s">
        <v>619</v>
      </c>
      <c r="C93" t="s">
        <v>283</v>
      </c>
      <c r="D93" t="s">
        <v>244</v>
      </c>
      <c r="E93" t="s">
        <v>178</v>
      </c>
      <c r="N93" s="5" t="s">
        <v>1390</v>
      </c>
      <c r="O93" s="5" t="s">
        <v>1391</v>
      </c>
    </row>
    <row r="94" spans="1:15" x14ac:dyDescent="0.25">
      <c r="A94" t="s">
        <v>461</v>
      </c>
      <c r="B94" t="s">
        <v>218</v>
      </c>
      <c r="C94" t="s">
        <v>219</v>
      </c>
      <c r="D94" t="s">
        <v>220</v>
      </c>
      <c r="N94" s="5" t="s">
        <v>765</v>
      </c>
      <c r="O94" s="5" t="s">
        <v>1076</v>
      </c>
    </row>
    <row r="95" spans="1:15" x14ac:dyDescent="0.25">
      <c r="A95" t="s">
        <v>438</v>
      </c>
      <c r="N95" s="5" t="s">
        <v>1176</v>
      </c>
      <c r="O95" s="5" t="s">
        <v>1076</v>
      </c>
    </row>
    <row r="96" spans="1:15" x14ac:dyDescent="0.25">
      <c r="A96" t="s">
        <v>243</v>
      </c>
      <c r="B96" t="s">
        <v>253</v>
      </c>
      <c r="C96" t="s">
        <v>222</v>
      </c>
      <c r="D96" t="s">
        <v>223</v>
      </c>
      <c r="N96" s="5" t="s">
        <v>1211</v>
      </c>
      <c r="O96" s="5" t="s">
        <v>1076</v>
      </c>
    </row>
    <row r="97" spans="1:15" x14ac:dyDescent="0.25">
      <c r="A97" t="s">
        <v>390</v>
      </c>
      <c r="B97" t="s">
        <v>391</v>
      </c>
      <c r="C97" t="s">
        <v>283</v>
      </c>
      <c r="D97" t="s">
        <v>244</v>
      </c>
      <c r="N97" s="5" t="s">
        <v>1013</v>
      </c>
      <c r="O97" s="5" t="s">
        <v>764</v>
      </c>
    </row>
    <row r="98" spans="1:15" x14ac:dyDescent="0.25">
      <c r="A98" t="s">
        <v>444</v>
      </c>
      <c r="B98" t="s">
        <v>445</v>
      </c>
      <c r="C98" t="s">
        <v>297</v>
      </c>
      <c r="N98" s="5" t="s">
        <v>765</v>
      </c>
      <c r="O98" s="5" t="s">
        <v>764</v>
      </c>
    </row>
    <row r="99" spans="1:15" x14ac:dyDescent="0.25">
      <c r="A99" t="s">
        <v>406</v>
      </c>
      <c r="B99" t="s">
        <v>407</v>
      </c>
      <c r="C99" t="s">
        <v>239</v>
      </c>
      <c r="N99" s="5" t="s">
        <v>1286</v>
      </c>
      <c r="O99" s="5" t="s">
        <v>764</v>
      </c>
    </row>
    <row r="100" spans="1:15" x14ac:dyDescent="0.25">
      <c r="A100" t="s">
        <v>608</v>
      </c>
      <c r="B100" t="s">
        <v>395</v>
      </c>
      <c r="N100" s="5" t="s">
        <v>1301</v>
      </c>
      <c r="O100" s="5" t="s">
        <v>764</v>
      </c>
    </row>
    <row r="101" spans="1:15" x14ac:dyDescent="0.25">
      <c r="A101" t="s">
        <v>219</v>
      </c>
      <c r="B101" t="s">
        <v>220</v>
      </c>
      <c r="N101" s="5" t="s">
        <v>1359</v>
      </c>
      <c r="O101" s="5" t="s">
        <v>1360</v>
      </c>
    </row>
    <row r="102" spans="1:15" x14ac:dyDescent="0.25">
      <c r="A102" t="s">
        <v>456</v>
      </c>
      <c r="B102" t="s">
        <v>473</v>
      </c>
      <c r="N102" s="5" t="s">
        <v>1377</v>
      </c>
      <c r="O102" s="5" t="s">
        <v>1378</v>
      </c>
    </row>
    <row r="103" spans="1:15" x14ac:dyDescent="0.25">
      <c r="A103" t="s">
        <v>292</v>
      </c>
      <c r="N103" s="5" t="s">
        <v>1323</v>
      </c>
      <c r="O103" s="5" t="s">
        <v>1324</v>
      </c>
    </row>
    <row r="104" spans="1:15" x14ac:dyDescent="0.25">
      <c r="A104" t="s">
        <v>392</v>
      </c>
      <c r="N104" s="5" t="s">
        <v>1009</v>
      </c>
      <c r="O104" s="5" t="s">
        <v>1010</v>
      </c>
    </row>
    <row r="105" spans="1:15" x14ac:dyDescent="0.25">
      <c r="A105" t="s">
        <v>251</v>
      </c>
      <c r="B105" t="s">
        <v>111</v>
      </c>
      <c r="N105" s="5" t="s">
        <v>1251</v>
      </c>
      <c r="O105" s="5" t="s">
        <v>1252</v>
      </c>
    </row>
    <row r="106" spans="1:15" x14ac:dyDescent="0.25">
      <c r="A106" t="s">
        <v>524</v>
      </c>
      <c r="N106" s="5" t="s">
        <v>1209</v>
      </c>
      <c r="O106" s="5" t="s">
        <v>1210</v>
      </c>
    </row>
    <row r="107" spans="1:15" x14ac:dyDescent="0.25">
      <c r="A107" t="s">
        <v>240</v>
      </c>
      <c r="N107" s="5" t="s">
        <v>1023</v>
      </c>
      <c r="O107" s="5" t="s">
        <v>1024</v>
      </c>
    </row>
    <row r="108" spans="1:15" x14ac:dyDescent="0.25">
      <c r="A108" t="s">
        <v>370</v>
      </c>
      <c r="B108" t="s">
        <v>176</v>
      </c>
      <c r="C108" t="s">
        <v>241</v>
      </c>
      <c r="D108" t="s">
        <v>111</v>
      </c>
      <c r="E108" t="s">
        <v>67</v>
      </c>
      <c r="N108" s="5" t="s">
        <v>1123</v>
      </c>
      <c r="O108" s="5" t="s">
        <v>1125</v>
      </c>
    </row>
    <row r="109" spans="1:15" x14ac:dyDescent="0.25">
      <c r="A109" t="s">
        <v>618</v>
      </c>
      <c r="N109" s="5" t="s">
        <v>1239</v>
      </c>
      <c r="O109" s="5" t="s">
        <v>1242</v>
      </c>
    </row>
    <row r="110" spans="1:15" x14ac:dyDescent="0.25">
      <c r="A110" t="s">
        <v>529</v>
      </c>
      <c r="B110" t="s">
        <v>473</v>
      </c>
      <c r="C110" t="s">
        <v>440</v>
      </c>
      <c r="D110" t="s">
        <v>439</v>
      </c>
      <c r="N110" s="5" t="s">
        <v>1190</v>
      </c>
      <c r="O110" s="5" t="s">
        <v>1191</v>
      </c>
    </row>
    <row r="111" spans="1:15" x14ac:dyDescent="0.25">
      <c r="A111" t="s">
        <v>526</v>
      </c>
      <c r="B111" t="s">
        <v>627</v>
      </c>
      <c r="N111" s="5" t="s">
        <v>767</v>
      </c>
      <c r="O111" s="5" t="s">
        <v>1288</v>
      </c>
    </row>
    <row r="112" spans="1:15" x14ac:dyDescent="0.25">
      <c r="A112" t="s">
        <v>525</v>
      </c>
      <c r="B112" t="s">
        <v>613</v>
      </c>
      <c r="N112" s="5" t="s">
        <v>1218</v>
      </c>
      <c r="O112" s="5" t="s">
        <v>1178</v>
      </c>
    </row>
    <row r="113" spans="1:15" x14ac:dyDescent="0.25">
      <c r="A113" t="s">
        <v>446</v>
      </c>
      <c r="N113" s="5" t="s">
        <v>1086</v>
      </c>
      <c r="O113" s="5" t="s">
        <v>1087</v>
      </c>
    </row>
    <row r="114" spans="1:15" x14ac:dyDescent="0.25">
      <c r="A114" t="s">
        <v>277</v>
      </c>
      <c r="N114" s="5" t="s">
        <v>1123</v>
      </c>
      <c r="O114" s="5" t="s">
        <v>1087</v>
      </c>
    </row>
    <row r="115" spans="1:15" x14ac:dyDescent="0.25">
      <c r="A115" t="s">
        <v>402</v>
      </c>
      <c r="B115" t="s">
        <v>621</v>
      </c>
      <c r="N115" s="5" t="s">
        <v>1163</v>
      </c>
      <c r="O115" s="5" t="s">
        <v>1087</v>
      </c>
    </row>
    <row r="116" spans="1:15" x14ac:dyDescent="0.25">
      <c r="A116" t="s">
        <v>549</v>
      </c>
      <c r="N116" s="5" t="s">
        <v>1318</v>
      </c>
      <c r="O116" s="5" t="s">
        <v>1087</v>
      </c>
    </row>
    <row r="117" spans="1:15" x14ac:dyDescent="0.25">
      <c r="A117" t="s">
        <v>579</v>
      </c>
      <c r="B117" t="s">
        <v>544</v>
      </c>
      <c r="C117" t="s">
        <v>615</v>
      </c>
      <c r="N117" s="5" t="s">
        <v>1334</v>
      </c>
      <c r="O117" s="5" t="s">
        <v>1087</v>
      </c>
    </row>
    <row r="118" spans="1:15" x14ac:dyDescent="0.25">
      <c r="A118" t="s">
        <v>380</v>
      </c>
      <c r="B118" t="s">
        <v>72</v>
      </c>
      <c r="N118" s="5" t="s">
        <v>1104</v>
      </c>
      <c r="O118" s="5" t="s">
        <v>1105</v>
      </c>
    </row>
    <row r="119" spans="1:15" x14ac:dyDescent="0.25">
      <c r="A119" t="s">
        <v>183</v>
      </c>
      <c r="B119" t="s">
        <v>604</v>
      </c>
      <c r="N119" s="5" t="s">
        <v>1278</v>
      </c>
      <c r="O119" s="5" t="s">
        <v>1279</v>
      </c>
    </row>
    <row r="120" spans="1:15" x14ac:dyDescent="0.25">
      <c r="A120" t="s">
        <v>282</v>
      </c>
      <c r="B120" t="s">
        <v>267</v>
      </c>
      <c r="C120" t="s">
        <v>244</v>
      </c>
      <c r="N120" s="5" t="s">
        <v>742</v>
      </c>
      <c r="O120" s="5" t="s">
        <v>1131</v>
      </c>
    </row>
    <row r="121" spans="1:15" x14ac:dyDescent="0.25">
      <c r="A121" t="s">
        <v>580</v>
      </c>
      <c r="N121" s="5" t="s">
        <v>1284</v>
      </c>
      <c r="O121" s="5" t="s">
        <v>1285</v>
      </c>
    </row>
    <row r="122" spans="1:15" x14ac:dyDescent="0.25">
      <c r="A122" t="s">
        <v>342</v>
      </c>
      <c r="B122" t="s">
        <v>628</v>
      </c>
      <c r="C122" t="s">
        <v>303</v>
      </c>
      <c r="N122" s="5" t="s">
        <v>1123</v>
      </c>
      <c r="O122" s="5" t="s">
        <v>1126</v>
      </c>
    </row>
    <row r="123" spans="1:15" x14ac:dyDescent="0.25">
      <c r="A123" t="s">
        <v>269</v>
      </c>
      <c r="N123" s="5" t="s">
        <v>1028</v>
      </c>
      <c r="O123" s="5" t="s">
        <v>1029</v>
      </c>
    </row>
    <row r="124" spans="1:15" x14ac:dyDescent="0.25">
      <c r="A124" t="s">
        <v>271</v>
      </c>
      <c r="B124" t="s">
        <v>272</v>
      </c>
      <c r="C124" t="s">
        <v>273</v>
      </c>
      <c r="D124" t="s">
        <v>274</v>
      </c>
      <c r="E124" t="s">
        <v>276</v>
      </c>
      <c r="N124" s="5" t="s">
        <v>1326</v>
      </c>
      <c r="O124" s="5" t="s">
        <v>1327</v>
      </c>
    </row>
    <row r="125" spans="1:15" x14ac:dyDescent="0.25">
      <c r="A125" t="s">
        <v>599</v>
      </c>
      <c r="B125" t="s">
        <v>620</v>
      </c>
      <c r="C125" t="s">
        <v>303</v>
      </c>
      <c r="N125" s="5" t="s">
        <v>1370</v>
      </c>
      <c r="O125" s="5" t="s">
        <v>1372</v>
      </c>
    </row>
    <row r="126" spans="1:15" x14ac:dyDescent="0.25">
      <c r="A126" t="s">
        <v>499</v>
      </c>
      <c r="N126" s="5" t="s">
        <v>1280</v>
      </c>
      <c r="O126" s="5" t="s">
        <v>1281</v>
      </c>
    </row>
    <row r="127" spans="1:15" x14ac:dyDescent="0.25">
      <c r="A127" t="s">
        <v>610</v>
      </c>
      <c r="B127" t="s">
        <v>611</v>
      </c>
      <c r="N127" s="5" t="s">
        <v>1246</v>
      </c>
      <c r="O127" s="5" t="s">
        <v>1199</v>
      </c>
    </row>
    <row r="128" spans="1:15" x14ac:dyDescent="0.25">
      <c r="A128" t="s">
        <v>528</v>
      </c>
      <c r="B128" t="s">
        <v>388</v>
      </c>
      <c r="C128" t="s">
        <v>629</v>
      </c>
      <c r="N128" s="5" t="s">
        <v>1257</v>
      </c>
      <c r="O128" s="5" t="s">
        <v>1258</v>
      </c>
    </row>
    <row r="129" spans="1:15" x14ac:dyDescent="0.25">
      <c r="A129" t="s">
        <v>418</v>
      </c>
      <c r="B129" t="s">
        <v>561</v>
      </c>
      <c r="C129" t="s">
        <v>237</v>
      </c>
      <c r="N129" s="5" t="s">
        <v>1081</v>
      </c>
      <c r="O129" s="5" t="s">
        <v>1082</v>
      </c>
    </row>
    <row r="130" spans="1:15" x14ac:dyDescent="0.25">
      <c r="A130" t="s">
        <v>366</v>
      </c>
      <c r="B130" t="s">
        <v>367</v>
      </c>
      <c r="N130" s="5" t="s">
        <v>1224</v>
      </c>
      <c r="O130" s="5" t="s">
        <v>1225</v>
      </c>
    </row>
    <row r="131" spans="1:15" x14ac:dyDescent="0.25">
      <c r="A131" t="s">
        <v>278</v>
      </c>
      <c r="B131" t="s">
        <v>212</v>
      </c>
      <c r="C131" t="s">
        <v>340</v>
      </c>
      <c r="N131" s="5" t="s">
        <v>743</v>
      </c>
      <c r="O131" s="5" t="s">
        <v>1277</v>
      </c>
    </row>
    <row r="132" spans="1:15" x14ac:dyDescent="0.25">
      <c r="A132" t="s">
        <v>281</v>
      </c>
      <c r="B132" t="s">
        <v>612</v>
      </c>
      <c r="C132" t="s">
        <v>222</v>
      </c>
      <c r="D132" t="s">
        <v>223</v>
      </c>
      <c r="N132" s="5" t="s">
        <v>1383</v>
      </c>
      <c r="O132" s="5" t="s">
        <v>1277</v>
      </c>
    </row>
    <row r="133" spans="1:15" x14ac:dyDescent="0.25">
      <c r="A133" t="s">
        <v>186</v>
      </c>
      <c r="B133" t="s">
        <v>551</v>
      </c>
      <c r="C133" t="s">
        <v>630</v>
      </c>
      <c r="D133" t="s">
        <v>261</v>
      </c>
      <c r="N133" s="5" t="s">
        <v>1239</v>
      </c>
      <c r="O133" s="5" t="s">
        <v>1243</v>
      </c>
    </row>
    <row r="134" spans="1:15" x14ac:dyDescent="0.25">
      <c r="A134" t="s">
        <v>190</v>
      </c>
      <c r="B134" t="s">
        <v>254</v>
      </c>
      <c r="C134" t="s">
        <v>494</v>
      </c>
      <c r="D134" t="s">
        <v>384</v>
      </c>
      <c r="N134" s="5" t="s">
        <v>1305</v>
      </c>
      <c r="O134" s="5" t="s">
        <v>762</v>
      </c>
    </row>
    <row r="135" spans="1:15" x14ac:dyDescent="0.25">
      <c r="A135" t="s">
        <v>455</v>
      </c>
      <c r="B135" t="s">
        <v>458</v>
      </c>
      <c r="N135" s="5" t="s">
        <v>1100</v>
      </c>
      <c r="O135" s="5" t="s">
        <v>1357</v>
      </c>
    </row>
    <row r="136" spans="1:15" x14ac:dyDescent="0.25">
      <c r="A136" t="s">
        <v>454</v>
      </c>
      <c r="N136" s="5" t="s">
        <v>1249</v>
      </c>
      <c r="O136" s="5" t="s">
        <v>1250</v>
      </c>
    </row>
    <row r="137" spans="1:15" x14ac:dyDescent="0.25">
      <c r="A137" t="s">
        <v>498</v>
      </c>
      <c r="B137" t="s">
        <v>631</v>
      </c>
      <c r="N137" s="5" t="s">
        <v>1308</v>
      </c>
      <c r="O137" s="5" t="s">
        <v>1309</v>
      </c>
    </row>
    <row r="138" spans="1:15" x14ac:dyDescent="0.25">
      <c r="A138" t="s">
        <v>496</v>
      </c>
      <c r="B138" t="s">
        <v>632</v>
      </c>
      <c r="C138" t="s">
        <v>363</v>
      </c>
      <c r="D138" t="s">
        <v>364</v>
      </c>
      <c r="N138" s="5" t="s">
        <v>1138</v>
      </c>
      <c r="O138" s="5" t="s">
        <v>1139</v>
      </c>
    </row>
    <row r="139" spans="1:15" x14ac:dyDescent="0.25">
      <c r="A139" t="s">
        <v>398</v>
      </c>
      <c r="B139" t="s">
        <v>415</v>
      </c>
      <c r="C139" t="s">
        <v>237</v>
      </c>
      <c r="D139" t="s">
        <v>419</v>
      </c>
      <c r="N139" s="5" t="s">
        <v>1186</v>
      </c>
      <c r="O139" s="5" t="s">
        <v>1187</v>
      </c>
    </row>
    <row r="140" spans="1:15" x14ac:dyDescent="0.25">
      <c r="A140" t="s">
        <v>296</v>
      </c>
      <c r="N140" s="5" t="s">
        <v>1323</v>
      </c>
      <c r="O140" s="5" t="s">
        <v>1325</v>
      </c>
    </row>
    <row r="141" spans="1:15" x14ac:dyDescent="0.25">
      <c r="A141" t="s">
        <v>421</v>
      </c>
      <c r="N141" s="5" t="s">
        <v>760</v>
      </c>
      <c r="O141" s="5" t="s">
        <v>1408</v>
      </c>
    </row>
    <row r="142" spans="1:15" x14ac:dyDescent="0.25">
      <c r="A142" t="s">
        <v>472</v>
      </c>
      <c r="N142" s="5" t="s">
        <v>1379</v>
      </c>
      <c r="O142" s="5" t="s">
        <v>1381</v>
      </c>
    </row>
    <row r="143" spans="1:15" x14ac:dyDescent="0.25">
      <c r="A143" t="s">
        <v>515</v>
      </c>
      <c r="N143" s="5" t="s">
        <v>1170</v>
      </c>
      <c r="O143" s="5" t="s">
        <v>1171</v>
      </c>
    </row>
    <row r="144" spans="1:15" x14ac:dyDescent="0.25">
      <c r="A144" t="s">
        <v>262</v>
      </c>
      <c r="N144" s="5" t="s">
        <v>1192</v>
      </c>
      <c r="O144" s="5" t="s">
        <v>1193</v>
      </c>
    </row>
    <row r="145" spans="1:15" x14ac:dyDescent="0.25">
      <c r="A145" t="s">
        <v>564</v>
      </c>
      <c r="N145" s="5" t="s">
        <v>1364</v>
      </c>
      <c r="O145" s="5" t="s">
        <v>1365</v>
      </c>
    </row>
    <row r="146" spans="1:15" x14ac:dyDescent="0.25">
      <c r="A146" t="s">
        <v>347</v>
      </c>
      <c r="N146" s="5" t="s">
        <v>1055</v>
      </c>
      <c r="O146" s="5" t="s">
        <v>1058</v>
      </c>
    </row>
    <row r="147" spans="1:15" x14ac:dyDescent="0.25">
      <c r="A147" t="s">
        <v>427</v>
      </c>
      <c r="N147" s="5" t="s">
        <v>1106</v>
      </c>
      <c r="O147" s="5" t="s">
        <v>1107</v>
      </c>
    </row>
    <row r="148" spans="1:15" x14ac:dyDescent="0.25">
      <c r="A148" t="s">
        <v>565</v>
      </c>
      <c r="N148" s="5" t="s">
        <v>1134</v>
      </c>
      <c r="O148" s="5" t="s">
        <v>1135</v>
      </c>
    </row>
    <row r="149" spans="1:15" x14ac:dyDescent="0.25">
      <c r="A149" t="s">
        <v>517</v>
      </c>
      <c r="N149" s="5" t="s">
        <v>1342</v>
      </c>
      <c r="O149" s="5" t="s">
        <v>1343</v>
      </c>
    </row>
    <row r="150" spans="1:15" x14ac:dyDescent="0.25">
      <c r="A150" t="s">
        <v>65</v>
      </c>
      <c r="N150" s="5" t="s">
        <v>1231</v>
      </c>
      <c r="O150" s="5" t="s">
        <v>1236</v>
      </c>
    </row>
    <row r="151" spans="1:15" x14ac:dyDescent="0.25">
      <c r="A151" t="s">
        <v>424</v>
      </c>
      <c r="N151" s="5" t="s">
        <v>745</v>
      </c>
      <c r="O151" s="5" t="s">
        <v>1268</v>
      </c>
    </row>
    <row r="152" spans="1:15" x14ac:dyDescent="0.25">
      <c r="A152" t="s">
        <v>507</v>
      </c>
      <c r="N152" s="5" t="s">
        <v>741</v>
      </c>
      <c r="O152" s="5" t="s">
        <v>1202</v>
      </c>
    </row>
    <row r="153" spans="1:15" x14ac:dyDescent="0.25">
      <c r="A153" t="s">
        <v>351</v>
      </c>
      <c r="N153" s="5" t="s">
        <v>1207</v>
      </c>
      <c r="O153" s="5" t="s">
        <v>1208</v>
      </c>
    </row>
    <row r="154" spans="1:15" x14ac:dyDescent="0.25">
      <c r="A154" t="s">
        <v>367</v>
      </c>
      <c r="N154" s="5" t="s">
        <v>1110</v>
      </c>
      <c r="O154" s="5" t="s">
        <v>1111</v>
      </c>
    </row>
    <row r="155" spans="1:15" x14ac:dyDescent="0.25">
      <c r="A155" t="s">
        <v>502</v>
      </c>
      <c r="N155" s="5" t="s">
        <v>1350</v>
      </c>
      <c r="O155" s="5" t="s">
        <v>1351</v>
      </c>
    </row>
    <row r="156" spans="1:15" x14ac:dyDescent="0.25">
      <c r="A156" t="s">
        <v>352</v>
      </c>
      <c r="N156" s="5" t="s">
        <v>1192</v>
      </c>
      <c r="O156" s="5" t="s">
        <v>1194</v>
      </c>
    </row>
    <row r="157" spans="1:15" x14ac:dyDescent="0.25">
      <c r="A157" t="s">
        <v>566</v>
      </c>
      <c r="N157" s="5" t="s">
        <v>1344</v>
      </c>
      <c r="O157" s="5" t="s">
        <v>1346</v>
      </c>
    </row>
    <row r="158" spans="1:15" x14ac:dyDescent="0.25">
      <c r="A158" t="s">
        <v>489</v>
      </c>
      <c r="N158" s="5" t="s">
        <v>1272</v>
      </c>
      <c r="O158" s="5" t="s">
        <v>1273</v>
      </c>
    </row>
    <row r="159" spans="1:15" x14ac:dyDescent="0.25">
      <c r="A159" t="s">
        <v>512</v>
      </c>
      <c r="N159" s="5" t="s">
        <v>765</v>
      </c>
      <c r="O159" s="5" t="s">
        <v>1077</v>
      </c>
    </row>
    <row r="160" spans="1:15" x14ac:dyDescent="0.25">
      <c r="A160" t="s">
        <v>377</v>
      </c>
      <c r="N160" s="5" t="s">
        <v>1310</v>
      </c>
      <c r="O160" s="5" t="s">
        <v>1077</v>
      </c>
    </row>
    <row r="161" spans="1:15" x14ac:dyDescent="0.25">
      <c r="A161" t="s">
        <v>440</v>
      </c>
      <c r="N161" s="5" t="s">
        <v>1384</v>
      </c>
      <c r="O161" s="5" t="s">
        <v>1077</v>
      </c>
    </row>
    <row r="162" spans="1:15" x14ac:dyDescent="0.25">
      <c r="A162" t="s">
        <v>239</v>
      </c>
      <c r="N162" s="5" t="s">
        <v>1212</v>
      </c>
      <c r="O162" s="5" t="s">
        <v>1213</v>
      </c>
    </row>
    <row r="163" spans="1:15" x14ac:dyDescent="0.25">
      <c r="A163" t="s">
        <v>585</v>
      </c>
      <c r="N163" s="5" t="s">
        <v>1200</v>
      </c>
      <c r="O163" s="5" t="s">
        <v>1201</v>
      </c>
    </row>
    <row r="164" spans="1:15" x14ac:dyDescent="0.25">
      <c r="A164" t="s">
        <v>586</v>
      </c>
      <c r="N164" s="5" t="s">
        <v>1305</v>
      </c>
      <c r="O164" s="5" t="s">
        <v>1307</v>
      </c>
    </row>
    <row r="165" spans="1:15" x14ac:dyDescent="0.25">
      <c r="A165" t="s">
        <v>522</v>
      </c>
      <c r="N165" s="5" t="s">
        <v>1263</v>
      </c>
      <c r="O165" s="5" t="s">
        <v>1264</v>
      </c>
    </row>
    <row r="166" spans="1:15" x14ac:dyDescent="0.25">
      <c r="A166" t="s">
        <v>462</v>
      </c>
      <c r="N166" s="5" t="s">
        <v>1214</v>
      </c>
      <c r="O166" s="5" t="s">
        <v>1215</v>
      </c>
    </row>
    <row r="167" spans="1:15" x14ac:dyDescent="0.25">
      <c r="A167" t="s">
        <v>371</v>
      </c>
      <c r="N167" s="5" t="s">
        <v>1337</v>
      </c>
      <c r="O167" s="5" t="s">
        <v>1338</v>
      </c>
    </row>
    <row r="168" spans="1:15" x14ac:dyDescent="0.25">
      <c r="A168" t="s">
        <v>500</v>
      </c>
      <c r="N168" s="5" t="s">
        <v>1132</v>
      </c>
      <c r="O168" s="5" t="s">
        <v>1133</v>
      </c>
    </row>
    <row r="169" spans="1:15" x14ac:dyDescent="0.25">
      <c r="A169" t="s">
        <v>451</v>
      </c>
      <c r="N169" s="5" t="s">
        <v>1364</v>
      </c>
      <c r="O169" s="5" t="s">
        <v>1366</v>
      </c>
    </row>
    <row r="170" spans="1:15" x14ac:dyDescent="0.25">
      <c r="A170" t="s">
        <v>403</v>
      </c>
      <c r="N170" s="5" t="s">
        <v>740</v>
      </c>
      <c r="O170" s="5" t="s">
        <v>1302</v>
      </c>
    </row>
    <row r="171" spans="1:15" x14ac:dyDescent="0.25">
      <c r="A171" t="s">
        <v>430</v>
      </c>
      <c r="N171" s="5" t="s">
        <v>767</v>
      </c>
      <c r="O171" s="5" t="s">
        <v>1289</v>
      </c>
    </row>
    <row r="172" spans="1:15" x14ac:dyDescent="0.25">
      <c r="A172" t="s">
        <v>272</v>
      </c>
      <c r="N172" s="5" t="s">
        <v>1296</v>
      </c>
      <c r="O172" s="5" t="s">
        <v>1299</v>
      </c>
    </row>
    <row r="173" spans="1:15" x14ac:dyDescent="0.25">
      <c r="A173" t="s">
        <v>587</v>
      </c>
      <c r="N173" s="5" t="s">
        <v>740</v>
      </c>
      <c r="O173" s="5" t="s">
        <v>1303</v>
      </c>
    </row>
    <row r="174" spans="1:15" x14ac:dyDescent="0.25">
      <c r="A174" t="s">
        <v>557</v>
      </c>
      <c r="N174" s="5" t="s">
        <v>1093</v>
      </c>
      <c r="O174" s="5" t="s">
        <v>1095</v>
      </c>
    </row>
    <row r="175" spans="1:15" x14ac:dyDescent="0.25">
      <c r="A175" t="s">
        <v>356</v>
      </c>
      <c r="N175" s="5" t="s">
        <v>1224</v>
      </c>
      <c r="O175" s="5" t="s">
        <v>1226</v>
      </c>
    </row>
    <row r="176" spans="1:15" x14ac:dyDescent="0.25">
      <c r="A176" t="s">
        <v>448</v>
      </c>
      <c r="N176" s="5" t="s">
        <v>1263</v>
      </c>
      <c r="O176" s="5" t="s">
        <v>1265</v>
      </c>
    </row>
    <row r="177" spans="1:15" x14ac:dyDescent="0.25">
      <c r="A177" t="s">
        <v>582</v>
      </c>
      <c r="N177" s="5" t="s">
        <v>1176</v>
      </c>
      <c r="O177" s="5" t="s">
        <v>1177</v>
      </c>
    </row>
    <row r="178" spans="1:15" x14ac:dyDescent="0.25">
      <c r="A178" t="s">
        <v>237</v>
      </c>
      <c r="N178" s="5" t="s">
        <v>1330</v>
      </c>
      <c r="O178" s="5" t="s">
        <v>1331</v>
      </c>
    </row>
    <row r="179" spans="1:15" x14ac:dyDescent="0.25">
      <c r="A179" t="s">
        <v>567</v>
      </c>
      <c r="N179" s="5" t="s">
        <v>1344</v>
      </c>
      <c r="O179" s="5" t="s">
        <v>1347</v>
      </c>
    </row>
    <row r="180" spans="1:15" x14ac:dyDescent="0.25">
      <c r="A180" t="s">
        <v>254</v>
      </c>
      <c r="N180" s="5" t="s">
        <v>1188</v>
      </c>
      <c r="O180" s="5" t="s">
        <v>1189</v>
      </c>
    </row>
    <row r="181" spans="1:15" x14ac:dyDescent="0.25">
      <c r="A181" t="s">
        <v>66</v>
      </c>
      <c r="N181" s="5" t="s">
        <v>1149</v>
      </c>
      <c r="O181" s="5" t="s">
        <v>1150</v>
      </c>
    </row>
    <row r="182" spans="1:15" x14ac:dyDescent="0.25">
      <c r="A182" t="s">
        <v>201</v>
      </c>
      <c r="N182" s="5" t="s">
        <v>1064</v>
      </c>
      <c r="O182" s="5" t="s">
        <v>1065</v>
      </c>
    </row>
    <row r="183" spans="1:15" x14ac:dyDescent="0.25">
      <c r="A183" t="s">
        <v>406</v>
      </c>
      <c r="N183" s="5" t="s">
        <v>1147</v>
      </c>
      <c r="O183" s="5" t="s">
        <v>1148</v>
      </c>
    </row>
    <row r="184" spans="1:15" x14ac:dyDescent="0.25">
      <c r="A184" t="s">
        <v>588</v>
      </c>
      <c r="N184" s="5" t="s">
        <v>740</v>
      </c>
      <c r="O184" s="5" t="s">
        <v>1304</v>
      </c>
    </row>
    <row r="185" spans="1:15" x14ac:dyDescent="0.25">
      <c r="A185" t="s">
        <v>589</v>
      </c>
      <c r="N185" s="5" t="s">
        <v>1239</v>
      </c>
      <c r="O185" s="5" t="s">
        <v>1244</v>
      </c>
    </row>
    <row r="186" spans="1:15" x14ac:dyDescent="0.25">
      <c r="A186" t="s">
        <v>556</v>
      </c>
      <c r="N186" s="5" t="s">
        <v>1030</v>
      </c>
      <c r="O186" s="5" t="s">
        <v>1031</v>
      </c>
    </row>
    <row r="187" spans="1:15" x14ac:dyDescent="0.25">
      <c r="A187" t="s">
        <v>408</v>
      </c>
      <c r="N187" s="5" t="s">
        <v>1203</v>
      </c>
      <c r="O187" s="5" t="s">
        <v>1204</v>
      </c>
    </row>
    <row r="188" spans="1:15" x14ac:dyDescent="0.25">
      <c r="A188" t="s">
        <v>409</v>
      </c>
      <c r="N188" s="5" t="s">
        <v>1049</v>
      </c>
      <c r="O188" s="5" t="s">
        <v>1050</v>
      </c>
    </row>
    <row r="189" spans="1:15" x14ac:dyDescent="0.25">
      <c r="A189" t="s">
        <v>568</v>
      </c>
      <c r="N189" s="5" t="s">
        <v>1051</v>
      </c>
      <c r="O189" s="5" t="s">
        <v>1052</v>
      </c>
    </row>
    <row r="190" spans="1:15" x14ac:dyDescent="0.25">
      <c r="A190" t="s">
        <v>428</v>
      </c>
      <c r="N190" s="5" t="s">
        <v>1060</v>
      </c>
      <c r="O190" s="5" t="s">
        <v>1061</v>
      </c>
    </row>
    <row r="191" spans="1:15" x14ac:dyDescent="0.25">
      <c r="A191" t="s">
        <v>414</v>
      </c>
      <c r="N191" s="5" t="s">
        <v>1182</v>
      </c>
      <c r="O191" s="5" t="s">
        <v>1183</v>
      </c>
    </row>
    <row r="192" spans="1:15" x14ac:dyDescent="0.25">
      <c r="A192" t="s">
        <v>420</v>
      </c>
      <c r="N192" s="5" t="s">
        <v>1273</v>
      </c>
      <c r="O192" s="5" t="s">
        <v>1181</v>
      </c>
    </row>
    <row r="193" spans="1:15" x14ac:dyDescent="0.25">
      <c r="A193" t="s">
        <v>465</v>
      </c>
      <c r="N193" s="5" t="s">
        <v>1317</v>
      </c>
      <c r="O193" s="5" t="s">
        <v>1181</v>
      </c>
    </row>
    <row r="194" spans="1:15" x14ac:dyDescent="0.25">
      <c r="A194" t="s">
        <v>590</v>
      </c>
      <c r="N194" s="5" t="s">
        <v>1334</v>
      </c>
      <c r="O194" s="5" t="s">
        <v>1181</v>
      </c>
    </row>
    <row r="195" spans="1:15" x14ac:dyDescent="0.25">
      <c r="A195" t="s">
        <v>520</v>
      </c>
      <c r="N195" s="5" t="s">
        <v>1341</v>
      </c>
      <c r="O195" s="5" t="s">
        <v>1181</v>
      </c>
    </row>
    <row r="196" spans="1:15" x14ac:dyDescent="0.25">
      <c r="A196" t="s">
        <v>510</v>
      </c>
      <c r="N196" s="5" t="s">
        <v>1180</v>
      </c>
      <c r="O196" s="5" t="s">
        <v>1181</v>
      </c>
    </row>
    <row r="197" spans="1:15" x14ac:dyDescent="0.25">
      <c r="A197" t="s">
        <v>265</v>
      </c>
      <c r="N197" s="5" t="s">
        <v>1192</v>
      </c>
      <c r="O197" s="5" t="s">
        <v>1195</v>
      </c>
    </row>
    <row r="198" spans="1:15" x14ac:dyDescent="0.25">
      <c r="A198" t="s">
        <v>493</v>
      </c>
      <c r="N198" s="5" t="s">
        <v>1229</v>
      </c>
      <c r="O198" s="5" t="s">
        <v>1230</v>
      </c>
    </row>
    <row r="199" spans="1:15" x14ac:dyDescent="0.25">
      <c r="A199" t="s">
        <v>482</v>
      </c>
      <c r="N199" s="5" t="s">
        <v>1231</v>
      </c>
      <c r="O199" s="5" t="s">
        <v>1237</v>
      </c>
    </row>
    <row r="200" spans="1:15" x14ac:dyDescent="0.25">
      <c r="A200" t="s">
        <v>530</v>
      </c>
      <c r="N200" s="5" t="s">
        <v>1259</v>
      </c>
      <c r="O200" s="5" t="s">
        <v>1260</v>
      </c>
    </row>
    <row r="201" spans="1:15" x14ac:dyDescent="0.25">
      <c r="A201" t="s">
        <v>509</v>
      </c>
      <c r="N201" s="5" t="s">
        <v>1086</v>
      </c>
      <c r="O201" s="5" t="s">
        <v>1088</v>
      </c>
    </row>
    <row r="202" spans="1:15" x14ac:dyDescent="0.25">
      <c r="A202" t="s">
        <v>569</v>
      </c>
      <c r="N202" s="5" t="s">
        <v>1038</v>
      </c>
      <c r="O202" s="5" t="s">
        <v>1027</v>
      </c>
    </row>
    <row r="203" spans="1:15" x14ac:dyDescent="0.25">
      <c r="A203" t="s">
        <v>477</v>
      </c>
      <c r="N203" s="5" t="s">
        <v>1154</v>
      </c>
      <c r="O203" s="5" t="s">
        <v>1027</v>
      </c>
    </row>
    <row r="204" spans="1:15" x14ac:dyDescent="0.25">
      <c r="A204" t="s">
        <v>410</v>
      </c>
      <c r="N204" s="5" t="s">
        <v>1173</v>
      </c>
      <c r="O204" s="5" t="s">
        <v>1027</v>
      </c>
    </row>
    <row r="205" spans="1:15" x14ac:dyDescent="0.25">
      <c r="A205" t="s">
        <v>375</v>
      </c>
      <c r="N205" s="5" t="s">
        <v>1231</v>
      </c>
      <c r="O205" s="5" t="s">
        <v>1027</v>
      </c>
    </row>
    <row r="206" spans="1:15" x14ac:dyDescent="0.25">
      <c r="A206" t="s">
        <v>429</v>
      </c>
      <c r="N206" s="5" t="s">
        <v>1026</v>
      </c>
      <c r="O206" s="5" t="s">
        <v>1027</v>
      </c>
    </row>
    <row r="207" spans="1:15" x14ac:dyDescent="0.25">
      <c r="A207" t="s">
        <v>452</v>
      </c>
      <c r="N207" s="5" t="s">
        <v>1110</v>
      </c>
      <c r="O207" s="5" t="s">
        <v>1112</v>
      </c>
    </row>
    <row r="208" spans="1:15" x14ac:dyDescent="0.25">
      <c r="A208" t="s">
        <v>591</v>
      </c>
      <c r="N208" s="5" t="s">
        <v>1192</v>
      </c>
      <c r="O208" s="5" t="s">
        <v>1196</v>
      </c>
    </row>
    <row r="209" spans="1:15" x14ac:dyDescent="0.25">
      <c r="A209" t="s">
        <v>490</v>
      </c>
      <c r="N209" s="5" t="s">
        <v>1034</v>
      </c>
      <c r="O209" s="5" t="s">
        <v>1035</v>
      </c>
    </row>
    <row r="210" spans="1:15" x14ac:dyDescent="0.25">
      <c r="A210" t="s">
        <v>273</v>
      </c>
      <c r="N210" s="5" t="s">
        <v>1231</v>
      </c>
      <c r="O210" s="5" t="s">
        <v>1238</v>
      </c>
    </row>
    <row r="211" spans="1:15" x14ac:dyDescent="0.25">
      <c r="A211" t="s">
        <v>523</v>
      </c>
      <c r="N211" s="5" t="s">
        <v>1036</v>
      </c>
      <c r="O211" s="5" t="s">
        <v>1037</v>
      </c>
    </row>
    <row r="212" spans="1:15" x14ac:dyDescent="0.25">
      <c r="A212" t="s">
        <v>570</v>
      </c>
      <c r="N212" s="5" t="s">
        <v>1091</v>
      </c>
      <c r="O212" s="5" t="s">
        <v>1092</v>
      </c>
    </row>
    <row r="213" spans="1:15" x14ac:dyDescent="0.25">
      <c r="A213" t="s">
        <v>423</v>
      </c>
      <c r="N213" s="5" t="s">
        <v>744</v>
      </c>
      <c r="O213" s="5" t="s">
        <v>1021</v>
      </c>
    </row>
    <row r="214" spans="1:15" x14ac:dyDescent="0.25">
      <c r="A214" t="s">
        <v>68</v>
      </c>
      <c r="N214" s="5" t="s">
        <v>1355</v>
      </c>
      <c r="O214" s="5" t="s">
        <v>1356</v>
      </c>
    </row>
    <row r="215" spans="1:15" x14ac:dyDescent="0.25">
      <c r="A215" t="s">
        <v>471</v>
      </c>
      <c r="N215" s="5" t="s">
        <v>1174</v>
      </c>
      <c r="O215" s="5" t="s">
        <v>1175</v>
      </c>
    </row>
    <row r="216" spans="1:15" x14ac:dyDescent="0.25">
      <c r="A216" t="s">
        <v>541</v>
      </c>
      <c r="N216" s="5" t="s">
        <v>765</v>
      </c>
      <c r="O216" s="5" t="s">
        <v>763</v>
      </c>
    </row>
    <row r="217" spans="1:15" x14ac:dyDescent="0.25">
      <c r="A217" t="s">
        <v>431</v>
      </c>
      <c r="N217" s="5" t="s">
        <v>744</v>
      </c>
      <c r="O217" s="5" t="s">
        <v>1022</v>
      </c>
    </row>
    <row r="218" spans="1:15" x14ac:dyDescent="0.25">
      <c r="A218" t="s">
        <v>571</v>
      </c>
      <c r="N218" s="5" t="s">
        <v>768</v>
      </c>
      <c r="O218" s="5" t="s">
        <v>1022</v>
      </c>
    </row>
    <row r="219" spans="1:15" x14ac:dyDescent="0.25">
      <c r="A219" t="s">
        <v>361</v>
      </c>
      <c r="N219" s="5" t="s">
        <v>1068</v>
      </c>
      <c r="O219" s="5" t="s">
        <v>1069</v>
      </c>
    </row>
    <row r="220" spans="1:15" x14ac:dyDescent="0.25">
      <c r="A220" t="s">
        <v>382</v>
      </c>
      <c r="N220" s="5" t="s">
        <v>1176</v>
      </c>
      <c r="O220" s="5" t="s">
        <v>1069</v>
      </c>
    </row>
    <row r="221" spans="1:15" x14ac:dyDescent="0.25">
      <c r="A221" t="s">
        <v>560</v>
      </c>
      <c r="N221" s="5" t="s">
        <v>1399</v>
      </c>
      <c r="O221" s="5" t="s">
        <v>1400</v>
      </c>
    </row>
    <row r="222" spans="1:15" x14ac:dyDescent="0.25">
      <c r="A222" t="s">
        <v>548</v>
      </c>
      <c r="N222" s="5" t="s">
        <v>1063</v>
      </c>
      <c r="O222" s="5" t="s">
        <v>1340</v>
      </c>
    </row>
    <row r="223" spans="1:15" x14ac:dyDescent="0.25">
      <c r="A223" t="s">
        <v>572</v>
      </c>
      <c r="N223" s="5" t="s">
        <v>1140</v>
      </c>
      <c r="O223" s="5" t="s">
        <v>1141</v>
      </c>
    </row>
    <row r="224" spans="1:15" x14ac:dyDescent="0.25">
      <c r="A224" t="s">
        <v>495</v>
      </c>
      <c r="N224" s="5" t="s">
        <v>1062</v>
      </c>
      <c r="O224" s="5" t="s">
        <v>1063</v>
      </c>
    </row>
    <row r="225" spans="1:15" x14ac:dyDescent="0.25">
      <c r="A225" t="s">
        <v>189</v>
      </c>
      <c r="N225" s="5" t="s">
        <v>1184</v>
      </c>
      <c r="O225" s="5" t="s">
        <v>1185</v>
      </c>
    </row>
    <row r="226" spans="1:15" x14ac:dyDescent="0.25">
      <c r="A226" t="s">
        <v>432</v>
      </c>
      <c r="N226" s="5" t="s">
        <v>1084</v>
      </c>
      <c r="O226" s="5" t="s">
        <v>1085</v>
      </c>
    </row>
    <row r="227" spans="1:15" x14ac:dyDescent="0.25">
      <c r="A227" t="s">
        <v>435</v>
      </c>
      <c r="N227" s="5" t="s">
        <v>1081</v>
      </c>
      <c r="O227" s="5" t="s">
        <v>1083</v>
      </c>
    </row>
    <row r="228" spans="1:15" x14ac:dyDescent="0.25">
      <c r="A228" t="s">
        <v>383</v>
      </c>
      <c r="N228" s="5" t="s">
        <v>1176</v>
      </c>
      <c r="O228" s="5" t="s">
        <v>1033</v>
      </c>
    </row>
    <row r="229" spans="1:15" x14ac:dyDescent="0.25">
      <c r="A229" t="s">
        <v>531</v>
      </c>
      <c r="N229" s="5" t="s">
        <v>1368</v>
      </c>
      <c r="O229" s="5" t="s">
        <v>1033</v>
      </c>
    </row>
    <row r="230" spans="1:15" x14ac:dyDescent="0.25">
      <c r="A230" t="s">
        <v>433</v>
      </c>
      <c r="N230" s="5" t="s">
        <v>1032</v>
      </c>
      <c r="O230" s="5" t="s">
        <v>1033</v>
      </c>
    </row>
    <row r="231" spans="1:15" x14ac:dyDescent="0.25">
      <c r="A231" t="s">
        <v>592</v>
      </c>
      <c r="N231" s="5" t="s">
        <v>765</v>
      </c>
      <c r="O231" s="5" t="s">
        <v>1033</v>
      </c>
    </row>
    <row r="232" spans="1:15" x14ac:dyDescent="0.25">
      <c r="A232" t="s">
        <v>450</v>
      </c>
      <c r="N232" s="5" t="s">
        <v>1116</v>
      </c>
      <c r="O232" s="5" t="s">
        <v>1118</v>
      </c>
    </row>
    <row r="233" spans="1:15" x14ac:dyDescent="0.25">
      <c r="A233" t="s">
        <v>547</v>
      </c>
      <c r="N233" s="5" t="s">
        <v>1162</v>
      </c>
      <c r="O233" s="5" t="s">
        <v>1118</v>
      </c>
    </row>
    <row r="234" spans="1:15" x14ac:dyDescent="0.25">
      <c r="A234" t="s">
        <v>476</v>
      </c>
      <c r="N234" s="5" t="s">
        <v>1296</v>
      </c>
      <c r="O234" s="5" t="s">
        <v>1300</v>
      </c>
    </row>
    <row r="235" spans="1:15" x14ac:dyDescent="0.25">
      <c r="A235" t="s">
        <v>593</v>
      </c>
      <c r="N235" s="5" t="s">
        <v>1015</v>
      </c>
      <c r="O235" s="5" t="s">
        <v>1016</v>
      </c>
    </row>
    <row r="236" spans="1:15" x14ac:dyDescent="0.25">
      <c r="A236" t="s">
        <v>411</v>
      </c>
      <c r="N236" s="5" t="s">
        <v>1251</v>
      </c>
      <c r="O236" s="5" t="s">
        <v>1253</v>
      </c>
    </row>
    <row r="237" spans="1:15" x14ac:dyDescent="0.25">
      <c r="A237" t="s">
        <v>387</v>
      </c>
      <c r="N237" s="5" t="s">
        <v>1096</v>
      </c>
      <c r="O237" s="5" t="s">
        <v>1097</v>
      </c>
    </row>
    <row r="238" spans="1:15" x14ac:dyDescent="0.25">
      <c r="A238" t="s">
        <v>554</v>
      </c>
      <c r="N238" s="5" t="s">
        <v>1348</v>
      </c>
      <c r="O238" s="5" t="s">
        <v>1349</v>
      </c>
    </row>
    <row r="239" spans="1:15" x14ac:dyDescent="0.25">
      <c r="A239" t="s">
        <v>481</v>
      </c>
      <c r="N239" s="5" t="s">
        <v>1379</v>
      </c>
      <c r="O239" s="5" t="s">
        <v>1382</v>
      </c>
    </row>
    <row r="240" spans="1:15" x14ac:dyDescent="0.25">
      <c r="A240" t="s">
        <v>527</v>
      </c>
      <c r="N240" s="5" t="s">
        <v>745</v>
      </c>
      <c r="O240" s="5" t="s">
        <v>1269</v>
      </c>
    </row>
    <row r="241" spans="1:15" x14ac:dyDescent="0.25">
      <c r="A241" t="s">
        <v>573</v>
      </c>
      <c r="N241" s="5" t="s">
        <v>1070</v>
      </c>
      <c r="O241" s="5" t="s">
        <v>1071</v>
      </c>
    </row>
    <row r="242" spans="1:15" x14ac:dyDescent="0.25">
      <c r="A242" t="s">
        <v>460</v>
      </c>
      <c r="N242" s="5" t="s">
        <v>1239</v>
      </c>
      <c r="O242" s="5" t="s">
        <v>1071</v>
      </c>
    </row>
    <row r="243" spans="1:15" x14ac:dyDescent="0.25">
      <c r="A243" t="s">
        <v>594</v>
      </c>
      <c r="N243" s="5" t="s">
        <v>1387</v>
      </c>
      <c r="O243" s="5" t="s">
        <v>1071</v>
      </c>
    </row>
    <row r="244" spans="1:15" x14ac:dyDescent="0.25">
      <c r="A244" t="s">
        <v>61</v>
      </c>
      <c r="N244" s="5" t="s">
        <v>1140</v>
      </c>
      <c r="O244" s="5" t="s">
        <v>1142</v>
      </c>
    </row>
    <row r="245" spans="1:15" x14ac:dyDescent="0.25">
      <c r="A245" t="s">
        <v>453</v>
      </c>
      <c r="N245" s="5" t="s">
        <v>1352</v>
      </c>
      <c r="O245" s="5" t="s">
        <v>1354</v>
      </c>
    </row>
    <row r="246" spans="1:15" x14ac:dyDescent="0.25">
      <c r="A246" t="s">
        <v>412</v>
      </c>
      <c r="N246" s="5" t="s">
        <v>1113</v>
      </c>
      <c r="O246" s="5" t="s">
        <v>1114</v>
      </c>
    </row>
    <row r="247" spans="1:15" x14ac:dyDescent="0.25">
      <c r="A247" t="s">
        <v>469</v>
      </c>
      <c r="N247" s="5" t="s">
        <v>1291</v>
      </c>
      <c r="O247" s="5" t="s">
        <v>1292</v>
      </c>
    </row>
    <row r="248" spans="1:15" x14ac:dyDescent="0.25">
      <c r="A248" t="s">
        <v>563</v>
      </c>
      <c r="N248" s="5" t="s">
        <v>1282</v>
      </c>
      <c r="O248" s="5" t="s">
        <v>1283</v>
      </c>
    </row>
    <row r="249" spans="1:15" x14ac:dyDescent="0.25">
      <c r="A249" t="s">
        <v>187</v>
      </c>
      <c r="N249" s="5" t="s">
        <v>1216</v>
      </c>
      <c r="O249" s="5" t="s">
        <v>1217</v>
      </c>
    </row>
    <row r="250" spans="1:15" x14ac:dyDescent="0.25">
      <c r="A250" t="s">
        <v>540</v>
      </c>
      <c r="N250" s="5" t="s">
        <v>1155</v>
      </c>
      <c r="O250" s="5" t="s">
        <v>1156</v>
      </c>
    </row>
    <row r="251" spans="1:15" x14ac:dyDescent="0.25">
      <c r="A251" t="s">
        <v>595</v>
      </c>
      <c r="N251" s="5" t="s">
        <v>1311</v>
      </c>
      <c r="O251" s="5" t="s">
        <v>1313</v>
      </c>
    </row>
    <row r="252" spans="1:15" x14ac:dyDescent="0.25">
      <c r="A252" t="s">
        <v>521</v>
      </c>
      <c r="N252" s="5" t="s">
        <v>1098</v>
      </c>
      <c r="O252" s="5" t="s">
        <v>1100</v>
      </c>
    </row>
    <row r="253" spans="1:15" x14ac:dyDescent="0.25">
      <c r="A253" t="s">
        <v>504</v>
      </c>
      <c r="N253" s="5" t="s">
        <v>1296</v>
      </c>
      <c r="O253" s="5" t="s">
        <v>1100</v>
      </c>
    </row>
    <row r="254" spans="1:15" x14ac:dyDescent="0.25">
      <c r="A254" t="s">
        <v>574</v>
      </c>
      <c r="N254" s="5" t="s">
        <v>1247</v>
      </c>
      <c r="O254" s="5" t="s">
        <v>1248</v>
      </c>
    </row>
    <row r="255" spans="1:15" x14ac:dyDescent="0.25">
      <c r="A255" t="s">
        <v>457</v>
      </c>
      <c r="N255" s="5" t="s">
        <v>766</v>
      </c>
      <c r="O255" s="5" t="s">
        <v>1223</v>
      </c>
    </row>
    <row r="256" spans="1:15" x14ac:dyDescent="0.25">
      <c r="A256" t="s">
        <v>467</v>
      </c>
      <c r="N256" s="5" t="s">
        <v>1100</v>
      </c>
      <c r="O256" s="5" t="s">
        <v>1358</v>
      </c>
    </row>
    <row r="257" spans="1:15" x14ac:dyDescent="0.25">
      <c r="A257" t="s">
        <v>389</v>
      </c>
      <c r="N257" s="5" t="s">
        <v>1392</v>
      </c>
      <c r="O257" s="5" t="s">
        <v>1393</v>
      </c>
    </row>
    <row r="258" spans="1:15" x14ac:dyDescent="0.25">
      <c r="A258" t="s">
        <v>363</v>
      </c>
      <c r="N258" s="5" t="s">
        <v>1239</v>
      </c>
      <c r="O258" s="5" t="s">
        <v>1245</v>
      </c>
    </row>
    <row r="259" spans="1:15" x14ac:dyDescent="0.25">
      <c r="A259" t="s">
        <v>349</v>
      </c>
      <c r="N259" s="5" t="s">
        <v>1023</v>
      </c>
      <c r="O259" s="5" t="s">
        <v>1025</v>
      </c>
    </row>
    <row r="260" spans="1:15" x14ac:dyDescent="0.25">
      <c r="A260" t="s">
        <v>213</v>
      </c>
      <c r="N260" s="5" t="s">
        <v>1291</v>
      </c>
      <c r="O260" s="5" t="s">
        <v>1293</v>
      </c>
    </row>
    <row r="261" spans="1:15" x14ac:dyDescent="0.25">
      <c r="A261" t="s">
        <v>575</v>
      </c>
      <c r="N261" s="5" t="s">
        <v>1192</v>
      </c>
      <c r="O261" s="5" t="s">
        <v>761</v>
      </c>
    </row>
    <row r="262" spans="1:15" x14ac:dyDescent="0.25">
      <c r="A262" t="s">
        <v>461</v>
      </c>
      <c r="N262" s="5" t="s">
        <v>1294</v>
      </c>
      <c r="O262" s="5" t="s">
        <v>1295</v>
      </c>
    </row>
    <row r="263" spans="1:15" x14ac:dyDescent="0.25">
      <c r="A263" t="s">
        <v>473</v>
      </c>
      <c r="N263" s="5" t="s">
        <v>1102</v>
      </c>
      <c r="O263" s="5" t="s">
        <v>1103</v>
      </c>
    </row>
    <row r="264" spans="1:15" x14ac:dyDescent="0.25">
      <c r="A264" t="s">
        <v>397</v>
      </c>
      <c r="N264" s="5" t="s">
        <v>1251</v>
      </c>
      <c r="O264" s="5" t="s">
        <v>1254</v>
      </c>
    </row>
    <row r="265" spans="1:15" x14ac:dyDescent="0.25">
      <c r="A265" t="s">
        <v>492</v>
      </c>
      <c r="N265" s="5" t="s">
        <v>765</v>
      </c>
      <c r="O265" s="5" t="s">
        <v>1078</v>
      </c>
    </row>
    <row r="266" spans="1:15" x14ac:dyDescent="0.25">
      <c r="A266" t="s">
        <v>413</v>
      </c>
      <c r="N266" s="5" t="s">
        <v>1311</v>
      </c>
      <c r="O266" s="5" t="s">
        <v>1314</v>
      </c>
    </row>
    <row r="267" spans="1:15" x14ac:dyDescent="0.25">
      <c r="A267" t="s">
        <v>438</v>
      </c>
      <c r="N267" s="5" t="s">
        <v>1375</v>
      </c>
      <c r="O267" s="5" t="s">
        <v>1376</v>
      </c>
    </row>
    <row r="268" spans="1:15" x14ac:dyDescent="0.25">
      <c r="A268" t="s">
        <v>407</v>
      </c>
      <c r="N268" s="5" t="s">
        <v>1399</v>
      </c>
      <c r="O268" s="5" t="s">
        <v>1401</v>
      </c>
    </row>
    <row r="269" spans="1:15" x14ac:dyDescent="0.25">
      <c r="A269" t="s">
        <v>555</v>
      </c>
      <c r="N269" s="5" t="s">
        <v>1402</v>
      </c>
      <c r="O269" s="5" t="s">
        <v>1403</v>
      </c>
    </row>
    <row r="270" spans="1:15" x14ac:dyDescent="0.25">
      <c r="A270" t="s">
        <v>434</v>
      </c>
      <c r="N270" s="5" t="s">
        <v>767</v>
      </c>
      <c r="O270" s="5" t="s">
        <v>1290</v>
      </c>
    </row>
    <row r="271" spans="1:15" x14ac:dyDescent="0.25">
      <c r="A271" t="s">
        <v>243</v>
      </c>
      <c r="N271" s="5" t="s">
        <v>1364</v>
      </c>
      <c r="O271" s="5" t="s">
        <v>1367</v>
      </c>
    </row>
    <row r="272" spans="1:15" x14ac:dyDescent="0.25">
      <c r="A272" t="s">
        <v>257</v>
      </c>
      <c r="N272" s="5" t="s">
        <v>1119</v>
      </c>
      <c r="O272" s="5" t="s">
        <v>1120</v>
      </c>
    </row>
    <row r="273" spans="1:15" x14ac:dyDescent="0.25">
      <c r="A273" t="s">
        <v>513</v>
      </c>
      <c r="N273" s="5" t="s">
        <v>1098</v>
      </c>
      <c r="O273" s="5" t="s">
        <v>1101</v>
      </c>
    </row>
    <row r="274" spans="1:15" x14ac:dyDescent="0.25">
      <c r="A274" t="s">
        <v>511</v>
      </c>
      <c r="N274" s="5" t="s">
        <v>1055</v>
      </c>
      <c r="O274" s="5" t="s">
        <v>1059</v>
      </c>
    </row>
    <row r="275" spans="1:15" x14ac:dyDescent="0.25">
      <c r="A275" t="s">
        <v>519</v>
      </c>
      <c r="N275" s="5" t="s">
        <v>1123</v>
      </c>
      <c r="O275" s="5" t="s">
        <v>1127</v>
      </c>
    </row>
    <row r="276" spans="1:15" x14ac:dyDescent="0.25">
      <c r="A276" t="s">
        <v>390</v>
      </c>
      <c r="N276" s="5" t="s">
        <v>768</v>
      </c>
      <c r="O276" s="5" t="s">
        <v>1127</v>
      </c>
    </row>
    <row r="277" spans="1:15" x14ac:dyDescent="0.25">
      <c r="A277" t="s">
        <v>341</v>
      </c>
      <c r="N277" s="5" t="s">
        <v>1386</v>
      </c>
      <c r="O277" s="5" t="s">
        <v>1127</v>
      </c>
    </row>
    <row r="278" spans="1:15" x14ac:dyDescent="0.25">
      <c r="A278" t="s">
        <v>501</v>
      </c>
      <c r="N278" s="5" t="s">
        <v>1261</v>
      </c>
      <c r="O278" s="5" t="s">
        <v>1262</v>
      </c>
    </row>
    <row r="279" spans="1:15" x14ac:dyDescent="0.25">
      <c r="A279" t="s">
        <v>219</v>
      </c>
      <c r="N279" s="5" t="s">
        <v>1155</v>
      </c>
      <c r="O279" s="5" t="s">
        <v>1157</v>
      </c>
    </row>
    <row r="280" spans="1:15" x14ac:dyDescent="0.25">
      <c r="A280" t="s">
        <v>456</v>
      </c>
    </row>
    <row r="281" spans="1:15" x14ac:dyDescent="0.25">
      <c r="A281" t="s">
        <v>539</v>
      </c>
    </row>
    <row r="282" spans="1:15" x14ac:dyDescent="0.25">
      <c r="A282" t="s">
        <v>251</v>
      </c>
    </row>
    <row r="283" spans="1:15" x14ac:dyDescent="0.25">
      <c r="A283" t="s">
        <v>538</v>
      </c>
    </row>
    <row r="284" spans="1:15" x14ac:dyDescent="0.25">
      <c r="A284" t="s">
        <v>532</v>
      </c>
    </row>
    <row r="285" spans="1:15" x14ac:dyDescent="0.25">
      <c r="A285" t="s">
        <v>491</v>
      </c>
    </row>
    <row r="286" spans="1:15" x14ac:dyDescent="0.25">
      <c r="A286" t="s">
        <v>524</v>
      </c>
    </row>
    <row r="287" spans="1:15" x14ac:dyDescent="0.25">
      <c r="A287" t="s">
        <v>266</v>
      </c>
    </row>
    <row r="288" spans="1:15" x14ac:dyDescent="0.25">
      <c r="A288" t="s">
        <v>483</v>
      </c>
    </row>
    <row r="289" spans="1:1" x14ac:dyDescent="0.25">
      <c r="A289" t="s">
        <v>447</v>
      </c>
    </row>
    <row r="290" spans="1:1" x14ac:dyDescent="0.25">
      <c r="A290" t="s">
        <v>576</v>
      </c>
    </row>
    <row r="291" spans="1:1" x14ac:dyDescent="0.25">
      <c r="A291" t="s">
        <v>368</v>
      </c>
    </row>
    <row r="292" spans="1:1" x14ac:dyDescent="0.25">
      <c r="A292" t="s">
        <v>596</v>
      </c>
    </row>
    <row r="293" spans="1:1" x14ac:dyDescent="0.25">
      <c r="A293" t="s">
        <v>393</v>
      </c>
    </row>
    <row r="294" spans="1:1" x14ac:dyDescent="0.25">
      <c r="A294" t="s">
        <v>240</v>
      </c>
    </row>
    <row r="295" spans="1:1" x14ac:dyDescent="0.25">
      <c r="A295" t="s">
        <v>425</v>
      </c>
    </row>
    <row r="296" spans="1:1" x14ac:dyDescent="0.25">
      <c r="A296" t="s">
        <v>395</v>
      </c>
    </row>
    <row r="297" spans="1:1" x14ac:dyDescent="0.25">
      <c r="A297" t="s">
        <v>394</v>
      </c>
    </row>
    <row r="298" spans="1:1" x14ac:dyDescent="0.25">
      <c r="A298" t="s">
        <v>597</v>
      </c>
    </row>
    <row r="299" spans="1:1" x14ac:dyDescent="0.25">
      <c r="A299" t="s">
        <v>370</v>
      </c>
    </row>
    <row r="300" spans="1:1" x14ac:dyDescent="0.25">
      <c r="A300" t="s">
        <v>486</v>
      </c>
    </row>
    <row r="301" spans="1:1" x14ac:dyDescent="0.25">
      <c r="A301" t="s">
        <v>181</v>
      </c>
    </row>
    <row r="302" spans="1:1" x14ac:dyDescent="0.25">
      <c r="A302" t="s">
        <v>264</v>
      </c>
    </row>
    <row r="303" spans="1:1" x14ac:dyDescent="0.25">
      <c r="A303" t="s">
        <v>365</v>
      </c>
    </row>
    <row r="304" spans="1:1" x14ac:dyDescent="0.25">
      <c r="A304" t="s">
        <v>529</v>
      </c>
    </row>
    <row r="305" spans="1:1" x14ac:dyDescent="0.25">
      <c r="A305" t="s">
        <v>526</v>
      </c>
    </row>
    <row r="306" spans="1:1" x14ac:dyDescent="0.25">
      <c r="A306" t="s">
        <v>193</v>
      </c>
    </row>
    <row r="307" spans="1:1" x14ac:dyDescent="0.25">
      <c r="A307" t="s">
        <v>376</v>
      </c>
    </row>
    <row r="308" spans="1:1" x14ac:dyDescent="0.25">
      <c r="A308" t="s">
        <v>525</v>
      </c>
    </row>
    <row r="309" spans="1:1" x14ac:dyDescent="0.25">
      <c r="A309" t="s">
        <v>405</v>
      </c>
    </row>
    <row r="310" spans="1:1" x14ac:dyDescent="0.25">
      <c r="A310" t="s">
        <v>577</v>
      </c>
    </row>
    <row r="311" spans="1:1" x14ac:dyDescent="0.25">
      <c r="A311" t="s">
        <v>446</v>
      </c>
    </row>
    <row r="312" spans="1:1" x14ac:dyDescent="0.25">
      <c r="A312" t="s">
        <v>75</v>
      </c>
    </row>
    <row r="313" spans="1:1" x14ac:dyDescent="0.25">
      <c r="A313" t="s">
        <v>503</v>
      </c>
    </row>
    <row r="314" spans="1:1" x14ac:dyDescent="0.25">
      <c r="A314" t="s">
        <v>468</v>
      </c>
    </row>
    <row r="315" spans="1:1" x14ac:dyDescent="0.25">
      <c r="A315" t="s">
        <v>516</v>
      </c>
    </row>
    <row r="316" spans="1:1" x14ac:dyDescent="0.25">
      <c r="A316" t="s">
        <v>536</v>
      </c>
    </row>
    <row r="317" spans="1:1" x14ac:dyDescent="0.25">
      <c r="A317" t="s">
        <v>508</v>
      </c>
    </row>
    <row r="318" spans="1:1" x14ac:dyDescent="0.25">
      <c r="A318" t="s">
        <v>459</v>
      </c>
    </row>
    <row r="319" spans="1:1" x14ac:dyDescent="0.25">
      <c r="A319" t="s">
        <v>553</v>
      </c>
    </row>
    <row r="320" spans="1:1" x14ac:dyDescent="0.25">
      <c r="A320" t="s">
        <v>559</v>
      </c>
    </row>
    <row r="321" spans="1:1" x14ac:dyDescent="0.25">
      <c r="A321" t="s">
        <v>463</v>
      </c>
    </row>
    <row r="322" spans="1:1" x14ac:dyDescent="0.25">
      <c r="A322" t="s">
        <v>552</v>
      </c>
    </row>
    <row r="323" spans="1:1" x14ac:dyDescent="0.25">
      <c r="A323" t="s">
        <v>533</v>
      </c>
    </row>
    <row r="324" spans="1:1" x14ac:dyDescent="0.25">
      <c r="A324" t="s">
        <v>542</v>
      </c>
    </row>
    <row r="325" spans="1:1" x14ac:dyDescent="0.25">
      <c r="A325" t="s">
        <v>277</v>
      </c>
    </row>
    <row r="326" spans="1:1" x14ac:dyDescent="0.25">
      <c r="A326" t="s">
        <v>534</v>
      </c>
    </row>
    <row r="327" spans="1:1" x14ac:dyDescent="0.25">
      <c r="A327" t="s">
        <v>583</v>
      </c>
    </row>
    <row r="328" spans="1:1" x14ac:dyDescent="0.25">
      <c r="A328" t="s">
        <v>480</v>
      </c>
    </row>
    <row r="329" spans="1:1" x14ac:dyDescent="0.25">
      <c r="A329" t="s">
        <v>549</v>
      </c>
    </row>
    <row r="330" spans="1:1" x14ac:dyDescent="0.25">
      <c r="A330" t="s">
        <v>578</v>
      </c>
    </row>
    <row r="331" spans="1:1" x14ac:dyDescent="0.25">
      <c r="A331" t="s">
        <v>514</v>
      </c>
    </row>
    <row r="332" spans="1:1" x14ac:dyDescent="0.25">
      <c r="A332" t="s">
        <v>404</v>
      </c>
    </row>
    <row r="333" spans="1:1" x14ac:dyDescent="0.25">
      <c r="A333" t="s">
        <v>561</v>
      </c>
    </row>
    <row r="334" spans="1:1" x14ac:dyDescent="0.25">
      <c r="A334" t="s">
        <v>579</v>
      </c>
    </row>
    <row r="335" spans="1:1" x14ac:dyDescent="0.25">
      <c r="A335" t="s">
        <v>598</v>
      </c>
    </row>
    <row r="336" spans="1:1" x14ac:dyDescent="0.25">
      <c r="A336" t="s">
        <v>183</v>
      </c>
    </row>
    <row r="337" spans="1:1" x14ac:dyDescent="0.25">
      <c r="A337" t="s">
        <v>291</v>
      </c>
    </row>
    <row r="338" spans="1:1" x14ac:dyDescent="0.25">
      <c r="A338" t="s">
        <v>470</v>
      </c>
    </row>
    <row r="339" spans="1:1" x14ac:dyDescent="0.25">
      <c r="A339" t="s">
        <v>558</v>
      </c>
    </row>
    <row r="340" spans="1:1" x14ac:dyDescent="0.25">
      <c r="A340" t="s">
        <v>497</v>
      </c>
    </row>
    <row r="341" spans="1:1" x14ac:dyDescent="0.25">
      <c r="A341" t="s">
        <v>276</v>
      </c>
    </row>
    <row r="342" spans="1:1" x14ac:dyDescent="0.25">
      <c r="A342" t="s">
        <v>580</v>
      </c>
    </row>
    <row r="343" spans="1:1" x14ac:dyDescent="0.25">
      <c r="A343" t="s">
        <v>488</v>
      </c>
    </row>
    <row r="344" spans="1:1" x14ac:dyDescent="0.25">
      <c r="A344" t="s">
        <v>479</v>
      </c>
    </row>
    <row r="345" spans="1:1" x14ac:dyDescent="0.25">
      <c r="A345" t="s">
        <v>342</v>
      </c>
    </row>
    <row r="346" spans="1:1" x14ac:dyDescent="0.25">
      <c r="A346" t="s">
        <v>474</v>
      </c>
    </row>
    <row r="347" spans="1:1" x14ac:dyDescent="0.25">
      <c r="A347" t="s">
        <v>345</v>
      </c>
    </row>
    <row r="348" spans="1:1" x14ac:dyDescent="0.25">
      <c r="A348" t="s">
        <v>581</v>
      </c>
    </row>
    <row r="349" spans="1:1" x14ac:dyDescent="0.25">
      <c r="A349" t="s">
        <v>271</v>
      </c>
    </row>
    <row r="350" spans="1:1" x14ac:dyDescent="0.25">
      <c r="A350" t="s">
        <v>562</v>
      </c>
    </row>
    <row r="351" spans="1:1" x14ac:dyDescent="0.25">
      <c r="A351" t="s">
        <v>466</v>
      </c>
    </row>
    <row r="352" spans="1:1" x14ac:dyDescent="0.25">
      <c r="A352" t="s">
        <v>599</v>
      </c>
    </row>
    <row r="353" spans="1:1" x14ac:dyDescent="0.25">
      <c r="A353" t="s">
        <v>499</v>
      </c>
    </row>
    <row r="354" spans="1:1" x14ac:dyDescent="0.25">
      <c r="A354" t="s">
        <v>426</v>
      </c>
    </row>
    <row r="355" spans="1:1" x14ac:dyDescent="0.25">
      <c r="A355" t="s">
        <v>475</v>
      </c>
    </row>
    <row r="356" spans="1:1" x14ac:dyDescent="0.25">
      <c r="A356" t="s">
        <v>535</v>
      </c>
    </row>
    <row r="357" spans="1:1" x14ac:dyDescent="0.25">
      <c r="A357" t="s">
        <v>419</v>
      </c>
    </row>
    <row r="358" spans="1:1" x14ac:dyDescent="0.25">
      <c r="A358" t="s">
        <v>487</v>
      </c>
    </row>
    <row r="359" spans="1:1" x14ac:dyDescent="0.25">
      <c r="A359" t="s">
        <v>485</v>
      </c>
    </row>
    <row r="360" spans="1:1" x14ac:dyDescent="0.25">
      <c r="A360" t="s">
        <v>528</v>
      </c>
    </row>
    <row r="361" spans="1:1" x14ac:dyDescent="0.25">
      <c r="A361" t="s">
        <v>418</v>
      </c>
    </row>
    <row r="362" spans="1:1" x14ac:dyDescent="0.25">
      <c r="A362" t="s">
        <v>366</v>
      </c>
    </row>
    <row r="363" spans="1:1" x14ac:dyDescent="0.25">
      <c r="A363" t="s">
        <v>278</v>
      </c>
    </row>
    <row r="364" spans="1:1" x14ac:dyDescent="0.25">
      <c r="A364" t="s">
        <v>79</v>
      </c>
    </row>
    <row r="365" spans="1:1" x14ac:dyDescent="0.25">
      <c r="A365" t="s">
        <v>600</v>
      </c>
    </row>
    <row r="366" spans="1:1" x14ac:dyDescent="0.25">
      <c r="A366" t="s">
        <v>484</v>
      </c>
    </row>
    <row r="367" spans="1:1" x14ac:dyDescent="0.25">
      <c r="A367" t="s">
        <v>250</v>
      </c>
    </row>
    <row r="368" spans="1:1" x14ac:dyDescent="0.25">
      <c r="A368" t="s">
        <v>296</v>
      </c>
    </row>
    <row r="369" spans="1:1" x14ac:dyDescent="0.25">
      <c r="A369" t="s">
        <v>281</v>
      </c>
    </row>
    <row r="370" spans="1:1" x14ac:dyDescent="0.25">
      <c r="A370" t="s">
        <v>478</v>
      </c>
    </row>
    <row r="371" spans="1:1" x14ac:dyDescent="0.25">
      <c r="A371" t="s">
        <v>369</v>
      </c>
    </row>
    <row r="372" spans="1:1" x14ac:dyDescent="0.25">
      <c r="A372" t="s">
        <v>282</v>
      </c>
    </row>
    <row r="373" spans="1:1" x14ac:dyDescent="0.25">
      <c r="A373" t="s">
        <v>186</v>
      </c>
    </row>
    <row r="374" spans="1:1" x14ac:dyDescent="0.25">
      <c r="A374" t="s">
        <v>301</v>
      </c>
    </row>
    <row r="375" spans="1:1" x14ac:dyDescent="0.25">
      <c r="A375" t="s">
        <v>537</v>
      </c>
    </row>
    <row r="376" spans="1:1" x14ac:dyDescent="0.25">
      <c r="A376" t="s">
        <v>601</v>
      </c>
    </row>
    <row r="377" spans="1:1" x14ac:dyDescent="0.25">
      <c r="A377" t="s">
        <v>190</v>
      </c>
    </row>
    <row r="378" spans="1:1" x14ac:dyDescent="0.25">
      <c r="A378" t="s">
        <v>455</v>
      </c>
    </row>
    <row r="379" spans="1:1" x14ac:dyDescent="0.25">
      <c r="A379" t="s">
        <v>454</v>
      </c>
    </row>
    <row r="380" spans="1:1" x14ac:dyDescent="0.25">
      <c r="A380" t="s">
        <v>506</v>
      </c>
    </row>
    <row r="381" spans="1:1" x14ac:dyDescent="0.25">
      <c r="A381" t="s">
        <v>498</v>
      </c>
    </row>
    <row r="382" spans="1:1" x14ac:dyDescent="0.25">
      <c r="A382" t="s">
        <v>496</v>
      </c>
    </row>
    <row r="383" spans="1:1" x14ac:dyDescent="0.25">
      <c r="A383" t="s">
        <v>398</v>
      </c>
    </row>
    <row r="384" spans="1:1" x14ac:dyDescent="0.25">
      <c r="A384" t="s">
        <v>388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6"/>
  <sheetViews>
    <sheetView topLeftCell="A70" workbookViewId="0">
      <selection activeCell="E89" sqref="E89:F89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</cols>
  <sheetData>
    <row r="1" spans="1:6" x14ac:dyDescent="0.25">
      <c r="A1" s="7" t="s">
        <v>1449</v>
      </c>
      <c r="B1" s="7" t="s">
        <v>1450</v>
      </c>
      <c r="C1" s="7" t="s">
        <v>245</v>
      </c>
      <c r="E1" s="23" t="s">
        <v>898</v>
      </c>
      <c r="F1" s="28" t="s">
        <v>1448</v>
      </c>
    </row>
    <row r="2" spans="1:6" x14ac:dyDescent="0.25">
      <c r="A2" s="5" t="s">
        <v>61</v>
      </c>
      <c r="B2" s="5" t="s">
        <v>62</v>
      </c>
      <c r="C2" s="5" t="s">
        <v>61</v>
      </c>
      <c r="E2" s="5" t="s">
        <v>885</v>
      </c>
      <c r="F2" s="27" t="s">
        <v>899</v>
      </c>
    </row>
    <row r="3" spans="1:6" x14ac:dyDescent="0.25">
      <c r="A3" t="s">
        <v>65</v>
      </c>
      <c r="B3" s="5" t="s">
        <v>64</v>
      </c>
      <c r="C3" s="5" t="s">
        <v>65</v>
      </c>
      <c r="E3" s="5" t="s">
        <v>888</v>
      </c>
      <c r="F3" s="27" t="s">
        <v>953</v>
      </c>
    </row>
    <row r="4" spans="1:6" x14ac:dyDescent="0.25">
      <c r="A4" t="s">
        <v>66</v>
      </c>
      <c r="B4" t="s">
        <v>67</v>
      </c>
      <c r="C4" s="5" t="s">
        <v>66</v>
      </c>
      <c r="E4" s="5" t="s">
        <v>842</v>
      </c>
      <c r="F4" s="27" t="s">
        <v>980</v>
      </c>
    </row>
    <row r="5" spans="1:6" x14ac:dyDescent="0.25">
      <c r="A5" t="s">
        <v>68</v>
      </c>
      <c r="B5" t="s">
        <v>386</v>
      </c>
      <c r="C5" s="5" t="s">
        <v>386</v>
      </c>
      <c r="E5" s="5" t="s">
        <v>843</v>
      </c>
      <c r="F5" s="27" t="s">
        <v>1006</v>
      </c>
    </row>
    <row r="6" spans="1:6" x14ac:dyDescent="0.25">
      <c r="A6" t="s">
        <v>69</v>
      </c>
      <c r="B6" t="s">
        <v>70</v>
      </c>
      <c r="C6" s="5" t="s">
        <v>69</v>
      </c>
      <c r="E6" s="5" t="s">
        <v>867</v>
      </c>
      <c r="F6" s="27" t="s">
        <v>1008</v>
      </c>
    </row>
    <row r="7" spans="1:6" x14ac:dyDescent="0.25">
      <c r="A7" t="s">
        <v>71</v>
      </c>
      <c r="B7" t="s">
        <v>72</v>
      </c>
      <c r="C7" s="5" t="s">
        <v>71</v>
      </c>
      <c r="E7" s="5" t="s">
        <v>865</v>
      </c>
      <c r="F7" s="27" t="s">
        <v>935</v>
      </c>
    </row>
    <row r="8" spans="1:6" x14ac:dyDescent="0.25">
      <c r="A8" t="s">
        <v>75</v>
      </c>
      <c r="B8" t="s">
        <v>73</v>
      </c>
      <c r="C8" s="5" t="s">
        <v>75</v>
      </c>
      <c r="E8" s="5" t="s">
        <v>854</v>
      </c>
      <c r="F8" s="27" t="s">
        <v>988</v>
      </c>
    </row>
    <row r="9" spans="1:6" x14ac:dyDescent="0.25">
      <c r="A9" s="5" t="s">
        <v>76</v>
      </c>
      <c r="B9" s="5" t="s">
        <v>77</v>
      </c>
      <c r="C9" s="5" t="s">
        <v>76</v>
      </c>
      <c r="E9" s="5" t="s">
        <v>868</v>
      </c>
      <c r="F9" s="27" t="s">
        <v>993</v>
      </c>
    </row>
    <row r="10" spans="1:6" x14ac:dyDescent="0.25">
      <c r="A10" t="s">
        <v>78</v>
      </c>
      <c r="B10" t="s">
        <v>74</v>
      </c>
      <c r="C10" s="5" t="s">
        <v>78</v>
      </c>
      <c r="E10" s="5" t="s">
        <v>814</v>
      </c>
      <c r="F10" s="27" t="s">
        <v>957</v>
      </c>
    </row>
    <row r="11" spans="1:6" x14ac:dyDescent="0.25">
      <c r="A11" s="5" t="s">
        <v>79</v>
      </c>
      <c r="B11" s="5" t="s">
        <v>63</v>
      </c>
      <c r="C11" s="5" t="s">
        <v>79</v>
      </c>
      <c r="E11" s="5" t="s">
        <v>803</v>
      </c>
      <c r="F11" s="27" t="s">
        <v>947</v>
      </c>
    </row>
    <row r="12" spans="1:6" x14ac:dyDescent="0.25">
      <c r="A12" s="5" t="s">
        <v>80</v>
      </c>
      <c r="B12" s="5" t="s">
        <v>81</v>
      </c>
      <c r="C12" s="5" t="s">
        <v>80</v>
      </c>
      <c r="E12" s="5" t="s">
        <v>894</v>
      </c>
      <c r="F12" s="27" t="s">
        <v>979</v>
      </c>
    </row>
    <row r="13" spans="1:6" x14ac:dyDescent="0.25">
      <c r="A13" t="s">
        <v>101</v>
      </c>
      <c r="B13" t="s">
        <v>102</v>
      </c>
      <c r="C13" s="5" t="s">
        <v>101</v>
      </c>
      <c r="E13" s="5" t="s">
        <v>812</v>
      </c>
      <c r="F13" s="27" t="s">
        <v>902</v>
      </c>
    </row>
    <row r="14" spans="1:6" x14ac:dyDescent="0.25">
      <c r="A14" t="s">
        <v>103</v>
      </c>
      <c r="B14" t="s">
        <v>104</v>
      </c>
      <c r="C14" s="5" t="s">
        <v>103</v>
      </c>
      <c r="E14" s="5" t="s">
        <v>872</v>
      </c>
      <c r="F14" s="27" t="s">
        <v>996</v>
      </c>
    </row>
    <row r="15" spans="1:6" x14ac:dyDescent="0.25">
      <c r="A15" t="s">
        <v>105</v>
      </c>
      <c r="B15" t="s">
        <v>106</v>
      </c>
      <c r="C15" s="5" t="s">
        <v>105</v>
      </c>
      <c r="E15" s="5" t="s">
        <v>896</v>
      </c>
      <c r="F15" s="27" t="s">
        <v>1004</v>
      </c>
    </row>
    <row r="16" spans="1:6" x14ac:dyDescent="0.25">
      <c r="A16" t="s">
        <v>107</v>
      </c>
      <c r="B16" t="s">
        <v>108</v>
      </c>
      <c r="C16" s="5" t="s">
        <v>107</v>
      </c>
      <c r="E16" s="5" t="s">
        <v>811</v>
      </c>
      <c r="F16" s="27" t="s">
        <v>955</v>
      </c>
    </row>
    <row r="17" spans="1:6" x14ac:dyDescent="0.25">
      <c r="A17" t="s">
        <v>99</v>
      </c>
      <c r="B17" t="s">
        <v>100</v>
      </c>
      <c r="C17" s="5" t="s">
        <v>99</v>
      </c>
      <c r="E17" s="5" t="s">
        <v>821</v>
      </c>
      <c r="F17" s="27" t="s">
        <v>963</v>
      </c>
    </row>
    <row r="18" spans="1:6" x14ac:dyDescent="0.25">
      <c r="A18" t="s">
        <v>112</v>
      </c>
      <c r="B18" t="s">
        <v>113</v>
      </c>
      <c r="C18" s="5" t="s">
        <v>112</v>
      </c>
      <c r="E18" s="5" t="s">
        <v>815</v>
      </c>
      <c r="F18" s="27" t="s">
        <v>958</v>
      </c>
    </row>
    <row r="19" spans="1:6" x14ac:dyDescent="0.25">
      <c r="A19" t="s">
        <v>114</v>
      </c>
      <c r="B19" t="s">
        <v>115</v>
      </c>
      <c r="C19" s="5" t="s">
        <v>114</v>
      </c>
      <c r="E19" s="5" t="s">
        <v>879</v>
      </c>
      <c r="F19" s="27" t="s">
        <v>944</v>
      </c>
    </row>
    <row r="20" spans="1:6" x14ac:dyDescent="0.25">
      <c r="A20" t="s">
        <v>116</v>
      </c>
      <c r="B20" t="s">
        <v>117</v>
      </c>
      <c r="C20" s="5" t="s">
        <v>116</v>
      </c>
      <c r="E20" s="5" t="s">
        <v>874</v>
      </c>
      <c r="F20" s="27" t="s">
        <v>939</v>
      </c>
    </row>
    <row r="21" spans="1:6" x14ac:dyDescent="0.25">
      <c r="A21" t="s">
        <v>154</v>
      </c>
      <c r="B21" t="s">
        <v>111</v>
      </c>
      <c r="C21" s="5" t="s">
        <v>154</v>
      </c>
      <c r="E21" s="5" t="s">
        <v>824</v>
      </c>
      <c r="F21" s="27" t="s">
        <v>964</v>
      </c>
    </row>
    <row r="22" spans="1:6" x14ac:dyDescent="0.25">
      <c r="A22" s="5" t="s">
        <v>251</v>
      </c>
      <c r="B22" t="s">
        <v>185</v>
      </c>
      <c r="C22" s="5" t="s">
        <v>251</v>
      </c>
      <c r="E22" s="5" t="s">
        <v>825</v>
      </c>
      <c r="F22" s="27" t="s">
        <v>908</v>
      </c>
    </row>
    <row r="23" spans="1:6" x14ac:dyDescent="0.25">
      <c r="A23" t="s">
        <v>284</v>
      </c>
      <c r="B23" s="15" t="s">
        <v>235</v>
      </c>
      <c r="C23" s="5" t="s">
        <v>284</v>
      </c>
      <c r="E23" s="5" t="s">
        <v>844</v>
      </c>
      <c r="F23" s="27" t="s">
        <v>986</v>
      </c>
    </row>
    <row r="24" spans="1:6" x14ac:dyDescent="0.25">
      <c r="A24" s="15" t="s">
        <v>259</v>
      </c>
      <c r="B24" s="15" t="s">
        <v>260</v>
      </c>
      <c r="C24" s="15" t="s">
        <v>259</v>
      </c>
      <c r="E24" s="5" t="s">
        <v>845</v>
      </c>
      <c r="F24" s="27" t="s">
        <v>981</v>
      </c>
    </row>
    <row r="25" spans="1:6" x14ac:dyDescent="0.25">
      <c r="A25" s="15" t="s">
        <v>285</v>
      </c>
      <c r="B25" s="15" t="s">
        <v>285</v>
      </c>
      <c r="C25" t="s">
        <v>286</v>
      </c>
      <c r="E25" s="5" t="s">
        <v>858</v>
      </c>
      <c r="F25" s="27" t="s">
        <v>930</v>
      </c>
    </row>
    <row r="26" spans="1:6" x14ac:dyDescent="0.25">
      <c r="A26" s="15" t="s">
        <v>182</v>
      </c>
      <c r="B26" s="15" t="s">
        <v>182</v>
      </c>
      <c r="C26" s="5" t="s">
        <v>288</v>
      </c>
      <c r="E26" s="5" t="s">
        <v>828</v>
      </c>
      <c r="F26" s="27" t="s">
        <v>966</v>
      </c>
    </row>
    <row r="27" spans="1:6" x14ac:dyDescent="0.25">
      <c r="A27" s="15" t="s">
        <v>287</v>
      </c>
      <c r="B27" s="15" t="s">
        <v>287</v>
      </c>
      <c r="C27" s="5" t="s">
        <v>287</v>
      </c>
      <c r="E27" s="5" t="s">
        <v>859</v>
      </c>
      <c r="F27" s="27" t="s">
        <v>931</v>
      </c>
    </row>
    <row r="28" spans="1:6" ht="15.75" customHeight="1" x14ac:dyDescent="0.25">
      <c r="A28" s="15" t="s">
        <v>292</v>
      </c>
      <c r="B28" s="15" t="s">
        <v>292</v>
      </c>
      <c r="C28" s="5" t="s">
        <v>289</v>
      </c>
      <c r="E28" s="5" t="s">
        <v>891</v>
      </c>
      <c r="F28" s="27" t="s">
        <v>970</v>
      </c>
    </row>
    <row r="29" spans="1:6" x14ac:dyDescent="0.25">
      <c r="A29" t="s">
        <v>290</v>
      </c>
      <c r="B29" s="15" t="s">
        <v>293</v>
      </c>
      <c r="C29" s="5" t="s">
        <v>290</v>
      </c>
      <c r="E29" s="5" t="s">
        <v>889</v>
      </c>
      <c r="F29" s="27" t="s">
        <v>954</v>
      </c>
    </row>
    <row r="30" spans="1:6" x14ac:dyDescent="0.25">
      <c r="A30" s="15" t="s">
        <v>294</v>
      </c>
      <c r="B30" s="15" t="s">
        <v>294</v>
      </c>
      <c r="C30" s="5" t="s">
        <v>294</v>
      </c>
      <c r="E30" s="5" t="s">
        <v>855</v>
      </c>
      <c r="F30" s="27" t="s">
        <v>989</v>
      </c>
    </row>
    <row r="31" spans="1:6" x14ac:dyDescent="0.25">
      <c r="A31" s="15" t="s">
        <v>295</v>
      </c>
      <c r="B31" s="15" t="s">
        <v>295</v>
      </c>
      <c r="C31" s="5" t="s">
        <v>295</v>
      </c>
      <c r="E31" s="5" t="s">
        <v>884</v>
      </c>
      <c r="F31" s="27" t="s">
        <v>1003</v>
      </c>
    </row>
    <row r="32" spans="1:6" x14ac:dyDescent="0.25">
      <c r="A32" s="15"/>
      <c r="E32" s="27" t="s">
        <v>851</v>
      </c>
      <c r="F32" s="27" t="s">
        <v>924</v>
      </c>
    </row>
    <row r="33" spans="5:6" x14ac:dyDescent="0.25">
      <c r="E33" s="5" t="s">
        <v>816</v>
      </c>
      <c r="F33" s="27" t="s">
        <v>959</v>
      </c>
    </row>
    <row r="34" spans="5:6" x14ac:dyDescent="0.25">
      <c r="E34" s="5" t="s">
        <v>833</v>
      </c>
      <c r="F34" s="27" t="s">
        <v>972</v>
      </c>
    </row>
    <row r="35" spans="5:6" x14ac:dyDescent="0.25">
      <c r="E35" s="5" t="s">
        <v>839</v>
      </c>
      <c r="F35" s="27" t="s">
        <v>977</v>
      </c>
    </row>
    <row r="36" spans="5:6" x14ac:dyDescent="0.25">
      <c r="E36" s="5" t="s">
        <v>804</v>
      </c>
      <c r="F36" s="27" t="s">
        <v>948</v>
      </c>
    </row>
    <row r="37" spans="5:6" x14ac:dyDescent="0.25">
      <c r="E37" s="5" t="s">
        <v>817</v>
      </c>
      <c r="F37" s="27" t="s">
        <v>960</v>
      </c>
    </row>
    <row r="38" spans="5:6" x14ac:dyDescent="0.25">
      <c r="E38" s="5" t="s">
        <v>857</v>
      </c>
      <c r="F38" s="27" t="s">
        <v>991</v>
      </c>
    </row>
    <row r="39" spans="5:6" x14ac:dyDescent="0.25">
      <c r="E39" s="5" t="s">
        <v>862</v>
      </c>
      <c r="F39" s="27" t="s">
        <v>992</v>
      </c>
    </row>
    <row r="40" spans="5:6" x14ac:dyDescent="0.25">
      <c r="E40" s="5" t="s">
        <v>880</v>
      </c>
      <c r="F40" s="27" t="s">
        <v>880</v>
      </c>
    </row>
    <row r="41" spans="5:6" x14ac:dyDescent="0.25">
      <c r="E41" s="5" t="s">
        <v>869</v>
      </c>
      <c r="F41" s="27" t="s">
        <v>937</v>
      </c>
    </row>
    <row r="42" spans="5:6" x14ac:dyDescent="0.25">
      <c r="E42" s="5" t="s">
        <v>806</v>
      </c>
      <c r="F42" s="27" t="s">
        <v>900</v>
      </c>
    </row>
    <row r="43" spans="5:6" x14ac:dyDescent="0.25">
      <c r="E43" s="5" t="s">
        <v>820</v>
      </c>
      <c r="F43" s="27" t="s">
        <v>962</v>
      </c>
    </row>
    <row r="44" spans="5:6" x14ac:dyDescent="0.25">
      <c r="E44" s="5" t="s">
        <v>831</v>
      </c>
      <c r="F44" s="27" t="s">
        <v>968</v>
      </c>
    </row>
    <row r="45" spans="5:6" x14ac:dyDescent="0.25">
      <c r="E45" s="5" t="s">
        <v>870</v>
      </c>
      <c r="F45" s="27" t="s">
        <v>994</v>
      </c>
    </row>
    <row r="46" spans="5:6" x14ac:dyDescent="0.25">
      <c r="E46" s="5" t="s">
        <v>822</v>
      </c>
      <c r="F46" s="27" t="s">
        <v>905</v>
      </c>
    </row>
    <row r="47" spans="5:6" x14ac:dyDescent="0.25">
      <c r="E47" s="5" t="s">
        <v>808</v>
      </c>
      <c r="F47" s="27" t="s">
        <v>909</v>
      </c>
    </row>
    <row r="48" spans="5:6" x14ac:dyDescent="0.25">
      <c r="E48" s="5" t="s">
        <v>856</v>
      </c>
      <c r="F48" s="27" t="s">
        <v>990</v>
      </c>
    </row>
    <row r="49" spans="5:6" x14ac:dyDescent="0.25">
      <c r="E49" s="5" t="s">
        <v>881</v>
      </c>
      <c r="F49" s="27" t="s">
        <v>1000</v>
      </c>
    </row>
    <row r="50" spans="5:6" x14ac:dyDescent="0.25">
      <c r="E50" s="5" t="s">
        <v>850</v>
      </c>
      <c r="F50" s="27" t="s">
        <v>923</v>
      </c>
    </row>
    <row r="51" spans="5:6" x14ac:dyDescent="0.25">
      <c r="E51" s="5" t="s">
        <v>864</v>
      </c>
      <c r="F51" s="27" t="s">
        <v>933</v>
      </c>
    </row>
    <row r="52" spans="5:6" x14ac:dyDescent="0.25">
      <c r="E52" s="5" t="s">
        <v>835</v>
      </c>
      <c r="F52" s="27" t="s">
        <v>918</v>
      </c>
    </row>
    <row r="53" spans="5:6" x14ac:dyDescent="0.25">
      <c r="E53" s="5" t="s">
        <v>826</v>
      </c>
      <c r="F53" s="27" t="s">
        <v>906</v>
      </c>
    </row>
    <row r="54" spans="5:6" x14ac:dyDescent="0.25">
      <c r="E54" s="5" t="s">
        <v>876</v>
      </c>
      <c r="F54" s="27" t="s">
        <v>999</v>
      </c>
    </row>
    <row r="55" spans="5:6" x14ac:dyDescent="0.25">
      <c r="E55" s="5" t="s">
        <v>846</v>
      </c>
      <c r="F55" s="27" t="s">
        <v>982</v>
      </c>
    </row>
    <row r="56" spans="5:6" x14ac:dyDescent="0.25">
      <c r="E56" s="5" t="s">
        <v>838</v>
      </c>
      <c r="F56" s="27" t="s">
        <v>976</v>
      </c>
    </row>
    <row r="57" spans="5:6" x14ac:dyDescent="0.25">
      <c r="E57" s="5" t="s">
        <v>836</v>
      </c>
      <c r="F57" s="27" t="s">
        <v>919</v>
      </c>
    </row>
    <row r="58" spans="5:6" x14ac:dyDescent="0.25">
      <c r="E58" s="5" t="s">
        <v>853</v>
      </c>
      <c r="F58" s="27" t="s">
        <v>987</v>
      </c>
    </row>
    <row r="59" spans="5:6" x14ac:dyDescent="0.25">
      <c r="E59" s="5" t="s">
        <v>818</v>
      </c>
      <c r="F59" s="27" t="s">
        <v>961</v>
      </c>
    </row>
    <row r="60" spans="5:6" x14ac:dyDescent="0.25">
      <c r="E60" s="5" t="s">
        <v>895</v>
      </c>
      <c r="F60" s="27" t="s">
        <v>1001</v>
      </c>
    </row>
    <row r="61" spans="5:6" x14ac:dyDescent="0.25">
      <c r="E61" s="5" t="s">
        <v>873</v>
      </c>
      <c r="F61" s="27" t="s">
        <v>997</v>
      </c>
    </row>
    <row r="62" spans="5:6" x14ac:dyDescent="0.25">
      <c r="E62" s="5" t="s">
        <v>878</v>
      </c>
      <c r="F62" s="27" t="s">
        <v>943</v>
      </c>
    </row>
    <row r="63" spans="5:6" x14ac:dyDescent="0.25">
      <c r="E63" s="5" t="s">
        <v>860</v>
      </c>
      <c r="F63" s="27" t="s">
        <v>932</v>
      </c>
    </row>
    <row r="64" spans="5:6" x14ac:dyDescent="0.25">
      <c r="E64" s="5" t="s">
        <v>863</v>
      </c>
      <c r="F64" s="27" t="s">
        <v>929</v>
      </c>
    </row>
    <row r="65" spans="5:6" x14ac:dyDescent="0.25">
      <c r="E65" s="5" t="s">
        <v>841</v>
      </c>
      <c r="F65" s="27" t="s">
        <v>916</v>
      </c>
    </row>
    <row r="66" spans="5:6" x14ac:dyDescent="0.25">
      <c r="E66" s="5" t="s">
        <v>852</v>
      </c>
      <c r="F66" s="27" t="s">
        <v>927</v>
      </c>
    </row>
    <row r="67" spans="5:6" x14ac:dyDescent="0.25">
      <c r="E67" s="5" t="s">
        <v>827</v>
      </c>
      <c r="F67" s="27" t="s">
        <v>965</v>
      </c>
    </row>
    <row r="68" spans="5:6" x14ac:dyDescent="0.25">
      <c r="E68" s="5" t="s">
        <v>809</v>
      </c>
      <c r="F68" s="27" t="s">
        <v>1005</v>
      </c>
    </row>
    <row r="69" spans="5:6" x14ac:dyDescent="0.25">
      <c r="E69" s="5" t="s">
        <v>813</v>
      </c>
      <c r="F69" s="27" t="s">
        <v>956</v>
      </c>
    </row>
    <row r="70" spans="5:6" x14ac:dyDescent="0.25">
      <c r="E70" s="5" t="s">
        <v>893</v>
      </c>
      <c r="F70" s="27" t="s">
        <v>975</v>
      </c>
    </row>
    <row r="71" spans="5:6" x14ac:dyDescent="0.25">
      <c r="E71" s="5" t="s">
        <v>866</v>
      </c>
      <c r="F71" s="27" t="s">
        <v>1007</v>
      </c>
    </row>
    <row r="72" spans="5:6" x14ac:dyDescent="0.25">
      <c r="E72" s="5" t="s">
        <v>871</v>
      </c>
      <c r="F72" s="27" t="s">
        <v>995</v>
      </c>
    </row>
    <row r="73" spans="5:6" x14ac:dyDescent="0.25">
      <c r="E73" s="5" t="s">
        <v>875</v>
      </c>
      <c r="F73" s="27" t="s">
        <v>998</v>
      </c>
    </row>
    <row r="74" spans="5:6" x14ac:dyDescent="0.25">
      <c r="E74" s="5" t="s">
        <v>886</v>
      </c>
      <c r="F74" s="27" t="s">
        <v>950</v>
      </c>
    </row>
    <row r="75" spans="5:6" x14ac:dyDescent="0.25">
      <c r="E75" s="5" t="s">
        <v>810</v>
      </c>
      <c r="F75" s="27" t="s">
        <v>952</v>
      </c>
    </row>
    <row r="76" spans="5:6" x14ac:dyDescent="0.25">
      <c r="E76" s="5" t="s">
        <v>829</v>
      </c>
      <c r="F76" s="27" t="s">
        <v>967</v>
      </c>
    </row>
    <row r="77" spans="5:6" x14ac:dyDescent="0.25">
      <c r="E77" s="5" t="s">
        <v>832</v>
      </c>
      <c r="F77" s="27" t="s">
        <v>971</v>
      </c>
    </row>
    <row r="78" spans="5:6" x14ac:dyDescent="0.25">
      <c r="E78" s="5" t="s">
        <v>847</v>
      </c>
      <c r="F78" s="27" t="s">
        <v>983</v>
      </c>
    </row>
    <row r="79" spans="5:6" x14ac:dyDescent="0.25">
      <c r="E79" s="5" t="s">
        <v>837</v>
      </c>
      <c r="F79" s="27" t="s">
        <v>917</v>
      </c>
    </row>
    <row r="80" spans="5:6" x14ac:dyDescent="0.25">
      <c r="E80" s="5" t="s">
        <v>848</v>
      </c>
      <c r="F80" s="27" t="s">
        <v>984</v>
      </c>
    </row>
    <row r="81" spans="5:6" x14ac:dyDescent="0.25">
      <c r="E81" s="5" t="s">
        <v>890</v>
      </c>
      <c r="F81" s="27" t="s">
        <v>904</v>
      </c>
    </row>
    <row r="82" spans="5:6" x14ac:dyDescent="0.25">
      <c r="E82" s="5" t="s">
        <v>805</v>
      </c>
      <c r="F82" s="27" t="s">
        <v>949</v>
      </c>
    </row>
    <row r="83" spans="5:6" x14ac:dyDescent="0.25">
      <c r="E83" s="5" t="s">
        <v>892</v>
      </c>
      <c r="F83" s="27" t="s">
        <v>973</v>
      </c>
    </row>
    <row r="84" spans="5:6" x14ac:dyDescent="0.25">
      <c r="E84" s="5" t="s">
        <v>897</v>
      </c>
      <c r="F84" s="27" t="s">
        <v>946</v>
      </c>
    </row>
    <row r="85" spans="5:6" x14ac:dyDescent="0.25">
      <c r="E85" s="5" t="s">
        <v>819</v>
      </c>
      <c r="F85" s="27" t="s">
        <v>903</v>
      </c>
    </row>
    <row r="86" spans="5:6" x14ac:dyDescent="0.25">
      <c r="E86" s="5" t="s">
        <v>887</v>
      </c>
      <c r="F86" s="27" t="s">
        <v>951</v>
      </c>
    </row>
    <row r="87" spans="5:6" x14ac:dyDescent="0.25">
      <c r="E87" s="27" t="s">
        <v>834</v>
      </c>
      <c r="F87" s="27" t="s">
        <v>974</v>
      </c>
    </row>
    <row r="88" spans="5:6" x14ac:dyDescent="0.25">
      <c r="E88" s="5" t="s">
        <v>823</v>
      </c>
      <c r="F88" s="27" t="s">
        <v>907</v>
      </c>
    </row>
    <row r="89" spans="5:6" x14ac:dyDescent="0.25">
      <c r="E89" s="27" t="s">
        <v>840</v>
      </c>
      <c r="F89" s="27" t="s">
        <v>978</v>
      </c>
    </row>
    <row r="90" spans="5:6" x14ac:dyDescent="0.25">
      <c r="E90" s="5" t="s">
        <v>882</v>
      </c>
      <c r="F90" s="27" t="s">
        <v>945</v>
      </c>
    </row>
    <row r="91" spans="5:6" x14ac:dyDescent="0.25">
      <c r="E91" s="5" t="s">
        <v>877</v>
      </c>
      <c r="F91" s="27" t="s">
        <v>942</v>
      </c>
    </row>
    <row r="92" spans="5:6" x14ac:dyDescent="0.25">
      <c r="E92" s="5" t="s">
        <v>861</v>
      </c>
      <c r="F92" s="27" t="s">
        <v>928</v>
      </c>
    </row>
    <row r="93" spans="5:6" x14ac:dyDescent="0.25">
      <c r="E93" s="5" t="s">
        <v>849</v>
      </c>
      <c r="F93" s="27" t="s">
        <v>985</v>
      </c>
    </row>
    <row r="94" spans="5:6" x14ac:dyDescent="0.25">
      <c r="E94" s="5" t="s">
        <v>883</v>
      </c>
      <c r="F94" s="27" t="s">
        <v>1002</v>
      </c>
    </row>
    <row r="95" spans="5:6" x14ac:dyDescent="0.25">
      <c r="E95" s="5" t="s">
        <v>807</v>
      </c>
      <c r="F95" s="27" t="s">
        <v>901</v>
      </c>
    </row>
    <row r="96" spans="5:6" x14ac:dyDescent="0.25">
      <c r="E96" s="5" t="s">
        <v>830</v>
      </c>
      <c r="F96" s="27" t="s">
        <v>911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7" sqref="B7"/>
    </sheetView>
  </sheetViews>
  <sheetFormatPr defaultRowHeight="15" x14ac:dyDescent="0.25"/>
  <cols>
    <col min="1" max="1" width="20.42578125" bestFit="1" customWidth="1"/>
    <col min="2" max="2" width="42.42578125" customWidth="1"/>
    <col min="4" max="4" width="12.7109375" bestFit="1" customWidth="1"/>
  </cols>
  <sheetData>
    <row r="1" spans="1:5" s="5" customFormat="1" x14ac:dyDescent="0.25">
      <c r="A1" s="5" t="s">
        <v>165</v>
      </c>
      <c r="B1" s="5" t="s">
        <v>166</v>
      </c>
      <c r="C1" s="5" t="s">
        <v>167</v>
      </c>
      <c r="D1" s="5" t="s">
        <v>168</v>
      </c>
      <c r="E1" s="5" t="s">
        <v>169</v>
      </c>
    </row>
    <row r="2" spans="1:5" x14ac:dyDescent="0.25">
      <c r="A2" t="s">
        <v>531</v>
      </c>
      <c r="B2" t="s">
        <v>711</v>
      </c>
      <c r="C2" t="s">
        <v>156</v>
      </c>
      <c r="D2" s="9">
        <v>426.65625</v>
      </c>
      <c r="E2">
        <v>8400</v>
      </c>
    </row>
    <row r="3" spans="1:5" x14ac:dyDescent="0.25">
      <c r="A3" t="s">
        <v>303</v>
      </c>
      <c r="B3" t="s">
        <v>706</v>
      </c>
      <c r="C3" t="s">
        <v>157</v>
      </c>
      <c r="D3" s="9">
        <v>435.796875</v>
      </c>
      <c r="E3">
        <v>4300</v>
      </c>
    </row>
    <row r="4" spans="1:5" x14ac:dyDescent="0.25">
      <c r="A4" t="s">
        <v>573</v>
      </c>
      <c r="B4" t="s">
        <v>712</v>
      </c>
      <c r="C4" t="s">
        <v>159</v>
      </c>
      <c r="D4" s="9">
        <v>-1080.16961528</v>
      </c>
      <c r="E4">
        <v>8200</v>
      </c>
    </row>
    <row r="5" spans="1:5" x14ac:dyDescent="0.25">
      <c r="A5" t="s">
        <v>359</v>
      </c>
      <c r="B5" t="s">
        <v>707</v>
      </c>
      <c r="C5" t="s">
        <v>155</v>
      </c>
      <c r="D5" s="9">
        <v>430.875</v>
      </c>
      <c r="E5">
        <v>4600</v>
      </c>
    </row>
    <row r="6" spans="1:5" x14ac:dyDescent="0.25">
      <c r="A6" t="s">
        <v>386</v>
      </c>
      <c r="B6" t="s">
        <v>708</v>
      </c>
      <c r="C6" t="s">
        <v>156</v>
      </c>
      <c r="D6" s="9">
        <v>627.299319728</v>
      </c>
      <c r="E6">
        <v>9800</v>
      </c>
    </row>
    <row r="7" spans="1:5" x14ac:dyDescent="0.25">
      <c r="A7" t="s">
        <v>470</v>
      </c>
      <c r="B7" t="s">
        <v>708</v>
      </c>
      <c r="C7" t="s">
        <v>157</v>
      </c>
      <c r="D7" s="9">
        <v>470.68027210899999</v>
      </c>
      <c r="E7">
        <v>4400</v>
      </c>
    </row>
    <row r="8" spans="1:5" x14ac:dyDescent="0.25">
      <c r="A8" t="s">
        <v>709</v>
      </c>
      <c r="B8" t="s">
        <v>708</v>
      </c>
      <c r="C8" t="s">
        <v>158</v>
      </c>
      <c r="D8" s="9">
        <v>401.95918367299998</v>
      </c>
      <c r="E8">
        <v>5500</v>
      </c>
    </row>
    <row r="9" spans="1:5" x14ac:dyDescent="0.25">
      <c r="A9" t="s">
        <v>468</v>
      </c>
      <c r="B9" t="s">
        <v>708</v>
      </c>
      <c r="C9" t="s">
        <v>155</v>
      </c>
      <c r="D9" s="9">
        <v>482.05442176899999</v>
      </c>
      <c r="E9">
        <v>4700</v>
      </c>
    </row>
    <row r="10" spans="1:5" x14ac:dyDescent="0.25">
      <c r="A10" t="s">
        <v>656</v>
      </c>
      <c r="B10" t="s">
        <v>710</v>
      </c>
      <c r="C10" t="s">
        <v>158</v>
      </c>
      <c r="D10" s="9">
        <v>499.49387755100003</v>
      </c>
      <c r="E10">
        <v>4800</v>
      </c>
    </row>
    <row r="11" spans="1:5" x14ac:dyDescent="0.25">
      <c r="D11" s="9"/>
    </row>
    <row r="14" spans="1:5" x14ac:dyDescent="0.25">
      <c r="A14" s="5"/>
    </row>
    <row r="15" spans="1:5" x14ac:dyDescent="0.25">
      <c r="A15" s="5"/>
    </row>
    <row r="16" spans="1:5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316</v>
      </c>
      <c r="B1" s="16" t="s">
        <v>315</v>
      </c>
      <c r="C1" s="5" t="s">
        <v>109</v>
      </c>
      <c r="D1" s="5" t="s">
        <v>318</v>
      </c>
      <c r="E1" t="s">
        <v>119</v>
      </c>
      <c r="F1" t="s">
        <v>120</v>
      </c>
      <c r="G1" t="s">
        <v>317</v>
      </c>
    </row>
    <row r="2" spans="1:7" s="5" customFormat="1" x14ac:dyDescent="0.25">
      <c r="A2" s="5">
        <v>10196255</v>
      </c>
      <c r="B2" s="16">
        <v>42034</v>
      </c>
      <c r="C2" s="5" t="s">
        <v>226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227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310</v>
      </c>
      <c r="C4" t="s">
        <v>311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310</v>
      </c>
      <c r="C5" t="s">
        <v>312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310</v>
      </c>
      <c r="C6" t="s">
        <v>314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310</v>
      </c>
      <c r="C7" t="s">
        <v>313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323</v>
      </c>
      <c r="C8" s="1" t="s">
        <v>324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323</v>
      </c>
      <c r="C9" t="s">
        <v>325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323</v>
      </c>
      <c r="C10" t="s">
        <v>326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323</v>
      </c>
      <c r="C11" t="s">
        <v>327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323</v>
      </c>
      <c r="C12" t="s">
        <v>328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323</v>
      </c>
      <c r="C13" t="s">
        <v>329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323</v>
      </c>
      <c r="C14" t="s">
        <v>330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323</v>
      </c>
      <c r="C15" t="s">
        <v>331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323</v>
      </c>
      <c r="C16" t="s">
        <v>332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323</v>
      </c>
      <c r="C17" t="s">
        <v>333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323</v>
      </c>
      <c r="C18" t="s">
        <v>334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323</v>
      </c>
      <c r="C19" t="s">
        <v>328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323</v>
      </c>
      <c r="C20" t="s">
        <v>335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316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228</v>
      </c>
      <c r="H1" s="5" t="s">
        <v>161</v>
      </c>
      <c r="I1" s="5" t="s">
        <v>246</v>
      </c>
      <c r="J1" s="14" t="s">
        <v>121</v>
      </c>
      <c r="K1" s="14" t="s">
        <v>298</v>
      </c>
      <c r="L1" s="5" t="s">
        <v>175</v>
      </c>
      <c r="M1" s="5" t="s">
        <v>174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zoomScale="85" zoomScaleNormal="85" workbookViewId="0">
      <selection activeCell="H1" sqref="H1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1446</v>
      </c>
      <c r="F1" s="5" t="s">
        <v>123</v>
      </c>
      <c r="G1" s="5" t="s">
        <v>1445</v>
      </c>
      <c r="H1" s="5" t="s">
        <v>1494</v>
      </c>
      <c r="J1" t="s">
        <v>782</v>
      </c>
      <c r="L1" s="5" t="s">
        <v>123</v>
      </c>
      <c r="M1" s="5" t="s">
        <v>1447</v>
      </c>
    </row>
    <row r="2" spans="1:13" x14ac:dyDescent="0.25">
      <c r="A2" t="s">
        <v>124</v>
      </c>
      <c r="B2">
        <v>13</v>
      </c>
      <c r="C2" t="s">
        <v>691</v>
      </c>
      <c r="F2" s="5" t="s">
        <v>146</v>
      </c>
      <c r="G2" s="5" t="s">
        <v>662</v>
      </c>
      <c r="H2" s="2" t="s">
        <v>1483</v>
      </c>
      <c r="I2" s="2"/>
      <c r="J2" s="30"/>
      <c r="M2" s="5" t="s">
        <v>1411</v>
      </c>
    </row>
    <row r="3" spans="1:13" x14ac:dyDescent="0.25">
      <c r="A3" t="s">
        <v>152</v>
      </c>
      <c r="B3">
        <v>14</v>
      </c>
      <c r="C3" t="s">
        <v>681</v>
      </c>
      <c r="F3" s="5" t="s">
        <v>783</v>
      </c>
      <c r="G3" s="5" t="s">
        <v>1426</v>
      </c>
      <c r="H3" s="2" t="s">
        <v>1486</v>
      </c>
      <c r="I3" s="2"/>
      <c r="J3" s="30"/>
      <c r="M3" s="5" t="s">
        <v>1418</v>
      </c>
    </row>
    <row r="4" spans="1:13" x14ac:dyDescent="0.25">
      <c r="A4" t="s">
        <v>126</v>
      </c>
      <c r="B4">
        <v>15</v>
      </c>
      <c r="C4" t="s">
        <v>667</v>
      </c>
      <c r="F4" s="5" t="s">
        <v>784</v>
      </c>
      <c r="G4" s="5" t="s">
        <v>1411</v>
      </c>
      <c r="H4" s="2" t="s">
        <v>1477</v>
      </c>
      <c r="I4" s="2"/>
      <c r="J4" s="30"/>
      <c r="M4" s="5" t="s">
        <v>678</v>
      </c>
    </row>
    <row r="5" spans="1:13" x14ac:dyDescent="0.25">
      <c r="A5" t="s">
        <v>133</v>
      </c>
      <c r="B5">
        <v>16</v>
      </c>
      <c r="C5" t="s">
        <v>682</v>
      </c>
      <c r="F5" s="5" t="s">
        <v>125</v>
      </c>
      <c r="G5" s="5" t="s">
        <v>688</v>
      </c>
      <c r="H5" s="2" t="s">
        <v>1492</v>
      </c>
      <c r="I5" s="2"/>
      <c r="J5" s="30"/>
      <c r="M5" s="5" t="s">
        <v>666</v>
      </c>
    </row>
    <row r="6" spans="1:13" x14ac:dyDescent="0.25">
      <c r="A6" t="s">
        <v>127</v>
      </c>
      <c r="B6">
        <v>17</v>
      </c>
      <c r="C6" t="s">
        <v>672</v>
      </c>
      <c r="F6" s="5" t="s">
        <v>785</v>
      </c>
      <c r="G6" s="5" t="s">
        <v>1409</v>
      </c>
      <c r="H6" s="2" t="s">
        <v>1478</v>
      </c>
      <c r="I6" s="2"/>
      <c r="J6" s="30"/>
      <c r="M6" s="5" t="s">
        <v>684</v>
      </c>
    </row>
    <row r="7" spans="1:13" x14ac:dyDescent="0.25">
      <c r="A7" t="s">
        <v>128</v>
      </c>
      <c r="B7">
        <v>18</v>
      </c>
      <c r="C7" t="s">
        <v>679</v>
      </c>
      <c r="F7" s="5" t="s">
        <v>786</v>
      </c>
      <c r="G7" s="5" t="s">
        <v>684</v>
      </c>
      <c r="H7" s="2" t="s">
        <v>1476</v>
      </c>
      <c r="I7" s="2"/>
      <c r="J7" s="30"/>
      <c r="M7" s="5" t="s">
        <v>1414</v>
      </c>
    </row>
    <row r="8" spans="1:13" x14ac:dyDescent="0.25">
      <c r="A8" t="s">
        <v>129</v>
      </c>
      <c r="B8">
        <v>19</v>
      </c>
      <c r="C8" t="s">
        <v>678</v>
      </c>
      <c r="F8" s="5" t="s">
        <v>145</v>
      </c>
      <c r="G8" s="5" t="s">
        <v>674</v>
      </c>
      <c r="H8" s="2" t="s">
        <v>1472</v>
      </c>
      <c r="I8" s="2"/>
      <c r="J8" s="30"/>
      <c r="M8" s="5" t="s">
        <v>667</v>
      </c>
    </row>
    <row r="9" spans="1:13" x14ac:dyDescent="0.25">
      <c r="A9" t="s">
        <v>130</v>
      </c>
      <c r="B9">
        <v>20</v>
      </c>
      <c r="C9" t="s">
        <v>689</v>
      </c>
      <c r="F9" s="5" t="s">
        <v>150</v>
      </c>
      <c r="G9" t="s">
        <v>666</v>
      </c>
      <c r="H9" s="2" t="s">
        <v>1465</v>
      </c>
      <c r="I9" s="2"/>
      <c r="J9" s="30"/>
      <c r="M9" s="5" t="s">
        <v>1430</v>
      </c>
    </row>
    <row r="10" spans="1:13" x14ac:dyDescent="0.25">
      <c r="A10" t="s">
        <v>134</v>
      </c>
      <c r="B10">
        <v>21</v>
      </c>
      <c r="C10" t="s">
        <v>663</v>
      </c>
      <c r="F10" s="5" t="s">
        <v>138</v>
      </c>
      <c r="G10" s="5" t="s">
        <v>665</v>
      </c>
      <c r="H10" s="2" t="s">
        <v>1467</v>
      </c>
      <c r="I10" s="2"/>
      <c r="J10" s="30"/>
      <c r="M10" s="5" t="s">
        <v>1435</v>
      </c>
    </row>
    <row r="11" spans="1:13" x14ac:dyDescent="0.25">
      <c r="A11" t="s">
        <v>131</v>
      </c>
      <c r="B11" s="5">
        <v>22</v>
      </c>
      <c r="C11" t="s">
        <v>670</v>
      </c>
      <c r="F11" s="5" t="s">
        <v>787</v>
      </c>
      <c r="G11" s="5" t="s">
        <v>1419</v>
      </c>
      <c r="H11" s="2" t="s">
        <v>1479</v>
      </c>
      <c r="I11" s="2"/>
      <c r="J11" s="30"/>
      <c r="M11" s="5" t="s">
        <v>1409</v>
      </c>
    </row>
    <row r="12" spans="1:13" x14ac:dyDescent="0.25">
      <c r="A12" t="s">
        <v>132</v>
      </c>
      <c r="B12" s="5">
        <v>23</v>
      </c>
      <c r="C12" t="s">
        <v>664</v>
      </c>
      <c r="F12" s="5" t="s">
        <v>788</v>
      </c>
      <c r="G12" s="5" t="s">
        <v>1421</v>
      </c>
      <c r="H12" s="2" t="s">
        <v>1473</v>
      </c>
      <c r="I12" s="2"/>
      <c r="J12" s="30"/>
      <c r="M12" s="5" t="s">
        <v>1436</v>
      </c>
    </row>
    <row r="13" spans="1:13" x14ac:dyDescent="0.25">
      <c r="A13" t="s">
        <v>135</v>
      </c>
      <c r="B13" s="5">
        <v>24</v>
      </c>
      <c r="C13" t="s">
        <v>673</v>
      </c>
      <c r="F13" s="5" t="s">
        <v>789</v>
      </c>
      <c r="G13" s="5" t="s">
        <v>1414</v>
      </c>
      <c r="H13" s="2" t="s">
        <v>1470</v>
      </c>
      <c r="I13" s="2"/>
      <c r="J13" s="30"/>
      <c r="M13" s="5" t="s">
        <v>664</v>
      </c>
    </row>
    <row r="14" spans="1:13" x14ac:dyDescent="0.25">
      <c r="A14" t="s">
        <v>136</v>
      </c>
      <c r="B14" s="5">
        <v>25</v>
      </c>
      <c r="C14" t="s">
        <v>676</v>
      </c>
      <c r="F14" s="5" t="s">
        <v>130</v>
      </c>
      <c r="G14" s="5" t="s">
        <v>689</v>
      </c>
      <c r="H14" s="2" t="s">
        <v>1469</v>
      </c>
      <c r="I14" s="2"/>
      <c r="J14" s="30"/>
      <c r="M14" s="5" t="s">
        <v>1437</v>
      </c>
    </row>
    <row r="15" spans="1:13" x14ac:dyDescent="0.25">
      <c r="A15" t="s">
        <v>137</v>
      </c>
      <c r="B15" s="5">
        <v>26</v>
      </c>
      <c r="C15" t="s">
        <v>690</v>
      </c>
      <c r="F15" s="5" t="s">
        <v>790</v>
      </c>
      <c r="G15" s="5" t="s">
        <v>1415</v>
      </c>
      <c r="H15" s="2" t="s">
        <v>1489</v>
      </c>
      <c r="I15" s="2"/>
      <c r="J15" s="30"/>
      <c r="M15" s="5" t="s">
        <v>674</v>
      </c>
    </row>
    <row r="16" spans="1:13" x14ac:dyDescent="0.25">
      <c r="A16" t="s">
        <v>138</v>
      </c>
      <c r="B16" s="5">
        <v>27</v>
      </c>
      <c r="C16" t="s">
        <v>665</v>
      </c>
      <c r="F16" s="5" t="s">
        <v>148</v>
      </c>
      <c r="G16" s="5" t="s">
        <v>677</v>
      </c>
      <c r="H16" s="2" t="s">
        <v>1493</v>
      </c>
      <c r="I16" s="2"/>
      <c r="J16" s="30"/>
      <c r="M16" s="5" t="s">
        <v>1438</v>
      </c>
    </row>
    <row r="17" spans="1:13" x14ac:dyDescent="0.25">
      <c r="A17" t="s">
        <v>139</v>
      </c>
      <c r="B17" s="5">
        <v>28</v>
      </c>
      <c r="C17" t="s">
        <v>675</v>
      </c>
      <c r="F17" s="5" t="s">
        <v>791</v>
      </c>
      <c r="G17" s="5" t="s">
        <v>1410</v>
      </c>
      <c r="H17" s="5" t="s">
        <v>1466</v>
      </c>
      <c r="J17" s="30"/>
      <c r="M17" s="5" t="s">
        <v>1433</v>
      </c>
    </row>
    <row r="18" spans="1:13" x14ac:dyDescent="0.25">
      <c r="A18" t="s">
        <v>140</v>
      </c>
      <c r="B18" s="5">
        <v>29</v>
      </c>
      <c r="C18" t="s">
        <v>671</v>
      </c>
      <c r="F18" s="5" t="s">
        <v>792</v>
      </c>
      <c r="G18" s="5" t="s">
        <v>1425</v>
      </c>
      <c r="H18" s="2" t="s">
        <v>1481</v>
      </c>
      <c r="J18" s="30"/>
      <c r="M18" s="5" t="s">
        <v>1416</v>
      </c>
    </row>
    <row r="19" spans="1:13" x14ac:dyDescent="0.25">
      <c r="A19" t="s">
        <v>141</v>
      </c>
      <c r="B19" s="5">
        <v>30</v>
      </c>
      <c r="C19" t="s">
        <v>668</v>
      </c>
      <c r="F19" s="5" t="s">
        <v>132</v>
      </c>
      <c r="G19" s="5" t="s">
        <v>664</v>
      </c>
      <c r="H19" s="2" t="s">
        <v>1468</v>
      </c>
      <c r="J19" s="30"/>
      <c r="M19" s="5" t="s">
        <v>1432</v>
      </c>
    </row>
    <row r="20" spans="1:13" x14ac:dyDescent="0.25">
      <c r="A20" t="s">
        <v>142</v>
      </c>
      <c r="B20" s="5">
        <v>31</v>
      </c>
      <c r="C20" t="s">
        <v>683</v>
      </c>
      <c r="F20" s="5" t="s">
        <v>793</v>
      </c>
      <c r="G20" s="5" t="s">
        <v>1422</v>
      </c>
      <c r="H20" s="2" t="s">
        <v>1480</v>
      </c>
      <c r="J20" s="30"/>
      <c r="M20" s="5" t="s">
        <v>1428</v>
      </c>
    </row>
    <row r="21" spans="1:13" x14ac:dyDescent="0.25">
      <c r="A21" t="s">
        <v>143</v>
      </c>
      <c r="B21" s="5">
        <v>32</v>
      </c>
      <c r="C21" t="s">
        <v>669</v>
      </c>
      <c r="F21" s="5" t="s">
        <v>794</v>
      </c>
      <c r="G21" s="5" t="s">
        <v>1412</v>
      </c>
      <c r="H21" s="5" t="s">
        <v>1475</v>
      </c>
      <c r="J21" s="30"/>
      <c r="M21" s="5" t="s">
        <v>1429</v>
      </c>
    </row>
    <row r="22" spans="1:13" x14ac:dyDescent="0.25">
      <c r="A22" t="s">
        <v>144</v>
      </c>
      <c r="B22" s="5">
        <v>33</v>
      </c>
      <c r="C22" t="s">
        <v>685</v>
      </c>
      <c r="F22" s="5" t="s">
        <v>795</v>
      </c>
      <c r="G22" s="5" t="s">
        <v>1423</v>
      </c>
      <c r="H22" s="2" t="s">
        <v>1485</v>
      </c>
      <c r="J22" s="30"/>
      <c r="M22" s="5" t="s">
        <v>1431</v>
      </c>
    </row>
    <row r="23" spans="1:13" x14ac:dyDescent="0.25">
      <c r="A23" t="s">
        <v>145</v>
      </c>
      <c r="B23" s="5">
        <v>34</v>
      </c>
      <c r="C23" t="s">
        <v>674</v>
      </c>
      <c r="F23" s="5" t="s">
        <v>126</v>
      </c>
      <c r="G23" s="5" t="s">
        <v>667</v>
      </c>
      <c r="H23" s="2" t="s">
        <v>1471</v>
      </c>
      <c r="J23" s="30"/>
      <c r="M23" s="5" t="s">
        <v>670</v>
      </c>
    </row>
    <row r="24" spans="1:13" x14ac:dyDescent="0.25">
      <c r="A24" t="s">
        <v>125</v>
      </c>
      <c r="B24" s="5">
        <v>35</v>
      </c>
      <c r="C24" t="s">
        <v>688</v>
      </c>
      <c r="F24" s="5" t="s">
        <v>796</v>
      </c>
      <c r="G24" s="5" t="s">
        <v>686</v>
      </c>
      <c r="H24" s="2" t="s">
        <v>1474</v>
      </c>
      <c r="J24" s="30"/>
      <c r="M24" s="5" t="s">
        <v>1434</v>
      </c>
    </row>
    <row r="25" spans="1:13" x14ac:dyDescent="0.25">
      <c r="A25" t="s">
        <v>146</v>
      </c>
      <c r="B25" s="5">
        <v>36</v>
      </c>
      <c r="C25" t="s">
        <v>662</v>
      </c>
      <c r="F25" s="5" t="s">
        <v>757</v>
      </c>
      <c r="G25" s="5" t="s">
        <v>1427</v>
      </c>
      <c r="H25" s="2" t="s">
        <v>1491</v>
      </c>
      <c r="J25" s="30"/>
      <c r="M25" s="5" t="s">
        <v>1439</v>
      </c>
    </row>
    <row r="26" spans="1:13" x14ac:dyDescent="0.25">
      <c r="A26" t="s">
        <v>147</v>
      </c>
      <c r="B26" s="5">
        <v>37</v>
      </c>
      <c r="C26" t="s">
        <v>687</v>
      </c>
      <c r="F26" s="5" t="s">
        <v>797</v>
      </c>
      <c r="G26" s="5" t="s">
        <v>1413</v>
      </c>
      <c r="H26" s="2" t="s">
        <v>1484</v>
      </c>
      <c r="J26" s="30"/>
      <c r="M26" s="5" t="s">
        <v>1440</v>
      </c>
    </row>
    <row r="27" spans="1:13" x14ac:dyDescent="0.25">
      <c r="A27" t="s">
        <v>148</v>
      </c>
      <c r="B27" s="5">
        <v>38</v>
      </c>
      <c r="C27" t="s">
        <v>677</v>
      </c>
      <c r="F27" s="5" t="s">
        <v>798</v>
      </c>
      <c r="G27" s="5" t="s">
        <v>1420</v>
      </c>
      <c r="H27" s="2" t="s">
        <v>1495</v>
      </c>
      <c r="J27" s="30"/>
      <c r="M27" s="5" t="s">
        <v>1441</v>
      </c>
    </row>
    <row r="28" spans="1:13" x14ac:dyDescent="0.25">
      <c r="A28" t="s">
        <v>149</v>
      </c>
      <c r="B28" s="5">
        <v>39</v>
      </c>
      <c r="C28" t="s">
        <v>686</v>
      </c>
      <c r="F28" s="5" t="s">
        <v>799</v>
      </c>
      <c r="G28" s="5" t="s">
        <v>1418</v>
      </c>
      <c r="H28" s="2" t="s">
        <v>1487</v>
      </c>
      <c r="J28" s="30"/>
      <c r="M28" s="5" t="s">
        <v>1442</v>
      </c>
    </row>
    <row r="29" spans="1:13" x14ac:dyDescent="0.25">
      <c r="A29" t="s">
        <v>150</v>
      </c>
      <c r="B29" s="5">
        <v>40</v>
      </c>
      <c r="C29" t="s">
        <v>666</v>
      </c>
      <c r="F29" s="5" t="s">
        <v>800</v>
      </c>
      <c r="G29" s="5" t="s">
        <v>1416</v>
      </c>
      <c r="H29" s="2" t="s">
        <v>1488</v>
      </c>
      <c r="J29" s="30"/>
      <c r="M29" s="5" t="s">
        <v>1443</v>
      </c>
    </row>
    <row r="30" spans="1:13" x14ac:dyDescent="0.25">
      <c r="A30" t="s">
        <v>151</v>
      </c>
      <c r="B30" s="5">
        <v>41</v>
      </c>
      <c r="C30" t="s">
        <v>680</v>
      </c>
      <c r="F30" s="5" t="s">
        <v>801</v>
      </c>
      <c r="G30" s="5" t="s">
        <v>1417</v>
      </c>
      <c r="H30" s="2" t="s">
        <v>1482</v>
      </c>
      <c r="J30" s="30"/>
      <c r="M30" s="5" t="s">
        <v>1444</v>
      </c>
    </row>
    <row r="31" spans="1:13" x14ac:dyDescent="0.25">
      <c r="A31" t="s">
        <v>422</v>
      </c>
      <c r="B31" s="5">
        <v>42</v>
      </c>
      <c r="C31" t="s">
        <v>684</v>
      </c>
      <c r="F31" s="5" t="s">
        <v>802</v>
      </c>
      <c r="G31" s="5" t="s">
        <v>1424</v>
      </c>
      <c r="H31" s="2" t="s">
        <v>1490</v>
      </c>
      <c r="J31" s="30"/>
      <c r="M31" s="5" t="s">
        <v>665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79"/>
  <sheetViews>
    <sheetView tabSelected="1" zoomScale="85" zoomScaleNormal="85" workbookViewId="0">
      <selection activeCell="A3" sqref="A3"/>
    </sheetView>
  </sheetViews>
  <sheetFormatPr defaultRowHeight="15" x14ac:dyDescent="0.25"/>
  <cols>
    <col min="1" max="1" width="131.140625" style="5" customWidth="1"/>
    <col min="2" max="2" width="20.85546875" style="5" bestFit="1" customWidth="1"/>
    <col min="3" max="3" width="21.140625" style="5" customWidth="1"/>
    <col min="4" max="4" width="12.42578125" style="5" customWidth="1"/>
    <col min="5" max="5" width="26.85546875" customWidth="1"/>
    <col min="6" max="7" width="26.85546875" style="5" customWidth="1"/>
    <col min="8" max="8" width="15.28515625" customWidth="1"/>
    <col min="12" max="12" width="18.85546875" bestFit="1" customWidth="1"/>
    <col min="13" max="13" width="15.140625" customWidth="1"/>
  </cols>
  <sheetData>
    <row r="1" spans="1:13" ht="409.5" x14ac:dyDescent="0.25">
      <c r="A1" s="2" t="s">
        <v>1542</v>
      </c>
      <c r="B1" s="29"/>
      <c r="C1" s="2"/>
      <c r="D1" s="23"/>
      <c r="E1" s="23"/>
      <c r="F1" s="23"/>
      <c r="G1" s="23"/>
      <c r="H1" s="23"/>
      <c r="L1" s="22"/>
      <c r="M1" s="5"/>
    </row>
    <row r="2" spans="1:13" x14ac:dyDescent="0.25">
      <c r="A2" s="2"/>
      <c r="B2" s="2"/>
      <c r="C2" s="2"/>
      <c r="E2" s="24"/>
      <c r="H2" s="5"/>
      <c r="L2" s="2"/>
      <c r="M2" s="5"/>
    </row>
    <row r="3" spans="1:13" x14ac:dyDescent="0.25">
      <c r="A3" s="2"/>
      <c r="B3" s="2"/>
      <c r="C3" s="2"/>
      <c r="E3" s="25"/>
      <c r="H3" s="5"/>
      <c r="L3" s="5"/>
      <c r="M3" s="5"/>
    </row>
    <row r="4" spans="1:13" x14ac:dyDescent="0.25">
      <c r="A4" s="2"/>
      <c r="B4" s="2"/>
      <c r="C4" s="2"/>
      <c r="E4" s="5"/>
      <c r="H4" s="5"/>
      <c r="L4" s="5"/>
      <c r="M4" s="5"/>
    </row>
    <row r="5" spans="1:13" x14ac:dyDescent="0.25">
      <c r="A5" s="2"/>
      <c r="B5" s="2"/>
      <c r="C5" s="2"/>
      <c r="E5" s="5"/>
      <c r="H5" s="5"/>
      <c r="L5" s="5"/>
      <c r="M5" s="5"/>
    </row>
    <row r="6" spans="1:13" x14ac:dyDescent="0.25">
      <c r="A6" s="2"/>
      <c r="B6" s="2"/>
      <c r="C6" s="2"/>
      <c r="E6" s="5"/>
      <c r="H6" s="5"/>
      <c r="L6" s="5"/>
      <c r="M6" s="5"/>
    </row>
    <row r="7" spans="1:13" x14ac:dyDescent="0.25">
      <c r="A7" s="2"/>
      <c r="B7" s="2"/>
      <c r="C7" s="2"/>
      <c r="E7" s="5"/>
      <c r="H7" s="5"/>
      <c r="L7" s="5"/>
      <c r="M7" s="5"/>
    </row>
    <row r="8" spans="1:13" x14ac:dyDescent="0.25">
      <c r="A8" s="2"/>
      <c r="B8" s="2"/>
      <c r="C8" s="2"/>
      <c r="E8" s="5"/>
      <c r="H8" s="5"/>
      <c r="L8" s="5"/>
      <c r="M8" s="5"/>
    </row>
    <row r="9" spans="1:13" x14ac:dyDescent="0.25">
      <c r="A9" s="2"/>
      <c r="B9" s="2"/>
      <c r="C9" s="2"/>
      <c r="E9" s="5"/>
      <c r="H9" s="5"/>
      <c r="L9" s="5"/>
      <c r="M9" s="5"/>
    </row>
    <row r="10" spans="1:13" x14ac:dyDescent="0.25">
      <c r="A10" s="2"/>
      <c r="B10" s="2"/>
      <c r="C10" s="2"/>
      <c r="E10" s="5"/>
      <c r="H10" s="5"/>
      <c r="L10" s="5"/>
      <c r="M10" s="5"/>
    </row>
    <row r="11" spans="1:13" x14ac:dyDescent="0.25">
      <c r="A11" s="2"/>
      <c r="B11" s="2"/>
      <c r="C11" s="2"/>
      <c r="E11" s="5"/>
      <c r="H11" s="5"/>
      <c r="L11" s="5"/>
      <c r="M11" s="5"/>
    </row>
    <row r="12" spans="1:13" x14ac:dyDescent="0.25">
      <c r="A12" s="2"/>
      <c r="B12" s="2"/>
      <c r="C12" s="2"/>
      <c r="E12" s="5"/>
      <c r="H12" s="5"/>
    </row>
    <row r="13" spans="1:13" x14ac:dyDescent="0.25">
      <c r="A13" s="2"/>
      <c r="B13" s="2"/>
      <c r="C13" s="2"/>
      <c r="E13" s="5"/>
      <c r="H13" s="5"/>
    </row>
    <row r="14" spans="1:13" ht="89.25" customHeight="1" x14ac:dyDescent="0.25">
      <c r="A14" s="2"/>
      <c r="B14" s="2"/>
      <c r="C14" s="2"/>
      <c r="E14" s="5"/>
      <c r="H14" s="5"/>
    </row>
    <row r="15" spans="1:13" x14ac:dyDescent="0.25">
      <c r="A15" s="2"/>
      <c r="B15" s="2"/>
      <c r="C15" s="2"/>
      <c r="E15" s="5"/>
      <c r="H15" s="5"/>
    </row>
    <row r="16" spans="1:13" x14ac:dyDescent="0.25">
      <c r="E16" s="24"/>
      <c r="H16" s="5"/>
    </row>
    <row r="17" spans="5:15" x14ac:dyDescent="0.25">
      <c r="E17" s="25"/>
      <c r="H17" s="27"/>
    </row>
    <row r="18" spans="5:15" x14ac:dyDescent="0.25">
      <c r="E18" s="5"/>
      <c r="H18" s="27"/>
    </row>
    <row r="19" spans="5:15" x14ac:dyDescent="0.25">
      <c r="E19" s="5"/>
      <c r="H19" s="27"/>
    </row>
    <row r="20" spans="5:15" x14ac:dyDescent="0.25">
      <c r="E20" s="5"/>
      <c r="H20" s="27"/>
    </row>
    <row r="21" spans="5:15" x14ac:dyDescent="0.25">
      <c r="E21" s="5"/>
      <c r="H21" s="27"/>
    </row>
    <row r="22" spans="5:15" x14ac:dyDescent="0.25">
      <c r="E22" s="5"/>
      <c r="H22" s="27"/>
    </row>
    <row r="23" spans="5:15" x14ac:dyDescent="0.25">
      <c r="E23" s="5"/>
      <c r="H23" s="27"/>
      <c r="L23" s="24"/>
      <c r="O23" s="24"/>
    </row>
    <row r="24" spans="5:15" x14ac:dyDescent="0.25">
      <c r="E24" s="5"/>
      <c r="H24" s="27"/>
      <c r="L24" s="24"/>
      <c r="O24" s="24"/>
    </row>
    <row r="25" spans="5:15" x14ac:dyDescent="0.25">
      <c r="E25" s="5"/>
      <c r="H25" s="27"/>
      <c r="L25" s="24"/>
      <c r="O25" s="24"/>
    </row>
    <row r="26" spans="5:15" x14ac:dyDescent="0.25">
      <c r="E26" s="5"/>
      <c r="H26" s="27"/>
      <c r="L26" s="24"/>
      <c r="O26" s="24"/>
    </row>
    <row r="27" spans="5:15" x14ac:dyDescent="0.25">
      <c r="E27" s="5"/>
      <c r="H27" s="27"/>
      <c r="L27" s="24"/>
      <c r="O27" s="24"/>
    </row>
    <row r="28" spans="5:15" x14ac:dyDescent="0.25">
      <c r="E28" s="5"/>
      <c r="H28" s="27"/>
      <c r="L28" s="24"/>
      <c r="O28" s="24"/>
    </row>
    <row r="29" spans="5:15" x14ac:dyDescent="0.25">
      <c r="E29" s="5"/>
      <c r="H29" s="27"/>
      <c r="L29" s="24"/>
      <c r="O29" s="24"/>
    </row>
    <row r="30" spans="5:15" x14ac:dyDescent="0.25">
      <c r="E30" s="24"/>
      <c r="H30" s="27"/>
      <c r="L30" s="24"/>
      <c r="O30" s="24"/>
    </row>
    <row r="31" spans="5:15" x14ac:dyDescent="0.25">
      <c r="E31" s="25"/>
      <c r="H31" s="27"/>
      <c r="L31" s="24"/>
      <c r="O31" s="24"/>
    </row>
    <row r="32" spans="5:15" x14ac:dyDescent="0.25">
      <c r="E32" s="5"/>
      <c r="H32" s="7"/>
      <c r="L32" s="24"/>
      <c r="O32" s="24"/>
    </row>
    <row r="33" spans="5:15" x14ac:dyDescent="0.25">
      <c r="E33" s="5"/>
      <c r="H33" s="7"/>
      <c r="L33" s="24"/>
      <c r="O33" s="24"/>
    </row>
    <row r="34" spans="5:15" x14ac:dyDescent="0.25">
      <c r="E34" s="5"/>
      <c r="H34" s="7"/>
      <c r="L34" s="24"/>
      <c r="O34" s="24"/>
    </row>
    <row r="35" spans="5:15" x14ac:dyDescent="0.25">
      <c r="E35" s="5"/>
      <c r="H35" s="7"/>
      <c r="L35" s="24"/>
      <c r="N35" s="24"/>
      <c r="O35" s="24"/>
    </row>
    <row r="36" spans="5:15" x14ac:dyDescent="0.25">
      <c r="E36" s="5"/>
      <c r="H36" s="7"/>
      <c r="K36" s="26"/>
      <c r="L36" s="24"/>
      <c r="M36" s="24"/>
      <c r="N36" s="26"/>
      <c r="O36" s="24"/>
    </row>
    <row r="37" spans="5:15" x14ac:dyDescent="0.25">
      <c r="E37" s="5"/>
      <c r="H37" s="7"/>
      <c r="K37" s="26"/>
      <c r="L37" s="24"/>
      <c r="M37" s="24"/>
      <c r="N37" s="26"/>
      <c r="O37" s="24"/>
    </row>
    <row r="38" spans="5:15" x14ac:dyDescent="0.25">
      <c r="E38" s="5"/>
      <c r="H38" s="7"/>
      <c r="L38" s="24"/>
      <c r="O38" s="24"/>
    </row>
    <row r="39" spans="5:15" x14ac:dyDescent="0.25">
      <c r="E39" s="5"/>
      <c r="H39" s="7"/>
      <c r="L39" s="24"/>
      <c r="O39" s="24"/>
    </row>
    <row r="40" spans="5:15" x14ac:dyDescent="0.25">
      <c r="E40" s="5"/>
      <c r="H40" s="7"/>
      <c r="L40" s="24"/>
      <c r="O40" s="24"/>
    </row>
    <row r="41" spans="5:15" x14ac:dyDescent="0.25">
      <c r="E41" s="5"/>
      <c r="H41" s="7"/>
      <c r="L41" s="24"/>
      <c r="O41" s="24"/>
    </row>
    <row r="42" spans="5:15" x14ac:dyDescent="0.25">
      <c r="E42" s="5"/>
      <c r="H42" s="7"/>
      <c r="L42" s="24"/>
      <c r="O42" s="24"/>
    </row>
    <row r="43" spans="5:15" x14ac:dyDescent="0.25">
      <c r="E43" s="5"/>
      <c r="H43" s="7"/>
      <c r="L43" s="24"/>
      <c r="O43" s="24"/>
    </row>
    <row r="44" spans="5:15" x14ac:dyDescent="0.25">
      <c r="E44" s="24"/>
      <c r="H44" s="7"/>
      <c r="L44" s="24"/>
      <c r="O44" s="24"/>
    </row>
    <row r="45" spans="5:15" x14ac:dyDescent="0.25">
      <c r="E45" s="25"/>
      <c r="H45" s="7"/>
      <c r="L45" s="24"/>
      <c r="N45" s="24"/>
      <c r="O45" s="24"/>
    </row>
    <row r="46" spans="5:15" x14ac:dyDescent="0.25">
      <c r="E46" s="5"/>
      <c r="H46" s="7"/>
      <c r="L46" s="24"/>
      <c r="N46" s="24"/>
      <c r="O46" s="24"/>
    </row>
    <row r="47" spans="5:15" x14ac:dyDescent="0.25">
      <c r="E47" s="5"/>
      <c r="H47" s="7"/>
      <c r="K47" s="26"/>
      <c r="L47" s="24"/>
      <c r="M47" s="24"/>
      <c r="N47" s="26"/>
      <c r="O47" s="24"/>
    </row>
    <row r="48" spans="5:15" x14ac:dyDescent="0.25">
      <c r="E48" s="5"/>
      <c r="H48" s="7"/>
      <c r="K48" s="26"/>
      <c r="L48" s="24"/>
      <c r="M48" s="26"/>
      <c r="N48" s="26"/>
    </row>
    <row r="49" spans="5:8" x14ac:dyDescent="0.25">
      <c r="E49" s="5"/>
      <c r="H49" s="7"/>
    </row>
    <row r="50" spans="5:8" x14ac:dyDescent="0.25">
      <c r="E50" s="5"/>
      <c r="H50" s="7"/>
    </row>
    <row r="51" spans="5:8" x14ac:dyDescent="0.25">
      <c r="E51" s="5"/>
      <c r="H51" s="7"/>
    </row>
    <row r="52" spans="5:8" x14ac:dyDescent="0.25">
      <c r="E52" s="5"/>
      <c r="H52" s="7"/>
    </row>
    <row r="53" spans="5:8" x14ac:dyDescent="0.25">
      <c r="E53" s="5"/>
      <c r="H53" s="7"/>
    </row>
    <row r="54" spans="5:8" x14ac:dyDescent="0.25">
      <c r="E54" s="5"/>
      <c r="H54" s="7"/>
    </row>
    <row r="55" spans="5:8" x14ac:dyDescent="0.25">
      <c r="E55" s="5"/>
      <c r="H55" s="7"/>
    </row>
    <row r="56" spans="5:8" x14ac:dyDescent="0.25">
      <c r="E56" s="5"/>
      <c r="H56" s="7"/>
    </row>
    <row r="57" spans="5:8" x14ac:dyDescent="0.25">
      <c r="E57" s="5"/>
      <c r="H57" s="7"/>
    </row>
    <row r="58" spans="5:8" x14ac:dyDescent="0.25">
      <c r="E58" s="24"/>
      <c r="H58" s="7"/>
    </row>
    <row r="59" spans="5:8" x14ac:dyDescent="0.25">
      <c r="E59" s="25"/>
      <c r="H59" s="7"/>
    </row>
    <row r="60" spans="5:8" x14ac:dyDescent="0.25">
      <c r="E60" s="5"/>
      <c r="H60" s="7"/>
    </row>
    <row r="61" spans="5:8" x14ac:dyDescent="0.25">
      <c r="E61" s="5"/>
      <c r="H61" s="7"/>
    </row>
    <row r="62" spans="5:8" x14ac:dyDescent="0.25">
      <c r="E62" s="5"/>
      <c r="H62" s="7"/>
    </row>
    <row r="63" spans="5:8" x14ac:dyDescent="0.25">
      <c r="E63" s="5"/>
      <c r="H63" s="7"/>
    </row>
    <row r="64" spans="5:8" x14ac:dyDescent="0.25">
      <c r="E64" s="5"/>
      <c r="H64" s="7"/>
    </row>
    <row r="65" spans="5:8" x14ac:dyDescent="0.25">
      <c r="E65" s="5"/>
      <c r="H65" s="7"/>
    </row>
    <row r="66" spans="5:8" x14ac:dyDescent="0.25">
      <c r="E66" s="5"/>
      <c r="H66" s="7"/>
    </row>
    <row r="67" spans="5:8" x14ac:dyDescent="0.25">
      <c r="E67" s="5"/>
      <c r="H67" s="7"/>
    </row>
    <row r="68" spans="5:8" x14ac:dyDescent="0.25">
      <c r="E68" s="5"/>
      <c r="H68" s="7"/>
    </row>
    <row r="69" spans="5:8" x14ac:dyDescent="0.25">
      <c r="E69" s="5"/>
      <c r="H69" s="7"/>
    </row>
    <row r="70" spans="5:8" x14ac:dyDescent="0.25">
      <c r="E70" s="5"/>
      <c r="H70" s="7"/>
    </row>
    <row r="71" spans="5:8" x14ac:dyDescent="0.25">
      <c r="E71" s="5"/>
      <c r="H71" s="7"/>
    </row>
    <row r="72" spans="5:8" x14ac:dyDescent="0.25">
      <c r="E72" s="24"/>
      <c r="H72" s="7"/>
    </row>
    <row r="73" spans="5:8" x14ac:dyDescent="0.25">
      <c r="E73" s="25"/>
      <c r="H73" s="7"/>
    </row>
    <row r="74" spans="5:8" x14ac:dyDescent="0.25">
      <c r="E74" s="5"/>
      <c r="H74" s="7"/>
    </row>
    <row r="75" spans="5:8" x14ac:dyDescent="0.25">
      <c r="E75" s="5"/>
      <c r="H75" s="7"/>
    </row>
    <row r="76" spans="5:8" x14ac:dyDescent="0.25">
      <c r="E76" s="5"/>
      <c r="H76" s="7"/>
    </row>
    <row r="77" spans="5:8" x14ac:dyDescent="0.25">
      <c r="E77" s="5"/>
      <c r="H77" s="7"/>
    </row>
    <row r="78" spans="5:8" x14ac:dyDescent="0.25">
      <c r="E78" s="5"/>
      <c r="H78" s="7"/>
    </row>
    <row r="79" spans="5:8" x14ac:dyDescent="0.25">
      <c r="E79" s="5"/>
      <c r="H79" s="7"/>
    </row>
    <row r="80" spans="5:8" x14ac:dyDescent="0.25">
      <c r="E80" s="5"/>
      <c r="H80" s="7"/>
    </row>
    <row r="81" spans="5:8" x14ac:dyDescent="0.25">
      <c r="E81" s="5"/>
      <c r="H81" s="7"/>
    </row>
    <row r="82" spans="5:8" x14ac:dyDescent="0.25">
      <c r="E82" s="5"/>
      <c r="H82" s="7"/>
    </row>
    <row r="83" spans="5:8" x14ac:dyDescent="0.25">
      <c r="E83" s="5"/>
      <c r="H83" s="7"/>
    </row>
    <row r="84" spans="5:8" x14ac:dyDescent="0.25">
      <c r="E84" s="5"/>
      <c r="H84" s="7"/>
    </row>
    <row r="85" spans="5:8" x14ac:dyDescent="0.25">
      <c r="E85" s="5"/>
      <c r="H85" s="7"/>
    </row>
    <row r="86" spans="5:8" x14ac:dyDescent="0.25">
      <c r="E86" s="5"/>
      <c r="H86" s="7"/>
    </row>
    <row r="87" spans="5:8" x14ac:dyDescent="0.25">
      <c r="E87" s="5"/>
      <c r="H87" s="7"/>
    </row>
    <row r="88" spans="5:8" x14ac:dyDescent="0.25">
      <c r="E88" s="5"/>
      <c r="H88" s="7"/>
    </row>
    <row r="89" spans="5:8" x14ac:dyDescent="0.25">
      <c r="E89" s="5"/>
      <c r="H89" s="7"/>
    </row>
    <row r="90" spans="5:8" x14ac:dyDescent="0.25">
      <c r="E90" s="5"/>
      <c r="H90" s="7"/>
    </row>
    <row r="91" spans="5:8" x14ac:dyDescent="0.25">
      <c r="E91" s="5"/>
      <c r="H91" s="7"/>
    </row>
    <row r="92" spans="5:8" x14ac:dyDescent="0.25">
      <c r="E92" s="5"/>
      <c r="H92" s="7"/>
    </row>
    <row r="93" spans="5:8" x14ac:dyDescent="0.25">
      <c r="E93" s="5"/>
      <c r="H93" s="7"/>
    </row>
    <row r="94" spans="5:8" x14ac:dyDescent="0.25">
      <c r="E94" s="5"/>
      <c r="H94" s="7"/>
    </row>
    <row r="95" spans="5:8" x14ac:dyDescent="0.25">
      <c r="E95" s="5"/>
      <c r="H95" s="7"/>
    </row>
    <row r="96" spans="5:8" x14ac:dyDescent="0.25">
      <c r="E96" s="5"/>
      <c r="H96" s="7"/>
    </row>
    <row r="97" spans="5:8" x14ac:dyDescent="0.25">
      <c r="E97" s="5"/>
      <c r="H97" s="7"/>
    </row>
    <row r="98" spans="5:8" x14ac:dyDescent="0.25">
      <c r="E98" s="5"/>
      <c r="H98" s="7"/>
    </row>
    <row r="99" spans="5:8" x14ac:dyDescent="0.25">
      <c r="E99" s="5"/>
      <c r="H99" s="7"/>
    </row>
    <row r="100" spans="5:8" x14ac:dyDescent="0.25">
      <c r="E100" s="5"/>
      <c r="H100" s="7"/>
    </row>
    <row r="101" spans="5:8" x14ac:dyDescent="0.25">
      <c r="E101" s="5"/>
      <c r="H101" s="7"/>
    </row>
    <row r="102" spans="5:8" x14ac:dyDescent="0.25">
      <c r="E102" s="5"/>
      <c r="H102" s="7"/>
    </row>
    <row r="103" spans="5:8" x14ac:dyDescent="0.25">
      <c r="E103" s="5"/>
      <c r="H103" s="7"/>
    </row>
    <row r="104" spans="5:8" x14ac:dyDescent="0.25">
      <c r="E104" s="5"/>
      <c r="H104" s="7"/>
    </row>
    <row r="105" spans="5:8" x14ac:dyDescent="0.25">
      <c r="E105" s="5"/>
      <c r="H105" s="7"/>
    </row>
    <row r="106" spans="5:8" x14ac:dyDescent="0.25">
      <c r="E106" s="5"/>
      <c r="H106" s="7"/>
    </row>
    <row r="107" spans="5:8" x14ac:dyDescent="0.25">
      <c r="E107" s="5"/>
      <c r="H107" s="7"/>
    </row>
    <row r="108" spans="5:8" x14ac:dyDescent="0.25">
      <c r="E108" s="5"/>
      <c r="H108" s="7"/>
    </row>
    <row r="109" spans="5:8" x14ac:dyDescent="0.25">
      <c r="E109" s="5"/>
      <c r="H109" s="7"/>
    </row>
    <row r="110" spans="5:8" x14ac:dyDescent="0.25">
      <c r="E110" s="5"/>
      <c r="H110" s="7"/>
    </row>
    <row r="111" spans="5:8" x14ac:dyDescent="0.25">
      <c r="E111" s="5"/>
      <c r="H111" s="7"/>
    </row>
    <row r="112" spans="5:8" x14ac:dyDescent="0.25">
      <c r="E112" s="5"/>
      <c r="H112" s="7"/>
    </row>
    <row r="113" spans="5:8" x14ac:dyDescent="0.25">
      <c r="E113" s="5"/>
      <c r="H113" s="7"/>
    </row>
    <row r="114" spans="5:8" x14ac:dyDescent="0.25">
      <c r="E114" s="5"/>
      <c r="H114" s="7"/>
    </row>
    <row r="115" spans="5:8" x14ac:dyDescent="0.25">
      <c r="E115" s="5"/>
      <c r="H115" s="7"/>
    </row>
    <row r="116" spans="5:8" x14ac:dyDescent="0.25">
      <c r="E116" s="5"/>
      <c r="H116" s="7"/>
    </row>
    <row r="117" spans="5:8" x14ac:dyDescent="0.25">
      <c r="E117" s="5"/>
      <c r="H117" s="7"/>
    </row>
    <row r="118" spans="5:8" x14ac:dyDescent="0.25">
      <c r="E118" s="5"/>
      <c r="H118" s="7"/>
    </row>
    <row r="119" spans="5:8" x14ac:dyDescent="0.25">
      <c r="E119" s="5"/>
      <c r="H119" s="7"/>
    </row>
    <row r="120" spans="5:8" x14ac:dyDescent="0.25">
      <c r="E120" s="5"/>
      <c r="H120" s="7"/>
    </row>
    <row r="121" spans="5:8" x14ac:dyDescent="0.25">
      <c r="E121" s="5"/>
      <c r="H121" s="7"/>
    </row>
    <row r="122" spans="5:8" x14ac:dyDescent="0.25">
      <c r="E122" s="5"/>
      <c r="H122" s="7"/>
    </row>
    <row r="123" spans="5:8" x14ac:dyDescent="0.25">
      <c r="E123" s="5"/>
      <c r="H123" s="7"/>
    </row>
    <row r="124" spans="5:8" x14ac:dyDescent="0.25">
      <c r="E124" s="5"/>
      <c r="H124" s="7"/>
    </row>
    <row r="125" spans="5:8" x14ac:dyDescent="0.25">
      <c r="E125" s="5"/>
      <c r="H125" s="7"/>
    </row>
    <row r="126" spans="5:8" x14ac:dyDescent="0.25">
      <c r="E126" s="5"/>
      <c r="H126" s="7"/>
    </row>
    <row r="127" spans="5:8" x14ac:dyDescent="0.25">
      <c r="E127" s="5"/>
      <c r="H127" s="7"/>
    </row>
    <row r="128" spans="5:8" x14ac:dyDescent="0.25">
      <c r="E128" s="5"/>
      <c r="H128" s="7"/>
    </row>
    <row r="129" spans="5:8" x14ac:dyDescent="0.25">
      <c r="E129" s="5"/>
      <c r="H129" s="7"/>
    </row>
    <row r="130" spans="5:8" x14ac:dyDescent="0.25">
      <c r="E130" s="5"/>
      <c r="H130" s="7"/>
    </row>
    <row r="131" spans="5:8" x14ac:dyDescent="0.25">
      <c r="E131" s="5"/>
      <c r="H131" s="7"/>
    </row>
    <row r="132" spans="5:8" x14ac:dyDescent="0.25">
      <c r="E132" s="5"/>
      <c r="H132" s="7"/>
    </row>
    <row r="133" spans="5:8" x14ac:dyDescent="0.25">
      <c r="E133" s="5"/>
      <c r="H133" s="7"/>
    </row>
    <row r="134" spans="5:8" x14ac:dyDescent="0.25">
      <c r="E134" s="5"/>
      <c r="H134" s="7"/>
    </row>
    <row r="135" spans="5:8" x14ac:dyDescent="0.25">
      <c r="E135" s="5"/>
      <c r="H135" s="7"/>
    </row>
    <row r="136" spans="5:8" x14ac:dyDescent="0.25">
      <c r="E136" s="5"/>
      <c r="H136" s="7"/>
    </row>
    <row r="137" spans="5:8" x14ac:dyDescent="0.25">
      <c r="E137" s="5"/>
      <c r="H137" s="5"/>
    </row>
    <row r="138" spans="5:8" x14ac:dyDescent="0.25">
      <c r="E138" s="5"/>
      <c r="H138" s="5"/>
    </row>
    <row r="139" spans="5:8" x14ac:dyDescent="0.25">
      <c r="E139" s="5"/>
      <c r="H139" s="5"/>
    </row>
    <row r="140" spans="5:8" x14ac:dyDescent="0.25">
      <c r="E140" s="5"/>
      <c r="H140" s="5"/>
    </row>
    <row r="141" spans="5:8" x14ac:dyDescent="0.25">
      <c r="E141" s="5"/>
      <c r="H141" s="5"/>
    </row>
    <row r="142" spans="5:8" x14ac:dyDescent="0.25">
      <c r="E142" s="5"/>
      <c r="H142" s="5"/>
    </row>
    <row r="143" spans="5:8" x14ac:dyDescent="0.25">
      <c r="E143" s="5"/>
      <c r="H143" s="5"/>
    </row>
    <row r="144" spans="5:8" x14ac:dyDescent="0.25">
      <c r="E144" s="5"/>
      <c r="H144" s="5"/>
    </row>
    <row r="145" spans="5:8" x14ac:dyDescent="0.25">
      <c r="E145" s="5"/>
      <c r="H145" s="5"/>
    </row>
    <row r="146" spans="5:8" x14ac:dyDescent="0.25">
      <c r="E146" s="5"/>
      <c r="H146" s="5"/>
    </row>
    <row r="147" spans="5:8" x14ac:dyDescent="0.25">
      <c r="E147" s="5"/>
      <c r="H147" s="5"/>
    </row>
    <row r="148" spans="5:8" x14ac:dyDescent="0.25">
      <c r="E148" s="5"/>
      <c r="H148" s="5"/>
    </row>
    <row r="149" spans="5:8" x14ac:dyDescent="0.25">
      <c r="E149" s="5"/>
      <c r="H149" s="5"/>
    </row>
    <row r="150" spans="5:8" x14ac:dyDescent="0.25">
      <c r="E150" s="5"/>
      <c r="H150" s="5"/>
    </row>
    <row r="151" spans="5:8" x14ac:dyDescent="0.25">
      <c r="E151" s="5"/>
      <c r="H151" s="5"/>
    </row>
    <row r="152" spans="5:8" x14ac:dyDescent="0.25">
      <c r="E152" s="5"/>
      <c r="H152" s="5"/>
    </row>
    <row r="153" spans="5:8" x14ac:dyDescent="0.25">
      <c r="E153" s="5"/>
      <c r="H153" s="5"/>
    </row>
    <row r="154" spans="5:8" x14ac:dyDescent="0.25">
      <c r="E154" s="5"/>
      <c r="H154" s="5"/>
    </row>
    <row r="155" spans="5:8" x14ac:dyDescent="0.25">
      <c r="E155" s="5"/>
      <c r="H155" s="5"/>
    </row>
    <row r="156" spans="5:8" x14ac:dyDescent="0.25">
      <c r="E156" s="5"/>
      <c r="H156" s="5"/>
    </row>
    <row r="157" spans="5:8" x14ac:dyDescent="0.25">
      <c r="E157" s="5"/>
      <c r="H157" s="5"/>
    </row>
    <row r="158" spans="5:8" x14ac:dyDescent="0.25">
      <c r="E158" s="5"/>
      <c r="H158" s="5"/>
    </row>
    <row r="159" spans="5:8" x14ac:dyDescent="0.25">
      <c r="E159" s="5"/>
      <c r="H159" s="5"/>
    </row>
    <row r="160" spans="5:8" x14ac:dyDescent="0.25">
      <c r="E160" s="5"/>
      <c r="H160" s="5"/>
    </row>
    <row r="161" spans="5:8" x14ac:dyDescent="0.25">
      <c r="E161" s="5"/>
      <c r="H161" s="5"/>
    </row>
    <row r="162" spans="5:8" x14ac:dyDescent="0.25">
      <c r="E162" s="5"/>
      <c r="H162" s="5"/>
    </row>
    <row r="163" spans="5:8" x14ac:dyDescent="0.25">
      <c r="E163" s="5"/>
      <c r="H163" s="5"/>
    </row>
    <row r="164" spans="5:8" x14ac:dyDescent="0.25">
      <c r="E164" s="5"/>
      <c r="H164" s="5"/>
    </row>
    <row r="165" spans="5:8" x14ac:dyDescent="0.25">
      <c r="E165" s="5"/>
      <c r="H165" s="5"/>
    </row>
    <row r="166" spans="5:8" x14ac:dyDescent="0.25">
      <c r="E166" s="5"/>
      <c r="H166" s="5"/>
    </row>
    <row r="167" spans="5:8" x14ac:dyDescent="0.25">
      <c r="E167" s="5"/>
      <c r="H167" s="5"/>
    </row>
    <row r="168" spans="5:8" x14ac:dyDescent="0.25">
      <c r="E168" s="5"/>
      <c r="H168" s="5"/>
    </row>
    <row r="169" spans="5:8" x14ac:dyDescent="0.25">
      <c r="E169" s="5"/>
      <c r="H169" s="5"/>
    </row>
    <row r="170" spans="5:8" x14ac:dyDescent="0.25">
      <c r="E170" s="5"/>
      <c r="H170" s="5"/>
    </row>
    <row r="171" spans="5:8" x14ac:dyDescent="0.25">
      <c r="E171" s="5"/>
      <c r="H171" s="5"/>
    </row>
    <row r="172" spans="5:8" x14ac:dyDescent="0.25">
      <c r="E172" s="5"/>
      <c r="H172" s="5"/>
    </row>
    <row r="173" spans="5:8" x14ac:dyDescent="0.25">
      <c r="E173" s="5"/>
      <c r="H173" s="5"/>
    </row>
    <row r="174" spans="5:8" x14ac:dyDescent="0.25">
      <c r="E174" s="5"/>
      <c r="H174" s="5"/>
    </row>
    <row r="175" spans="5:8" x14ac:dyDescent="0.25">
      <c r="E175" s="5"/>
      <c r="H175" s="5"/>
    </row>
    <row r="176" spans="5:8" x14ac:dyDescent="0.25">
      <c r="E176" s="5"/>
      <c r="H176" s="5"/>
    </row>
    <row r="177" spans="5:8" x14ac:dyDescent="0.25">
      <c r="E177" s="5"/>
      <c r="H177" s="5"/>
    </row>
    <row r="178" spans="5:8" x14ac:dyDescent="0.25">
      <c r="E178" s="5"/>
      <c r="H178" s="5"/>
    </row>
    <row r="179" spans="5:8" x14ac:dyDescent="0.25">
      <c r="E179" s="5"/>
      <c r="H179" s="5"/>
    </row>
    <row r="180" spans="5:8" x14ac:dyDescent="0.25">
      <c r="E180" s="5"/>
      <c r="H180" s="5"/>
    </row>
    <row r="181" spans="5:8" x14ac:dyDescent="0.25">
      <c r="E181" s="5"/>
      <c r="H181" s="5"/>
    </row>
    <row r="182" spans="5:8" x14ac:dyDescent="0.25">
      <c r="E182" s="5"/>
      <c r="H182" s="5"/>
    </row>
    <row r="183" spans="5:8" x14ac:dyDescent="0.25">
      <c r="E183" s="5"/>
      <c r="H183" s="5"/>
    </row>
    <row r="184" spans="5:8" x14ac:dyDescent="0.25">
      <c r="E184" s="5"/>
      <c r="H184" s="5"/>
    </row>
    <row r="185" spans="5:8" x14ac:dyDescent="0.25">
      <c r="E185" s="5"/>
      <c r="H185" s="5"/>
    </row>
    <row r="186" spans="5:8" x14ac:dyDescent="0.25">
      <c r="E186" s="5"/>
      <c r="H186" s="5"/>
    </row>
    <row r="187" spans="5:8" x14ac:dyDescent="0.25">
      <c r="E187" s="5"/>
      <c r="H187" s="5"/>
    </row>
    <row r="188" spans="5:8" x14ac:dyDescent="0.25">
      <c r="E188" s="5"/>
      <c r="H188" s="5"/>
    </row>
    <row r="189" spans="5:8" x14ac:dyDescent="0.25">
      <c r="E189" s="5"/>
      <c r="H189" s="5"/>
    </row>
    <row r="190" spans="5:8" x14ac:dyDescent="0.25">
      <c r="E190" s="5"/>
      <c r="H190" s="5"/>
    </row>
    <row r="191" spans="5:8" x14ac:dyDescent="0.25">
      <c r="E191" s="5"/>
      <c r="H191" s="5"/>
    </row>
    <row r="192" spans="5:8" x14ac:dyDescent="0.25">
      <c r="E192" s="5"/>
      <c r="H192" s="5"/>
    </row>
    <row r="193" spans="5:8" x14ac:dyDescent="0.25">
      <c r="E193" s="5"/>
      <c r="H193" s="5"/>
    </row>
    <row r="194" spans="5:8" x14ac:dyDescent="0.25">
      <c r="E194" s="5"/>
      <c r="H194" s="5"/>
    </row>
    <row r="195" spans="5:8" x14ac:dyDescent="0.25">
      <c r="E195" s="5"/>
      <c r="H195" s="5"/>
    </row>
    <row r="196" spans="5:8" x14ac:dyDescent="0.25">
      <c r="E196" s="5"/>
      <c r="H196" s="5"/>
    </row>
    <row r="197" spans="5:8" x14ac:dyDescent="0.25">
      <c r="E197" s="5"/>
      <c r="H197" s="5"/>
    </row>
    <row r="198" spans="5:8" x14ac:dyDescent="0.25">
      <c r="E198" s="5"/>
      <c r="H198" s="5"/>
    </row>
    <row r="199" spans="5:8" x14ac:dyDescent="0.25">
      <c r="E199" s="5"/>
      <c r="H199" s="5"/>
    </row>
    <row r="200" spans="5:8" x14ac:dyDescent="0.25">
      <c r="E200" s="5"/>
      <c r="H200" s="5"/>
    </row>
    <row r="201" spans="5:8" x14ac:dyDescent="0.25">
      <c r="E201" s="5"/>
      <c r="H201" s="5"/>
    </row>
    <row r="202" spans="5:8" x14ac:dyDescent="0.25">
      <c r="E202" s="5"/>
      <c r="H202" s="5"/>
    </row>
    <row r="203" spans="5:8" x14ac:dyDescent="0.25">
      <c r="E203" s="5"/>
      <c r="H203" s="5"/>
    </row>
    <row r="204" spans="5:8" x14ac:dyDescent="0.25">
      <c r="E204" s="5"/>
      <c r="H204" s="5"/>
    </row>
    <row r="205" spans="5:8" x14ac:dyDescent="0.25">
      <c r="E205" s="5"/>
      <c r="H205" s="5"/>
    </row>
    <row r="206" spans="5:8" x14ac:dyDescent="0.25">
      <c r="E206" s="5"/>
      <c r="H206" s="5"/>
    </row>
    <row r="207" spans="5:8" x14ac:dyDescent="0.25">
      <c r="E207" s="5"/>
      <c r="H207" s="5"/>
    </row>
    <row r="208" spans="5:8" x14ac:dyDescent="0.25">
      <c r="E208" s="5"/>
      <c r="H208" s="5"/>
    </row>
    <row r="209" spans="5:8" x14ac:dyDescent="0.25">
      <c r="E209" s="5"/>
      <c r="H209" s="5"/>
    </row>
    <row r="210" spans="5:8" x14ac:dyDescent="0.25">
      <c r="E210" s="5"/>
      <c r="H210" s="5"/>
    </row>
    <row r="211" spans="5:8" x14ac:dyDescent="0.25">
      <c r="E211" s="5"/>
      <c r="H211" s="5"/>
    </row>
    <row r="212" spans="5:8" x14ac:dyDescent="0.25">
      <c r="E212" s="5"/>
      <c r="H212" s="5"/>
    </row>
    <row r="213" spans="5:8" x14ac:dyDescent="0.25">
      <c r="E213" s="5"/>
      <c r="H213" s="5"/>
    </row>
    <row r="214" spans="5:8" x14ac:dyDescent="0.25">
      <c r="E214" s="5"/>
      <c r="H214" s="5"/>
    </row>
    <row r="215" spans="5:8" x14ac:dyDescent="0.25">
      <c r="E215" s="5"/>
      <c r="H215" s="5"/>
    </row>
    <row r="216" spans="5:8" x14ac:dyDescent="0.25">
      <c r="E216" s="5"/>
      <c r="H216" s="5"/>
    </row>
    <row r="217" spans="5:8" x14ac:dyDescent="0.25">
      <c r="E217" s="5"/>
      <c r="H217" s="5"/>
    </row>
    <row r="218" spans="5:8" x14ac:dyDescent="0.25">
      <c r="E218" s="5"/>
      <c r="H218" s="5"/>
    </row>
    <row r="219" spans="5:8" x14ac:dyDescent="0.25">
      <c r="E219" s="5"/>
      <c r="H219" s="5"/>
    </row>
    <row r="220" spans="5:8" x14ac:dyDescent="0.25">
      <c r="E220" s="5"/>
      <c r="H220" s="5"/>
    </row>
    <row r="221" spans="5:8" x14ac:dyDescent="0.25">
      <c r="E221" s="5"/>
      <c r="H221" s="5"/>
    </row>
    <row r="222" spans="5:8" x14ac:dyDescent="0.25">
      <c r="E222" s="5"/>
      <c r="H222" s="5"/>
    </row>
    <row r="223" spans="5:8" x14ac:dyDescent="0.25">
      <c r="E223" s="5"/>
      <c r="H223" s="5"/>
    </row>
    <row r="224" spans="5:8" x14ac:dyDescent="0.25">
      <c r="E224" s="5"/>
      <c r="H224" s="5"/>
    </row>
    <row r="225" spans="5:8" x14ac:dyDescent="0.25">
      <c r="E225" s="5"/>
      <c r="H225" s="5"/>
    </row>
    <row r="226" spans="5:8" x14ac:dyDescent="0.25">
      <c r="E226" s="5"/>
      <c r="H226" s="5"/>
    </row>
    <row r="227" spans="5:8" x14ac:dyDescent="0.25">
      <c r="E227" s="5"/>
      <c r="H227" s="5"/>
    </row>
    <row r="228" spans="5:8" x14ac:dyDescent="0.25">
      <c r="E228" s="5"/>
      <c r="H228" s="5"/>
    </row>
    <row r="229" spans="5:8" x14ac:dyDescent="0.25">
      <c r="E229" s="5"/>
      <c r="H229" s="5"/>
    </row>
    <row r="230" spans="5:8" x14ac:dyDescent="0.25">
      <c r="E230" s="5"/>
      <c r="H230" s="5"/>
    </row>
    <row r="231" spans="5:8" x14ac:dyDescent="0.25">
      <c r="E231" s="5"/>
      <c r="H231" s="5"/>
    </row>
    <row r="232" spans="5:8" x14ac:dyDescent="0.25">
      <c r="E232" s="5"/>
      <c r="H232" s="5"/>
    </row>
    <row r="233" spans="5:8" x14ac:dyDescent="0.25">
      <c r="E233" s="5"/>
      <c r="H233" s="5"/>
    </row>
    <row r="234" spans="5:8" x14ac:dyDescent="0.25">
      <c r="E234" s="5"/>
      <c r="H234" s="5"/>
    </row>
    <row r="235" spans="5:8" x14ac:dyDescent="0.25">
      <c r="E235" s="5"/>
      <c r="H235" s="5"/>
    </row>
    <row r="236" spans="5:8" x14ac:dyDescent="0.25">
      <c r="E236" s="5"/>
      <c r="H236" s="5"/>
    </row>
    <row r="237" spans="5:8" x14ac:dyDescent="0.25">
      <c r="E237" s="5"/>
      <c r="H237" s="5"/>
    </row>
    <row r="238" spans="5:8" x14ac:dyDescent="0.25">
      <c r="E238" s="5"/>
      <c r="H238" s="5"/>
    </row>
    <row r="239" spans="5:8" x14ac:dyDescent="0.25">
      <c r="E239" s="5"/>
      <c r="H239" s="5"/>
    </row>
    <row r="240" spans="5:8" x14ac:dyDescent="0.25">
      <c r="E240" s="5"/>
      <c r="H240" s="5"/>
    </row>
    <row r="241" spans="5:8" x14ac:dyDescent="0.25">
      <c r="E241" s="5"/>
      <c r="H241" s="5"/>
    </row>
    <row r="242" spans="5:8" x14ac:dyDescent="0.25">
      <c r="E242" s="5"/>
      <c r="H242" s="5"/>
    </row>
    <row r="243" spans="5:8" x14ac:dyDescent="0.25">
      <c r="E243" s="5"/>
      <c r="H243" s="5"/>
    </row>
    <row r="244" spans="5:8" x14ac:dyDescent="0.25">
      <c r="E244" s="5"/>
      <c r="H244" s="5"/>
    </row>
    <row r="245" spans="5:8" x14ac:dyDescent="0.25">
      <c r="E245" s="5"/>
      <c r="H245" s="5"/>
    </row>
    <row r="246" spans="5:8" x14ac:dyDescent="0.25">
      <c r="E246" s="5"/>
      <c r="H246" s="5"/>
    </row>
    <row r="247" spans="5:8" x14ac:dyDescent="0.25">
      <c r="E247" s="5"/>
      <c r="H247" s="5"/>
    </row>
    <row r="248" spans="5:8" x14ac:dyDescent="0.25">
      <c r="E248" s="5"/>
      <c r="H248" s="5"/>
    </row>
    <row r="249" spans="5:8" x14ac:dyDescent="0.25">
      <c r="E249" s="5"/>
      <c r="H249" s="5"/>
    </row>
    <row r="250" spans="5:8" x14ac:dyDescent="0.25">
      <c r="E250" s="5"/>
      <c r="H250" s="5"/>
    </row>
    <row r="251" spans="5:8" x14ac:dyDescent="0.25">
      <c r="E251" s="5"/>
      <c r="H251" s="5"/>
    </row>
    <row r="252" spans="5:8" x14ac:dyDescent="0.25">
      <c r="E252" s="5"/>
      <c r="H252" s="5"/>
    </row>
    <row r="253" spans="5:8" x14ac:dyDescent="0.25">
      <c r="E253" s="5"/>
      <c r="H253" s="5"/>
    </row>
    <row r="254" spans="5:8" x14ac:dyDescent="0.25">
      <c r="E254" s="5"/>
      <c r="H254" s="5"/>
    </row>
    <row r="255" spans="5:8" x14ac:dyDescent="0.25">
      <c r="E255" s="5"/>
      <c r="H255" s="5"/>
    </row>
    <row r="256" spans="5:8" x14ac:dyDescent="0.25">
      <c r="E256" s="5"/>
      <c r="H256" s="5"/>
    </row>
    <row r="257" spans="5:8" x14ac:dyDescent="0.25">
      <c r="E257" s="5"/>
      <c r="H257" s="5"/>
    </row>
    <row r="258" spans="5:8" x14ac:dyDescent="0.25">
      <c r="E258" s="5"/>
      <c r="H258" s="5"/>
    </row>
    <row r="259" spans="5:8" x14ac:dyDescent="0.25">
      <c r="E259" s="5"/>
      <c r="H259" s="5"/>
    </row>
    <row r="260" spans="5:8" x14ac:dyDescent="0.25">
      <c r="E260" s="5"/>
      <c r="H260" s="5"/>
    </row>
    <row r="261" spans="5:8" x14ac:dyDescent="0.25">
      <c r="E261" s="5"/>
      <c r="H261" s="5"/>
    </row>
    <row r="262" spans="5:8" x14ac:dyDescent="0.25">
      <c r="E262" s="5"/>
      <c r="H262" s="5"/>
    </row>
    <row r="263" spans="5:8" x14ac:dyDescent="0.25">
      <c r="E263" s="5"/>
      <c r="H263" s="5"/>
    </row>
    <row r="264" spans="5:8" x14ac:dyDescent="0.25">
      <c r="E264" s="5"/>
      <c r="H264" s="5"/>
    </row>
    <row r="265" spans="5:8" x14ac:dyDescent="0.25">
      <c r="E265" s="5"/>
      <c r="H265" s="5"/>
    </row>
    <row r="266" spans="5:8" x14ac:dyDescent="0.25">
      <c r="E266" s="5"/>
      <c r="H266" s="5"/>
    </row>
    <row r="267" spans="5:8" x14ac:dyDescent="0.25">
      <c r="E267" s="5"/>
      <c r="H267" s="5"/>
    </row>
    <row r="268" spans="5:8" x14ac:dyDescent="0.25">
      <c r="E268" s="5"/>
      <c r="H268" s="5"/>
    </row>
    <row r="269" spans="5:8" x14ac:dyDescent="0.25">
      <c r="E269" s="5"/>
      <c r="H269" s="5"/>
    </row>
    <row r="270" spans="5:8" x14ac:dyDescent="0.25">
      <c r="E270" s="5"/>
      <c r="H270" s="5"/>
    </row>
    <row r="271" spans="5:8" x14ac:dyDescent="0.25">
      <c r="E271" s="5"/>
      <c r="H271" s="5"/>
    </row>
    <row r="272" spans="5:8" x14ac:dyDescent="0.25">
      <c r="E272" s="5"/>
      <c r="H272" s="5"/>
    </row>
    <row r="273" spans="5:8" x14ac:dyDescent="0.25">
      <c r="E273" s="5"/>
      <c r="H273" s="5"/>
    </row>
    <row r="274" spans="5:8" x14ac:dyDescent="0.25">
      <c r="E274" s="5"/>
      <c r="H274" s="5"/>
    </row>
    <row r="275" spans="5:8" x14ac:dyDescent="0.25">
      <c r="E275" s="5"/>
      <c r="H275" s="5"/>
    </row>
    <row r="276" spans="5:8" x14ac:dyDescent="0.25">
      <c r="E276" s="5"/>
      <c r="H276" s="5"/>
    </row>
    <row r="277" spans="5:8" x14ac:dyDescent="0.25">
      <c r="E277" s="5"/>
      <c r="H277" s="5"/>
    </row>
    <row r="278" spans="5:8" x14ac:dyDescent="0.25">
      <c r="E278" s="5"/>
      <c r="H278" s="5"/>
    </row>
    <row r="279" spans="5:8" x14ac:dyDescent="0.25">
      <c r="E279" s="5"/>
      <c r="H27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2015-04-28T01:12:27Z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