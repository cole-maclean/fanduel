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8535" tabRatio="721" firstSheet="5" activeTab="11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  <sheet name="Output (2)" sheetId="20" r:id="rId13"/>
  </sheets>
  <definedNames>
    <definedName name="_xlnm._FilterDatabase" localSheetId="11" hidden="1">Output!$A$1:$B$21</definedName>
    <definedName name="_xlnm._FilterDatabase" localSheetId="12" hidden="1">'Output (2)'!$A$1:$B$21</definedName>
    <definedName name="_xlnm._FilterDatabase" localSheetId="6" hidden="1">'Player Map'!$E$1:$J$118</definedName>
    <definedName name="_xlnm._FilterDatabase" localSheetId="5" hidden="1">'Player Mapping'!#REF!</definedName>
    <definedName name="_xlnm._FilterDatabase" localSheetId="1" hidden="1">'To Do'!$A$1:$H$22</definedName>
    <definedName name="cl1st" localSheetId="12">#REF!</definedName>
    <definedName name="cl1st">#REF!</definedName>
    <definedName name="cl2nd" localSheetId="12">#REF!</definedName>
    <definedName name="cl2nd">#REF!</definedName>
    <definedName name="cl3rd" localSheetId="12">#REF!</definedName>
    <definedName name="cl3rd">#REF!</definedName>
    <definedName name="cLastDataDate" localSheetId="3">Backtest_Parameters!#REF!</definedName>
    <definedName name="cLastDataDate" localSheetId="12">Parameters!#REF!</definedName>
    <definedName name="cLastDataDate">Parameters!#REF!</definedName>
    <definedName name="clAwayScore" localSheetId="12">#REF!</definedName>
    <definedName name="clAwayScore">#REF!</definedName>
    <definedName name="clBatter" localSheetId="12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 localSheetId="12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12">#REF!</definedName>
    <definedName name="clEvent">#REF!</definedName>
    <definedName name="clEventDes" localSheetId="3">#REF!</definedName>
    <definedName name="clEventDes" localSheetId="12">#REF!</definedName>
    <definedName name="clEventDes">#REF!</definedName>
    <definedName name="clEventDesc" localSheetId="12">#REF!</definedName>
    <definedName name="clEventDesc">#REF!</definedName>
    <definedName name="clHomeScore" localSheetId="12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12">#REF!</definedName>
    <definedName name="clInning">#REF!</definedName>
    <definedName name="clLastDate" localSheetId="3">Backtest_Parameters!$B$3</definedName>
    <definedName name="clLastDate" localSheetId="12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12">Parameters!#REF!</definedName>
    <definedName name="clMLBTeamsLocations">Parameters!#REF!</definedName>
    <definedName name="clOut" localSheetId="12">#REF!</definedName>
    <definedName name="clOut">#REF!</definedName>
    <definedName name="clPitch" localSheetId="12">#REF!</definedName>
    <definedName name="clPitch">#REF!</definedName>
    <definedName name="clPitcher" localSheetId="12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 localSheetId="12">Parameters!#REF!</definedName>
    <definedName name="clRWMLB">Parameters!#REF!</definedName>
    <definedName name="clRWNBA" localSheetId="3">Backtest_Parameters!$B$5</definedName>
    <definedName name="clRWNBA" localSheetId="12">Parameters!#REF!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 localSheetId="12">Parameters!#REF!</definedName>
    <definedName name="clUserWinsCache">Parameters!#REF!</definedName>
    <definedName name="cSalaryCap" localSheetId="3">Backtest_Parameters!#REF!</definedName>
    <definedName name="cSalaryCap" localSheetId="12">Parameters!#REF!</definedName>
    <definedName name="cSalaryCap">Parameters!#REF!</definedName>
    <definedName name="cStatsURL" localSheetId="3">Backtest_Parameters!#REF!</definedName>
    <definedName name="cStatsURL" localSheetId="12">Parameters!#REF!</definedName>
    <definedName name="cStatsURL">Parameters!#REF!</definedName>
    <definedName name="cTeamLocationDict" localSheetId="3">Backtest_Parameters!#REF!</definedName>
    <definedName name="cTeamLocationDict" localSheetId="12">Parameters!#REF!</definedName>
    <definedName name="cTeamLocationDict">Parameters!#REF!</definedName>
    <definedName name="cUserWinsCache" localSheetId="3">Backtest_Parameters!#REF!</definedName>
    <definedName name="cUserWinsCache" localSheetId="12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3" i="20" l="1"/>
  <c r="D2" i="20"/>
  <c r="B8" i="6" l="1"/>
  <c r="B7" i="6" l="1"/>
</calcChain>
</file>

<file path=xl/sharedStrings.xml><?xml version="1.0" encoding="utf-8"?>
<sst xmlns="http://schemas.openxmlformats.org/spreadsheetml/2006/main" count="2757" uniqueCount="1564">
  <si>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</si>
  <si>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</si>
  <si>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</si>
  <si>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</si>
  <si>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</si>
  <si>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</si>
  <si>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</si>
  <si>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</si>
  <si>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</si>
  <si>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</si>
  <si>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</si>
  <si>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</si>
  <si>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</si>
  <si>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</si>
  <si>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</si>
  <si>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</si>
  <si>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</si>
  <si>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</si>
  <si>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</si>
  <si>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</si>
  <si>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</si>
  <si>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</si>
  <si>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</si>
  <si>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</si>
  <si>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</si>
  <si>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</si>
  <si>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</si>
  <si>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</si>
  <si>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</si>
  <si>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</si>
  <si>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</si>
  <si>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</si>
  <si>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</si>
  <si>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</si>
  <si>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</si>
  <si>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</si>
  <si>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</si>
  <si>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</si>
  <si>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</si>
  <si>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</si>
  <si>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</si>
  <si>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</si>
  <si>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</si>
  <si>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</si>
  <si>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</si>
  <si>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</si>
  <si>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</si>
  <si>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</si>
  <si>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</si>
  <si>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</si>
  <si>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</si>
  <si>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</si>
  <si>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</si>
  <si>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</si>
  <si>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</si>
  <si>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</si>
  <si>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</si>
  <si>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</si>
  <si>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</si>
  <si>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</si>
  <si>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</si>
  <si>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</si>
  <si>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</si>
  <si>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</si>
  <si>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</si>
  <si>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</si>
  <si>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</si>
  <si>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</si>
  <si>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</si>
  <si>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</si>
  <si>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</si>
  <si>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</si>
  <si>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</si>
  <si>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</si>
  <si>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</si>
  <si>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</si>
  <si>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</si>
  <si>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</si>
  <si>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</si>
  <si>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</si>
  <si>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</si>
  <si>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</si>
  <si>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</si>
  <si>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</si>
  <si>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</si>
  <si>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</si>
  <si>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</si>
  <si>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</si>
  <si>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</si>
  <si>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</si>
  <si>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</si>
  <si>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</si>
  <si>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</si>
  <si>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</si>
  <si>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</si>
  <si>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</si>
  <si>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</si>
  <si>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</si>
  <si>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</si>
  <si>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</si>
  <si>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</si>
  <si>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</si>
  <si>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</si>
  <si>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</si>
  <si>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</si>
  <si>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</si>
  <si>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</si>
  <si>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</si>
  <si>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</si>
  <si>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</si>
  <si>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</si>
  <si>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</si>
  <si>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</si>
  <si>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</si>
  <si>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</si>
  <si>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</si>
  <si>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</si>
  <si>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</si>
  <si>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</si>
  <si>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</si>
  <si>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</si>
  <si>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</si>
  <si>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</si>
  <si>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</si>
  <si>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</si>
  <si>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</si>
  <si>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</si>
  <si>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</si>
  <si>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</si>
  <si>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</si>
  <si>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</si>
  <si>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</si>
  <si>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</si>
  <si>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</si>
  <si>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</si>
  <si>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</si>
  <si>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</si>
  <si>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</si>
  <si>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</si>
  <si>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</si>
  <si>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</si>
  <si>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</si>
  <si>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</si>
  <si>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</si>
  <si>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</si>
  <si>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</si>
  <si>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</si>
  <si>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</si>
  <si>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</si>
  <si>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</si>
  <si>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</si>
  <si>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</si>
  <si>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</si>
  <si>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</si>
  <si>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</si>
  <si>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</si>
  <si>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</si>
  <si>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</si>
  <si>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</si>
  <si>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</si>
  <si>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</si>
  <si>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</si>
  <si>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</si>
  <si>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</si>
  <si>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</si>
  <si>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</si>
  <si>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</si>
  <si>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</si>
  <si>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</si>
  <si>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</si>
  <si>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</si>
  <si>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</si>
  <si>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</si>
  <si>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</si>
  <si>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</si>
  <si>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</si>
  <si>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</si>
  <si>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</si>
  <si>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</si>
  <si>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</si>
  <si>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</si>
  <si>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</si>
  <si>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</si>
  <si>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</si>
  <si>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</si>
  <si>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</si>
  <si>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</si>
  <si>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</si>
  <si>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</si>
  <si>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</si>
  <si>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</si>
  <si>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</si>
  <si>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</si>
  <si>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</si>
  <si>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</si>
  <si>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</si>
  <si>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</si>
  <si>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</si>
  <si>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</si>
  <si>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</si>
  <si>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</si>
  <si>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</si>
  <si>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</si>
  <si>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</si>
  <si>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</si>
  <si>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</si>
  <si>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</si>
  <si>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</si>
  <si>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</si>
  <si>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</si>
  <si>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</si>
  <si>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</si>
  <si>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</si>
  <si>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</si>
  <si>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</si>
  <si>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</si>
  <si>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</si>
  <si>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</si>
  <si>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</si>
  <si>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</si>
  <si>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</si>
  <si>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</si>
  <si>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</si>
  <si>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</si>
  <si>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</si>
  <si>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</si>
  <si>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</si>
  <si>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</si>
  <si>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</si>
  <si>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</si>
  <si>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</si>
  <si>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</si>
  <si>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</si>
  <si>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</si>
  <si>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</si>
  <si>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</si>
  <si>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</si>
  <si>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</si>
  <si>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</si>
  <si>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</si>
  <si>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</si>
  <si>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</si>
  <si>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</si>
  <si>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</si>
  <si>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</si>
  <si>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</si>
  <si>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</si>
  <si>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</si>
  <si>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</si>
  <si>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</si>
  <si>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</si>
  <si>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</si>
  <si>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</si>
  <si>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</si>
  <si>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</si>
  <si>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</si>
  <si>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</si>
  <si>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</si>
  <si>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</si>
  <si>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</si>
  <si>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</si>
  <si>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</si>
  <si>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</si>
  <si>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</si>
  <si>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</si>
  <si>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</si>
  <si>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</si>
  <si>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</si>
  <si>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</si>
  <si>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</si>
  <si>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</si>
  <si>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</si>
  <si>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</si>
  <si>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</si>
  <si>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</si>
  <si>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</si>
  <si>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</si>
  <si>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</si>
  <si>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</si>
  <si>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</si>
  <si>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</si>
  <si>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</si>
  <si>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</si>
  <si>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</si>
  <si>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</si>
  <si>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</si>
  <si>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</si>
  <si>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</si>
  <si>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</si>
  <si>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</si>
  <si>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</si>
  <si>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</si>
  <si>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</si>
  <si>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</si>
  <si>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</si>
  <si>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</si>
  <si>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</si>
  <si>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</si>
  <si>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</si>
  <si>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</si>
  <si>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</si>
  <si>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</si>
  <si>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</si>
  <si>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</si>
  <si>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</si>
  <si>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</si>
  <si>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</si>
  <si>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</si>
  <si>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</si>
  <si>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</si>
  <si>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</si>
  <si>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</si>
  <si>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</si>
  <si>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</si>
  <si>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</si>
  <si>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</si>
  <si>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</si>
  <si>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</si>
  <si>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</si>
  <si>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</si>
  <si>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</si>
  <si>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</si>
  <si>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</si>
  <si>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</si>
  <si>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</si>
  <si>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</si>
  <si>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</si>
  <si>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</si>
  <si>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</si>
  <si>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</si>
  <si>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</si>
  <si>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</si>
  <si>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</si>
  <si>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</si>
  <si>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</si>
  <si>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</si>
  <si>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</si>
  <si>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</si>
  <si>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</si>
  <si>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</si>
  <si>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</si>
  <si>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</si>
  <si>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</si>
  <si>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</si>
  <si>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</si>
  <si>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</si>
  <si>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</si>
  <si>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</si>
  <si>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</si>
  <si>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</si>
  <si>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</si>
  <si>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</si>
  <si>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</si>
  <si>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</si>
  <si>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</si>
  <si>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</si>
  <si>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</si>
  <si>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</si>
  <si>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</si>
  <si>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</si>
  <si>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</si>
  <si>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</si>
  <si>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</si>
  <si>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</si>
  <si>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</si>
  <si>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</si>
  <si>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</si>
  <si>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</si>
  <si>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</si>
  <si>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</si>
  <si>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</si>
  <si>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</si>
  <si>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</si>
  <si>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</si>
  <si>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</si>
  <si>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</si>
  <si>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</si>
  <si>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</si>
  <si>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</si>
  <si>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</si>
  <si>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</si>
  <si>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</si>
  <si>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</si>
  <si>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</si>
  <si>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</si>
  <si>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</si>
  <si>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</si>
  <si>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</si>
  <si>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</si>
  <si>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</si>
  <si>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</si>
  <si>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</si>
  <si>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</si>
  <si>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</si>
  <si>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</si>
  <si>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</si>
  <si>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</si>
  <si>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</si>
  <si>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</si>
  <si>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</si>
  <si>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</si>
  <si>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</si>
  <si>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</si>
  <si>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</si>
  <si>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</si>
  <si>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</si>
  <si>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</si>
  <si>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</si>
  <si>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</si>
  <si>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</si>
  <si>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</si>
  <si>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</si>
  <si>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</si>
  <si>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</si>
  <si>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</si>
  <si>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</si>
  <si>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</si>
  <si>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</si>
  <si>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</si>
  <si>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</si>
  <si>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</si>
  <si>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</si>
  <si>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</si>
  <si>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</si>
  <si>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</si>
  <si>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</si>
  <si>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</si>
  <si>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</si>
  <si>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</si>
  <si>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</si>
  <si>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</si>
  <si>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</si>
  <si>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</si>
  <si>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</si>
  <si>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</si>
  <si>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</si>
  <si>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</si>
  <si>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</si>
  <si>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</si>
  <si>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</si>
  <si>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</si>
  <si>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</si>
  <si>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</si>
  <si>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</si>
  <si>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</si>
  <si>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</si>
  <si>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</si>
  <si>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</si>
  <si>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</si>
  <si>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</si>
  <si>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</si>
  <si>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</si>
  <si>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</si>
  <si>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</si>
  <si>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</si>
  <si>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</si>
  <si>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</si>
  <si>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</si>
  <si>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</si>
  <si>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</si>
  <si>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</si>
  <si>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</si>
  <si>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</si>
  <si>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</si>
  <si>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</si>
  <si>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</si>
  <si>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</si>
  <si>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</si>
  <si>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</si>
  <si>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</si>
  <si>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</si>
  <si>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</si>
  <si>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</si>
  <si>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</si>
  <si>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</si>
  <si>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</si>
  <si>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</si>
  <si>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</si>
  <si>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</si>
  <si>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</si>
  <si>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</si>
  <si>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</si>
  <si>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</si>
  <si>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</si>
  <si>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</si>
  <si>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</si>
  <si>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</si>
  <si>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</si>
  <si>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</si>
  <si>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</si>
  <si>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</si>
  <si>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</si>
  <si>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</si>
  <si>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</si>
  <si>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</si>
  <si>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</si>
  <si>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</si>
  <si>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</si>
  <si>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</si>
  <si>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</si>
  <si>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</si>
  <si>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</si>
  <si>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</si>
  <si>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</si>
  <si>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</si>
  <si>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</si>
  <si>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</si>
  <si>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</si>
  <si>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</si>
  <si>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</si>
  <si>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</si>
  <si>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</si>
  <si>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</si>
  <si>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</si>
  <si>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</si>
  <si>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</si>
  <si>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</si>
  <si>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</si>
  <si>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</si>
  <si>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</si>
  <si>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</si>
  <si>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</si>
  <si>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</si>
  <si>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</si>
  <si>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</si>
  <si>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</si>
  <si>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</si>
  <si>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</si>
  <si>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</si>
  <si>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</si>
  <si>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</si>
  <si>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</si>
  <si>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</si>
  <si>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</si>
  <si>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</si>
  <si>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</si>
  <si>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</si>
  <si>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</si>
  <si>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</si>
  <si>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</si>
  <si>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</si>
  <si>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</si>
  <si>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</si>
  <si>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</si>
  <si>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</si>
  <si>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</si>
  <si>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</si>
  <si>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</si>
  <si>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</si>
  <si>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</si>
  <si>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</si>
  <si>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</si>
  <si>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</si>
  <si>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</si>
  <si>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</si>
  <si>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</si>
  <si>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</si>
  <si>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</si>
  <si>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</si>
  <si>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</si>
  <si>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</si>
  <si>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</si>
  <si>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</si>
  <si>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</si>
  <si>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</si>
  <si>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</si>
  <si>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</si>
  <si>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</si>
  <si>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</si>
  <si>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</si>
  <si>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</si>
  <si>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</si>
  <si>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</si>
  <si>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</si>
  <si>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</si>
  <si>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</si>
  <si>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</si>
  <si>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</si>
  <si>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</si>
  <si>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</si>
  <si>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</si>
  <si>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</si>
  <si>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</si>
  <si>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</si>
  <si>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</si>
  <si>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</si>
  <si>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</si>
  <si>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</si>
  <si>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</si>
  <si>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</si>
  <si>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</si>
  <si>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</si>
  <si>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</si>
  <si>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</si>
  <si>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</si>
  <si>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</si>
  <si>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</si>
  <si>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</si>
  <si>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</si>
  <si>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</si>
  <si>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</si>
  <si>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</si>
  <si>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</si>
  <si>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</si>
  <si>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</si>
  <si>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</si>
  <si>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</si>
  <si>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</si>
  <si>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</si>
  <si>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</si>
  <si>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</si>
  <si>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</si>
  <si>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</si>
  <si>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</si>
  <si>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</si>
  <si>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</si>
  <si>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</si>
  <si>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</si>
  <si>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</si>
  <si>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</si>
  <si>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</si>
  <si>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</si>
  <si>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</si>
  <si>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</si>
  <si>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</si>
  <si>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</si>
  <si>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</si>
  <si>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</si>
  <si>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</si>
  <si>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</si>
  <si>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</si>
  <si>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</si>
  <si>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</si>
  <si>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</si>
  <si>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</si>
  <si>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</si>
  <si>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</si>
  <si>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</si>
  <si>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</si>
  <si>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</si>
  <si>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</si>
  <si>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</si>
  <si>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</si>
  <si>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</si>
  <si>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</si>
  <si>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</si>
  <si>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</si>
  <si>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</si>
  <si>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</si>
  <si>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</si>
  <si>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</si>
  <si>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</si>
  <si>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</si>
  <si>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</si>
  <si>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</si>
  <si>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</si>
  <si>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</si>
  <si>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</si>
  <si>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</si>
  <si>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</si>
  <si>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</si>
  <si>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</si>
  <si>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</si>
  <si>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</si>
  <si>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</si>
  <si>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</si>
  <si>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</si>
  <si>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</si>
  <si>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</si>
  <si>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</si>
  <si>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</si>
  <si>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</si>
  <si>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</si>
  <si>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</si>
  <si>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</si>
  <si>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</si>
  <si>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</si>
  <si>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</si>
  <si>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</si>
  <si>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</si>
  <si>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</si>
  <si>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</si>
  <si>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</si>
  <si>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</si>
  <si>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</si>
  <si>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</si>
  <si>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</si>
  <si>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</si>
  <si>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</si>
  <si>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</si>
  <si>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</si>
  <si>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</si>
  <si>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</si>
  <si>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</si>
  <si>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</si>
  <si>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</si>
  <si>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</si>
  <si>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</si>
  <si>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</si>
  <si>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</si>
  <si>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</si>
  <si>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</si>
  <si>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</si>
  <si>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</si>
  <si>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</si>
  <si>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</si>
  <si>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</si>
  <si>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</si>
  <si>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</si>
  <si>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</si>
  <si>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</si>
  <si>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</si>
  <si>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</si>
  <si>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</si>
  <si>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</si>
  <si>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</si>
  <si>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</si>
  <si>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</si>
  <si>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</si>
  <si>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</si>
  <si>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</si>
  <si>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</si>
  <si>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</si>
  <si>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</si>
  <si>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</si>
  <si>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</si>
  <si>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</si>
  <si>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</si>
  <si>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</si>
  <si>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</si>
  <si>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</si>
  <si>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</si>
  <si>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</si>
  <si>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</si>
  <si>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</si>
  <si>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</si>
  <si>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</si>
  <si>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</si>
  <si>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</si>
  <si>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</si>
  <si>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</si>
  <si>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</si>
  <si>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</si>
  <si>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</si>
  <si>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</si>
  <si>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</si>
  <si>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</si>
  <si>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</si>
  <si>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</si>
  <si>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</si>
  <si>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</si>
  <si>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</si>
  <si>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</si>
  <si>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</si>
  <si>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</si>
  <si>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</si>
  <si>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</si>
  <si>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</si>
  <si>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</si>
  <si>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</si>
  <si>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</si>
  <si>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</si>
  <si>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</si>
  <si>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</si>
  <si>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</si>
  <si>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</si>
  <si>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</si>
  <si>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</si>
  <si>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</si>
  <si>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</si>
  <si>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</si>
  <si>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</si>
  <si>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</si>
  <si>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</si>
  <si>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</si>
  <si>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</si>
  <si>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</si>
  <si>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</si>
  <si>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</si>
  <si>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</si>
  <si>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</si>
  <si>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</si>
  <si>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</si>
  <si>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</si>
  <si>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</si>
  <si>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</si>
  <si>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</si>
  <si>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</si>
  <si>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</si>
  <si>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</si>
  <si>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</si>
  <si>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</si>
  <si>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</si>
  <si>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</si>
  <si>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</si>
  <si>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</si>
  <si>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</si>
  <si>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</si>
  <si>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</si>
  <si>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</si>
  <si>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</si>
  <si>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</si>
  <si>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</si>
  <si>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</si>
  <si>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</si>
  <si>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</si>
  <si>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</si>
  <si>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</si>
  <si>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</si>
  <si>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</si>
  <si>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</si>
  <si>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</si>
  <si>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</si>
  <si>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</si>
  <si>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</si>
  <si>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</si>
  <si>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</si>
  <si>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</si>
  <si>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</si>
  <si>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</si>
  <si>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</si>
  <si>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</si>
  <si>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</si>
  <si>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</si>
  <si>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</si>
  <si>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</si>
  <si>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</si>
  <si>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</si>
  <si>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</si>
  <si>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</si>
  <si>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</si>
  <si>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</si>
  <si>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</si>
  <si>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</si>
  <si>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</si>
  <si>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</si>
  <si>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</si>
  <si>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</si>
  <si>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</si>
  <si>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</si>
  <si>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</si>
  <si>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</si>
  <si>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</si>
  <si>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</si>
  <si>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</si>
  <si>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</si>
  <si>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</si>
  <si>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</si>
  <si>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</si>
  <si>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</si>
  <si>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</si>
  <si>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</si>
  <si>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</si>
  <si>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</si>
  <si>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</si>
  <si>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</si>
  <si>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</si>
  <si>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</si>
  <si>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</si>
  <si>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</si>
  <si>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</si>
  <si>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</si>
  <si>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</si>
  <si>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</si>
  <si>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</si>
  <si>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</si>
  <si>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</si>
  <si>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</si>
  <si>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</si>
  <si>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</si>
  <si>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</si>
  <si>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</si>
  <si>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</si>
  <si>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</si>
  <si>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</si>
  <si>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</si>
  <si>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</si>
  <si>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</si>
  <si>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</si>
  <si>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</si>
  <si>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</si>
  <si>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</si>
  <si>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</si>
  <si>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</si>
  <si>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</si>
  <si>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</si>
  <si>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</si>
  <si>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</si>
  <si>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</si>
  <si>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</si>
  <si>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</si>
  <si>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</si>
  <si>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</si>
  <si>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</si>
  <si>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</si>
  <si>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</si>
  <si>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</si>
  <si>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</si>
  <si>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</si>
  <si>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</si>
  <si>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</si>
  <si>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</si>
  <si>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</si>
  <si>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</si>
  <si>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</si>
  <si>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</si>
  <si>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</si>
  <si>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</si>
  <si>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</si>
  <si>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</si>
  <si>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</si>
  <si>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</si>
  <si>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</si>
  <si>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</si>
  <si>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</si>
  <si>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</si>
  <si>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</si>
  <si>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</si>
  <si>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</si>
  <si>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</si>
  <si>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</si>
  <si>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</si>
  <si>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</si>
  <si>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</si>
  <si>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</si>
  <si>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</si>
  <si>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</si>
  <si>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</si>
  <si>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</si>
  <si>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</si>
  <si>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</si>
  <si>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</si>
  <si>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</si>
  <si>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</si>
  <si>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</si>
  <si>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</si>
  <si>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</si>
  <si>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</si>
  <si>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</si>
  <si>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</si>
  <si>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</si>
  <si>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</si>
  <si>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</si>
  <si>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</si>
  <si>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</si>
  <si>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</si>
  <si>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</si>
  <si>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</si>
  <si>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</si>
  <si>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</si>
  <si>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</si>
  <si>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</si>
  <si>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</si>
  <si>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</si>
  <si>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</si>
  <si>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</si>
  <si>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</si>
  <si>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</si>
  <si>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</si>
  <si>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</si>
  <si>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</si>
  <si>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</si>
  <si>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</si>
  <si>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</si>
  <si>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</si>
  <si>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</si>
  <si>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</si>
  <si>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</si>
  <si>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</si>
  <si>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</si>
  <si>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</si>
  <si>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</si>
  <si>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</si>
  <si>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</si>
  <si>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</si>
  <si>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</si>
  <si>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</si>
  <si>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</si>
  <si>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</si>
  <si>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</si>
  <si>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</si>
  <si>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</si>
  <si>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</si>
  <si>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</si>
  <si>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</si>
  <si>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</si>
  <si>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</si>
  <si>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</si>
  <si>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</si>
  <si>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</si>
  <si>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</si>
  <si>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</si>
  <si>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</si>
  <si>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</si>
  <si>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</si>
  <si>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</si>
  <si>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</si>
  <si>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</si>
  <si>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</si>
  <si>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</si>
  <si>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</si>
  <si>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</si>
  <si>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</si>
  <si>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</si>
  <si>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</si>
  <si>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</si>
  <si>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</si>
  <si>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</si>
  <si>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</si>
  <si>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</si>
  <si>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</si>
  <si>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</si>
  <si>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</si>
  <si>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</si>
  <si>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</si>
  <si>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</si>
  <si>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</si>
  <si>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</si>
  <si>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</si>
  <si>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</si>
  <si>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</si>
  <si>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</si>
  <si>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</si>
  <si>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</si>
  <si>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</si>
  <si>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</si>
  <si>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</si>
  <si>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</si>
  <si>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</si>
  <si>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</si>
  <si>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</si>
  <si>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</si>
  <si>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</si>
  <si>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</si>
  <si>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</si>
  <si>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</si>
  <si>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</si>
  <si>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</si>
  <si>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</si>
  <si>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</si>
  <si>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</si>
  <si>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</si>
  <si>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</si>
  <si>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</si>
  <si>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</si>
  <si>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</si>
  <si>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</si>
  <si>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</si>
  <si>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</si>
  <si>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</si>
  <si>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</si>
  <si>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</si>
  <si>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</si>
  <si>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</si>
  <si>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</si>
  <si>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</si>
  <si>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</si>
  <si>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</si>
  <si>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</si>
  <si>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</si>
  <si>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</si>
  <si>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</si>
  <si>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</si>
  <si>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</si>
  <si>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</si>
  <si>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</si>
  <si>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</si>
  <si>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</si>
  <si>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</si>
  <si>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</si>
  <si>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</si>
  <si>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</si>
  <si>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</si>
  <si>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</si>
  <si>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</si>
  <si>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</si>
  <si>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</si>
  <si>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</si>
  <si>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</si>
  <si>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</si>
  <si>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</si>
  <si>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</si>
  <si>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</si>
  <si>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</si>
  <si>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</si>
  <si>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</si>
  <si>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</si>
  <si>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</si>
  <si>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</si>
  <si>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</si>
  <si>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</si>
  <si>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</si>
  <si>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</si>
  <si>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</si>
  <si>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</si>
  <si>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</si>
  <si>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</si>
  <si>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</si>
  <si>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</si>
  <si>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</si>
  <si>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</si>
  <si>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</si>
  <si>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</si>
  <si>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</si>
  <si>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</si>
  <si>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</si>
  <si>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</si>
  <si>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</si>
  <si>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</si>
  <si>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</si>
  <si>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</si>
  <si>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</si>
  <si>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</si>
  <si>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</si>
  <si>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</si>
  <si>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</si>
  <si>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</si>
  <si>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</si>
  <si>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</si>
  <si>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</si>
  <si>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</si>
  <si>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</si>
  <si>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</si>
  <si>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</si>
  <si>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</si>
  <si>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</si>
  <si>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</si>
  <si>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</si>
  <si>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</si>
  <si>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</si>
  <si>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</si>
  <si>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</si>
  <si>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</si>
  <si>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</si>
  <si>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</si>
  <si>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</si>
  <si>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</si>
  <si>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</si>
  <si>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</si>
  <si>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</si>
  <si>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</si>
  <si>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</si>
  <si>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</si>
  <si>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</si>
  <si>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</si>
  <si>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</si>
  <si>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</si>
  <si>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</si>
  <si>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</si>
  <si>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</si>
  <si>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</si>
  <si>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</si>
  <si>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</si>
  <si>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</si>
  <si>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</si>
  <si>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</si>
  <si>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</si>
  <si>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</si>
  <si>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</si>
  <si>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</si>
  <si>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</si>
  <si>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</si>
  <si>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</si>
  <si>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</si>
  <si>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</si>
  <si>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</si>
  <si>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</si>
  <si>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</si>
  <si>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</si>
  <si>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</si>
  <si>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</si>
  <si>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</si>
  <si>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</si>
  <si>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</si>
  <si>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</si>
  <si>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</si>
  <si>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</si>
  <si>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</si>
  <si>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</si>
  <si>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</si>
  <si>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</si>
  <si>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</si>
  <si>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</si>
  <si>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</si>
  <si>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</si>
  <si>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</si>
  <si>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</si>
  <si>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</si>
  <si>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</si>
  <si>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</si>
  <si>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</si>
  <si>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</si>
  <si>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</si>
  <si>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</si>
  <si>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</si>
  <si>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</si>
  <si>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</si>
  <si>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</si>
  <si>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</si>
  <si>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</si>
  <si>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</si>
  <si>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</si>
  <si>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</si>
  <si>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</si>
  <si>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</si>
  <si>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</si>
  <si>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</si>
  <si>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</si>
  <si>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</si>
  <si>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</si>
  <si>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</si>
  <si>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</si>
  <si>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</si>
  <si>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</si>
  <si>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</si>
  <si>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</si>
  <si>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</si>
  <si>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</si>
  <si>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</si>
  <si>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</si>
  <si>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</si>
  <si>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</si>
  <si>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</si>
  <si>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</si>
  <si>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</si>
  <si>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</si>
  <si>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</si>
  <si>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</si>
  <si>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</si>
  <si>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</si>
  <si>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</si>
  <si>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</si>
  <si>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</si>
  <si>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</si>
  <si>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</si>
  <si>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</si>
  <si>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</si>
  <si>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</si>
  <si>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</si>
  <si>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</si>
  <si>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</si>
  <si>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</si>
  <si>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</si>
  <si>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</si>
  <si>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</si>
  <si>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</si>
  <si>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</si>
  <si>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</si>
  <si>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</si>
  <si>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</si>
  <si>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</si>
  <si>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</si>
  <si>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</si>
  <si>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</si>
  <si>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</si>
  <si>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</si>
  <si>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</si>
  <si>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</si>
  <si>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</si>
  <si>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</si>
  <si>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</si>
  <si>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</si>
  <si>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</si>
  <si>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</si>
  <si>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</si>
  <si>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</si>
  <si>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</si>
  <si>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</si>
  <si>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</si>
  <si>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</si>
  <si>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</si>
  <si>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</si>
  <si>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</si>
  <si>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</si>
  <si>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</si>
  <si>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</si>
  <si>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</si>
  <si>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</si>
  <si>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</si>
  <si>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</si>
  <si>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</si>
  <si>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</si>
  <si>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</si>
  <si>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</si>
  <si>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</si>
  <si>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</si>
  <si>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</si>
  <si>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</si>
  <si>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</si>
  <si>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</si>
  <si>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</si>
  <si>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</si>
  <si>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</si>
  <si>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</si>
  <si>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</si>
  <si>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</si>
  <si>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</si>
  <si>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</si>
  <si>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</si>
  <si>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</si>
  <si>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</si>
  <si>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</si>
  <si>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</si>
  <si>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</si>
  <si>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</si>
  <si>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</si>
  <si>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</si>
  <si>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</si>
  <si>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</si>
  <si>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</si>
  <si>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</si>
  <si>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</si>
  <si>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</si>
  <si>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</si>
  <si>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</si>
  <si>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</si>
  <si>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</si>
  <si>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</si>
  <si>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</si>
  <si>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</si>
  <si>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</si>
  <si>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</si>
  <si>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</si>
  <si>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</si>
  <si>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</si>
  <si>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</si>
  <si>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</si>
  <si>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</si>
  <si>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</si>
  <si>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</si>
  <si>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</si>
  <si>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</si>
  <si>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</si>
  <si>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</si>
  <si>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</si>
  <si>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</si>
  <si>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</si>
  <si>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</si>
  <si>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</si>
  <si>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</si>
  <si>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</si>
  <si>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</si>
  <si>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</si>
  <si>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</si>
  <si>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</si>
  <si>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</si>
  <si>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</si>
  <si>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</si>
  <si>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</si>
  <si>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</si>
  <si>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</si>
  <si>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</si>
  <si>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</si>
  <si>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</si>
  <si>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</si>
  <si>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</si>
  <si>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</si>
  <si>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</si>
  <si>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</si>
  <si>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</si>
  <si>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</si>
  <si>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</si>
  <si>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</si>
  <si>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</si>
  <si>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</si>
  <si>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</si>
  <si>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</si>
  <si>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</si>
  <si>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</si>
  <si>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</si>
  <si>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</si>
  <si>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</si>
  <si>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</si>
  <si>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</si>
  <si>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</si>
  <si>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</si>
  <si>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</si>
  <si>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</si>
  <si>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</si>
  <si>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</si>
  <si>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</si>
  <si>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</si>
  <si>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</si>
  <si>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</si>
  <si>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</si>
  <si>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</si>
  <si>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</si>
  <si>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</si>
  <si>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</si>
  <si>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</si>
  <si>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</si>
  <si>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</si>
  <si>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</si>
  <si>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</si>
  <si>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</si>
  <si>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</si>
  <si>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</si>
  <si>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</si>
  <si>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</si>
  <si>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</si>
  <si>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</si>
  <si>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</si>
  <si>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</si>
  <si>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</si>
  <si>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</si>
  <si>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</si>
  <si>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</si>
  <si>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</si>
  <si>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</si>
  <si>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</si>
  <si>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</si>
  <si>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</si>
  <si>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</si>
  <si>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</si>
  <si>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</si>
  <si>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</si>
  <si>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</si>
  <si>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</si>
  <si>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</si>
  <si>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</si>
  <si>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</si>
  <si>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</si>
  <si>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</si>
  <si>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</si>
  <si>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</si>
  <si>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</si>
  <si>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</si>
  <si>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</si>
  <si>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</si>
  <si>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</si>
  <si>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</si>
  <si>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</si>
  <si>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</si>
  <si>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</si>
  <si>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</si>
  <si>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</si>
  <si>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</si>
  <si>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</si>
  <si>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</si>
  <si>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</si>
  <si>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</si>
  <si>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</si>
  <si>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</si>
  <si>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</si>
  <si>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</si>
  <si>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</si>
  <si>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</si>
  <si>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</si>
  <si>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</si>
  <si>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</si>
  <si>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</si>
  <si>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</si>
  <si>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</si>
  <si>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</si>
  <si>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</si>
  <si>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</si>
  <si>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</si>
  <si>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</si>
  <si>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</si>
  <si>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</si>
  <si>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</si>
  <si>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</si>
  <si>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</si>
  <si>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</si>
  <si>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</si>
  <si>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</si>
  <si>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</si>
  <si>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</si>
  <si>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</si>
  <si>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</si>
  <si>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</si>
  <si>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</si>
  <si>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</si>
  <si>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</si>
  <si>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C:\Users\Cole\Desktop\FanDuel\fanduel\modules\Sport.py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</si>
  <si>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</si>
  <si>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</si>
  <si>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</si>
  <si>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</si>
  <si>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</si>
  <si>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</si>
  <si>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</si>
  <si>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</si>
  <si>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</si>
  <si>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</si>
  <si>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</si>
  <si>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</si>
  <si>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</si>
  <si>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</si>
  <si>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</si>
  <si>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</si>
  <si>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</si>
  <si>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</si>
  <si>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</si>
  <si>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</si>
  <si>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</si>
  <si>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</si>
  <si>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</si>
  <si>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</si>
  <si>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</si>
  <si>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</si>
  <si>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</si>
  <si>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</si>
  <si>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</si>
  <si>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</si>
  <si>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</si>
  <si>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</si>
  <si>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</si>
  <si>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</si>
  <si>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</si>
  <si>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</si>
  <si>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</si>
  <si>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</si>
  <si>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</si>
  <si>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</si>
  <si>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</si>
  <si>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</si>
  <si>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</si>
  <si>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</si>
  <si>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</si>
  <si>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data_scrapping.py (1)</t>
  </si>
  <si>
    <t>C:\Users\Ian Whitestone\Documents\Python Projects\Fanduel-master\fanduel\modules\data_scrapping.py</t>
  </si>
  <si>
    <t>Sport.py (1)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</si>
  <si>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</si>
  <si>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</si>
  <si>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</si>
  <si>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</si>
  <si>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</si>
  <si>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</si>
  <si>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</si>
  <si>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</si>
  <si>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</si>
  <si>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</si>
  <si>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</si>
  <si>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</si>
  <si>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</si>
  <si>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</si>
  <si>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</si>
  <si>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</si>
  <si>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</si>
  <si>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</si>
  <si>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</si>
  <si>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</si>
  <si>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</si>
  <si>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</si>
  <si>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</si>
  <si>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Derrick Rose, Jason Terry, James Harden, J.J. Redick, Matt Barnes, Mike Dunleavy, Blake Griffin, Pau Gasol, Joakim Noah</t>
  </si>
  <si>
    <t>Carlos Carrasco, Yasmani Grandal, Jose Abreu, Brian Dozier, Luis Valbuena, Troy Tulowitzki, Kole Calhoun, Mookie Betts, Kevin Kiermaier</t>
  </si>
  <si>
    <t>Steven Stamkos, Derek Stepan, Alex Ovechkin, Ondrej Palat, Martin St. Louis, Christian Thomas, Keith Yandle, Jason Garrison, Henrik Lundqvist</t>
  </si>
  <si>
    <t>Chris Paul, Will Cherry, James Harden, J.J. Redick, LeBron James, Matt Barnes, Terrence Jones, Taj Gibson, Dwight Howard</t>
  </si>
  <si>
    <t>TAM</t>
  </si>
  <si>
    <t>SDP</t>
  </si>
  <si>
    <t>SFG</t>
  </si>
  <si>
    <t>LOS</t>
  </si>
  <si>
    <t>Marcus Semien_batter</t>
  </si>
  <si>
    <t>Giancarlo Stanton_batter</t>
  </si>
  <si>
    <t>Robinson Cano_batter</t>
  </si>
  <si>
    <t>Albert Pujols_batter</t>
  </si>
  <si>
    <t>Kyle Seager_batter</t>
  </si>
  <si>
    <t>Madison Bumgarner_pitcher</t>
  </si>
  <si>
    <t>Marcell Ozuna_batter</t>
  </si>
  <si>
    <t>Coco Crisp_batter</t>
  </si>
  <si>
    <t>Josh Phegley_batter</t>
  </si>
  <si>
    <t>{'17151': ['OF', 'Dalton Pompey', '95829', '595', '1000', '2300', 1.7, '23', False, 0, '', 'old', ''], '5590': ['1B', 'Mike Napoli', '95829', '592', '329', '2200', 1.5, '26', False, 4, '', 'recent', ''], '13356': ['P', 'Adam Wilk', '95836', '601', '1000', '3700', 3, '1', False, 0, '', 'old', ''], '12861': ['OF', 'David Lough', '95827', '591', '1000', '2200', 0.5, '15', False, 0, '', 'old', ''], '52867': ['P', 'Dalier Hinojosa', '95829', '592', '1000', '3000', 3.7, '1', False, 0, '', 'recent', ''], '52860': ['P', 'Erik Goeddel', '95833', '607', '1000', '4000', 1.6, '9', False, 0, '', 'old', ''], '13300': ['OF', 'Danny Dorn', '95840', '616', '1000', '2200', 0.2, '11', False, 0, '', 'old', ''], '13731': ['2B', 'Ryan Flaherty', '95827', '591', '1000', '2500', 2.7, '11', False, 6, 'Groin', 'breaking', 'Day-To-Day'], '13072': ['2B', 'Logan Forsythe', '95831', '594', '1000', '2400', 1.7, '36', False, 4, '', 'recent', ''], '62087': ['P', 'Miguel Castro', '95829', '595', '1000', '3000', 1.4, '13', False, 0, '', 'recent', ''], '21764': ['P', 'Caleb Thielbar', '95826', '600', '1000', '4600', 1.2, '6', False, 0, '', 'old', ''], '23697': ['P', 'Tom Layne', '95829', '592', '1000', '4600', 1.2, '7', False, 0, '', 'old', ''], '5824': ['P', 'Antonio Bastardo', '95834', '614', '948', '4000', 1, '11', False, 0, '', 'old', ''], '12523': ['P', 'Jeremy Jeffress', '95835', '613', '1000', '4000', 1.3, '16', False, 0, '', 'old', ''], '12522': ['P', 'Cory Luebke', '95840', '619', '1000', '4600', 0, 0, False, 2, 'Elbow', 'old', '60-Day DL'], '5829': ['P', 'Matt Belisle', '95834', '615', '1087', '4000', 1.7, '14', False, 0, '', 'old', ''], '13228': ['SS', 'Hector Gomez', '95835', '613', '1000', '2400', 1.2, '20', False, 0, '', 'recent', ''], '13241': ['P', 'Miguel Socolovich', '95834', '615', '1000', '2500', 4.6, '3', False, 0, '', 'recent', ''], '39109': ['OF', 'Preston Tucker', '95836', '612', '1000', '3000', 0.9, '2', False, 0, '', 'recent', ''], '38172': ['P', 'Chris Heston', '95837', '620', '1000', '5800', 10.1, '6', False, 0, '', 'recent', ''], '13161': ['SS', 'Doug Bernier', '95826', '600', '1000', '2200', 2, '1', False, 0, '', 'recent', ''], '6308': ['3B', 'Chris Johnson', '95832', '605', '1364', '2200', 1.6, '16', False, 2, 'Hand', 'old', '15-Day DL'], '12933': ['OF', 'Mike Trout', '95836', '601', '1000', '5300', 3.9, '30', False, 4, '', 'breaking', ''], '5030': ['SS', 'Everth Cabrera', '95827', '591', '273', '2200', 0.8, '23', False, 2, 'Foot', 'recent', '15-Day DL'], '12931': ['OF', 'Wil Myers', '95840', '619', '1000', '3600', 3.3, '30', False, 4, '', 'breaking', ''], '12936': ['P', 'Kyle Gibson', '95826', '600', '1000', '6400', 7.9, '6', False, 0, '', 'recent', ''], '5841': ['2B', 'Andres Blanco', '95833', '608', '584', '2200', 0.3, '15', False, 0, '', 'old', ''], '52268': ['P', 'Masahiro Tanaka', '95827', '593', '1000', '9100', 11.6, '4', False, 2, 'Forearm', 'recent', '15-Day DL'], '12935': ['2B', 'Dee Gordon', '95837', '606', '1000', '3900', 3.8, '28', False, 6, 'Leg', 'breaking', 'Day-To-Day'], '12938': ['SS', 'Grant Green', '95836', '601', '1000', '2200', 1.3, '3', False, 0, '', 'old', ''], '5326': ['2B', 'Gordon Beckham', '95828', '596', '218', '2200', 0.8, '20', False, 0, '', 'recent', ''], '13098': ['C', 'Rene Rivera', '95831', '594', '1000', '2200', 0.4, '28', False, 4, '', 'recent', ''], '62603': ['P', 'Williams Perez', '95832', '605', '1000', '3000', -3.7, '1', False, 0, '', 'recent', ''], '6151': ['P', 'Anibal Sanchez', '95830', '598', '77', '8400', 9.8, '6', False, 0, '', 'breaking', ''], '5463': ['OF', 'Brandon Moss', '95826', '597', '529', '3300', 2.5, '26', False, 4, '', 'old', ''], '38041': ['P', 'Ryan Pressly', '95826', '600', '1000', '4600', 5.2, '3', False, 0, '', 'old', ''], '38044': ['P', 'Adam Liberatore', '95839', '618', '1000', '3000', 2.1, '7', False, 0, '', 'old', ''], '5466': ['P', 'Charlie Morton', '95834', '614', '104', '6500', 9.3, 26, False, 2, 'Hip', 'recent', '15-Day DL'], '5469': ['P', "Eric O'Flaherty", '95838', '602', '2067', '4600', 0.6, '8', False, 2, 'Shoulder', 'recent', '15-Day DL'], '23626': ['P', 'Will Harris', '95836', '612', '1000', '4400', 3.5, '11', False, 0, '', 'recent', ''], '13880': ['OF', 'Jaff Decker', '95834', '614', '1000', '2200', -0.3, 5, False, 0, '', 'old', ''], '40382': ['P', 'Luis Garcia', '95833', '608', '1000', '4000', 1.7, '14', False, 0, '', 'old', ''], '5265': ['C', 'Matt Wieters', '95827', '591', '446', '2900', 2.7, 26, False, 2, 'Elbow', 'recent', '15-Day DL'], '5263': ['OF', 'Nick Markakis', '95832', '605', '232', '2600', 2.1, '28', False, 4, '', 'old', ''], '5262': ['OF', 'Adam Jones', '95827', '591', '237', '3800', 3.3, '27', False, 4, '', 'breaking', ''], '13400': ['1B', 'Clint Robinson', '95832', '609', '1000', '2200', 0.6, '21', False, 0, '', 'old', ''], '12660': ['2B', 'Daniel Descalso', '95839', '617', '1000', '2600', 0.2, '20', False, 0, '', 'recent', ''], '10968': ['P', 'Jeremy Hellickson', '95840', '616', '1931', '5800', 6.7, '6', False, 0, '', 'breaking', ''], '13014': ['SS', 'Alexi Amarista', '95840', '619', '1000', '2300', 1.2, '27', False, 4, '', 'recent', ''], '5857': ['OF', 'Jay Bruce', '95828', '611', '279', '2800', 2.2, '28', False, 4, '', 'breaking', ''], '13010': ['P', 'David Phelps', '95837', '606', '1000', '6800', 6, '6', False, 0, '', 'recent', ''], '13011': ['P', 'Hector Noesi', '95828', '596', '1000', '6400', 5.6, '3', False, 2, 'Back', 'breaking', 'Day-To-Day'], '52891': ['P', 'Ian Thomas', '95832', '605', '1000', '4600', 1.3, '4', False, 0, '', 'old', ''], '5914': ['P', 'R.A. Dickey', '95829', '595', '2292', '7700', 7.3, '6', False, 1, '', 'recent', ''], '12848': ['P', 'Hector Rondon', '95835', '610', '1000', '4000', 1.9, '13', False, 4, '', 'breaking', ''], '5911': ['P', 'Ross Detwiler', '95831', '604', '133', '6000', 4.7, '5', False, 0, '', 'recent', ''], '5221': ['SS', 'Asdrubal Cabrera', '95831', '594', '230', '2300', 1, '29', False, 4, '', 'recent', ''], '13018': ['1B', 'Efren Navarro', '95836', '601', '1000', '2200', 0.4, '12', False, 0, '', 'recent', ''], '13019': ['P', 'Garrett Richards', '95836', '601', '1000', '8700', 11.3, '4', False, 1, '', 'recent', ''], '12499': ['2B', 'Darwin Barney', '95839', '618', '1000', '2200', -0.5, '2', False, 0, '', 'old', ''], '21666': ['OF', 'Mark Canha', '95838', '602', '1000', '2700', 2.1, '30', False, 0, '', 'breaking', ''], '5842': ['OF', 'Gregor Blanco', '95837', '620', '653', '2200', 0.9, '25', False, 0, '', 'old', ''], '13544': ['OF', 'Alex Hassan', '95838', '602', '1000', '2600', 0.4, 3, False, 0, '', 'recent', ''], '37984': ['P', 'Jose Fernandez', '95837', '606', '1000', '9800', 15.4, 8, False, 2, 'Elbow', 'old', '60-Day DL'], '13540': ['OF', 'J.D. Martinez', '95830', '598', '1000', '3000', 2.4, '29', False, 4, '', 'recent', ''], '11132': ['P', 'Travis Wood', '95835', '610', '825', '7500', 6.7, '8', False, 0, '', 'recent', ''], '17382': ['OF', 'Gregory Polanco', '95834', '614', '1000', '3200', 2.5, '28', False, 4, '', 'recent', ''], '13425': ['C', 'Tuffy Gosewisch', '95840', '616', '1000', '2900', 1.2, '22', False, 4, '', 'recent', ''], '13423': ['OF', 'Starling Marte', '95834', '614', '1000', '4100', 3.1, '29', False, 6, 'Head', 'breaking', 'Day-To-Day'], '13422': ['OF', 'Jacob Marisnick', '95836', '612', '1000', '2900', 3, '27', False, 4, '', 'breaking', ''], '12989': ['OF', 'Brandon Guyer', '95831', '594', '1000', '2600', 2.2, '23', False, 4, '', 'recent', ''], '61858': ['P', 'Raisel Iglesias', '95828', '611', '1000', '3000', 6, '1', False, 0, '', 'old', ''], '5415': ['P', 'Craig Breslow', '95829', '592', '2443', '4600', 2.1, '12', False, 0, '', 'old', ''], '5416': ['P', 'Brett Anderson', '95839', '618', '44', '6000', 7.1, '6', False, 0, '', 'breaking', ''], '13363': ['C', 'Ryan Lavarnway', '95827', '591', '1000', '2200', 0.3, '6', False, 0, '', 'old', ''], '5418': ['3B', 'Alex Rodriguez', '95827', '593', '156', '3400', 3.1, '28', False, 6, 'General Soreness', 'breaking', 'Day-To-Day'], '11443': ['1B', 'Justin Smoak', '95829', '595', '1000', '2300', 1.3, '23', False, 0, '', 'old', ''], '6197': ['OF', 'Justin Upton', '95840', '619', '212', '4200', 3.6, '30', False, 4, '', 'breaking', ''], '21165': ['C', 'Roberto Perez', '95826', '597', '1000', '2300', 1.7, '19', False, 4, '', 'recent', ''], '11989': ['OF', 'Jon Jay', '95834', '615', '1000', '2300', 1.1, '34', False, 4, '', 'recent', ''], '13342': ['3B', 'Nick Castellanos', '95830', '598', '1000', '2200', 1.4, '29', False, 4, '', 'old', ''], '12594': ['P', 'Jake McGee', '95831', '594', '1000', '4600', 2.3, 73, False, 2, 'Elbow', 'recent', '15-Day DL'], '39843': ['P', 'Burch Smith', '95831', '594', '1000', '4600', 6, 10, False, 2, 'Elbow', 'old', '60-Day DL'], '13907': ['3B', 'Luis Jimenez', '95829', '592', '1000', '2200', 0, '16', False, 0, '', 'recent', ''], '13900': ['2B', 'Jedd Gyorko', '95840', '619', '1000', '2400', 1, '23', False, 0, '', 'recent', ''], '12591': ['P', 'Kyle Drabek', '95828', '596', '1000', '4600', 1.8, '3', False, 0, '', 'old', ''], '17036': ['P', 'Dan Otero', '95838', '602', '1000', '5300', 1.5, '15', False, 4, '', 'old', ''], '17037': ['P', 'Trevor Rosenthal', '95834', '615', '1000', '4000', 2.2, '15', False, 4, '', 'recent', ''], '62516': ['P', 'Ken Roberts', '95839', '617', '1000', '3000', 1, '2', False, 0, '', 'old', ''], '13864': ['OF', 'Joc Pederson', '95839', '618', '1000', '4800', 3.7, '29', False, 4, '', 'recent', ''], '62512': ['P', 'Elvis Araujo', '95833', '608', '1000', '3000', 2.5, '2', False, 0, '', 'old', ''], '17017': ['P', 'Sean Gilmartin', '95833', '607', '1000', '3000', 1, '10', False, 0, '', 'old', ''], '5670': ['P', 'Tom Gorzelanny', '95830', '598', '135', '4600', 2.1, '10', False, 0, '', 'old', ''], '16951': ['3B', 'Anthony Rendon', '95832', '609', '1000', '3900', 2.9, 162, False, 2, 'Oblique', 'recent', '15-Day DL'], '5672': ['P', 'Zach Duke', '95828', '596', '85', '4600', 2.1, '12', False, 4, '', 'old', ''], '5673': ['P', 'Jesse Chavez', '95838', '602', '1924', '7400', 7, '7', False, 1, '', 'recent', ''], '5674': ['P', 'Scott Baker', '95839', '618', '36', '5500', 6, '2', False, 0, '', 'recent', ''], '5675': ['P', 'Justin Masterson', '95829', '592', '137', '6700', 7.5, '6', False, 0, '', 'recent', ''], '16956': ['P', 'Gerrit Cole', '95834', '614', '1000', '9000', 11.7, '7', False, 0, '', 'recent', ''], '16959': ['P', 'Trevor Bauer', '95826', '597', '1000', '8100', 10.1, '6', False, 0, '', 'breaking', ''], '23093': ['P', 'A.J. Griffin', '95838', '602', '1000', '5600', 10.7, 32, False, 2, 'Elbow', 'recent', '60-Day DL'], '5774': ['P', 'Chad Billingsley', '95833', '608', '38', '5300', 2, '1', False, 1, '', 'recent', ''], '21612': ['SS', 'Nick Ahmed', '95840', '616', '1000', '2600', 0.4, '24', False, 4, '', 'recent', ''], '6273': ['OF', 'Michael Brantley', '95826', '597', '318', '4300', 3.5, '22', False, 4, '', 'breaking', ''], '5579': ['P', 'Chad Qualls', '95836', '612', '1240', '4400', 1.7, '12', False, 0, '', 'recent', ''], '6276': ['2B', 'Neil Walker', '95834', '614', '706', '2900', 2.1, '29', False, 4, '', 'breaking', ''], '13332': ['SS', 'Pete Kozma', '95834', '615', '1000', '2200', 0.8, '11', False, 0, '', 'old', ''], '13514': ['1B', 'Joey Terdoslavich', '95832', '605', '1000', '2200', 0.8, 9, False, 2, 'Wrist', 'old', '15-Day DL'], '5574': ['P', 'Mat Latos', '95837', '606', '80', '6900', 6.2, '6', False, 5, '', 'recent', ''], '21196': ['P', 'Shawn Tolleson', '95831', '604', '1000', '4700', 2.2, '12', False, 4, '', 'old', ''], '12082': ['2B', 'Steve Tolleson', '95829', '595', '1000', '2200', 1.3, '7', False, 0, '', 'recent', ''], '38146': ['P', 'Sean Nolin', '95838', '602', '1000', '4600', 0, 1, False, 2, 'Groin', 'old', '15-Day DL'], '53029': ['P', 'Robbie Ray', '95840', '616', '1000', '6000', 14, '1', False, 0, '', 'recent', ''], '38144': ['P', 'Shane Greene', '95830', '598', '1000', '7200', 7.7, '6', False, 1, '', 'recent', ''], '53025': ['P', 'Logan Verrett', '95833', '607', '1000', '3000', 1.5, '4', False, 0, '', 'recent', ''], '38148': ['P', 'Steven Wright', '95829', '592', '1000', '4700', 8, '1', False, 0, '', 'recent', ''], '53023': ['P', 'Tim Cooney', '95834', '615', '1000', '5800', 2.3, '1', False, 0, '', 'old', ''], '5132': ['3B', 'Alberto Callaspo', '95832', '605', '246', '2200', 1.2, '27', False, 4, '', 'recent', ''], '53607': ['P', 'Anthony DeSclafani', '95828', '611', '1000', '7200', 10.2, '6', False, 0, '', 'recent', ''], '49461': ['OF', 'Alexander Guerrero', '95839', '618', '1000', '3700', 2.8, '19', False, 0, '', 'recent', ''], '14039': ['P', 'Addison Reed', '95840', '616', '1000', '4200', 1.4, '8', False, 4, '', 'recent', ''], '58913': ['P', 'Daniel Coulombe', '95839', '618', '1000', '4600', 0, '1', False, 0, '', 'recent', ''], '53609': ['P', 'Taylor Thompson', '95838', '602', '1000', '4600', 0.6, 5, False, 2, 'Shoulder', 'old', '60-Day DL'], '53608': ['P', 'Jose Urena', '95837', '606', '1000', '3000', 0, '2', False, 0, '', 'old', ''], '11344': ['C', 'Jason Castro', '95836', '612', '1000', '2200', 1.6, '23', False, 4, '', 'breaking', ''], '13430': ['SS', 'Jonathan Villar', '95836', '612', '1000', '2200', 0.8, '15', False, 0, '', 'recent', ''], '10007': ['OF', 'Justin Ruggiano', '95838', '603', '1930', '2500', 0.7, '20', False, 4, '', 'breaking', ''], '11340': ['P', 'Christian Friedrich', '95839', '617', '1000', '4000', 1.3, '13', False, 0, '', 'old', ''], '5139': ['P', 'Bruce Chen', '95826', '597', '2360', '5800', 4, 13, False, 0, '', 'breaking', ''], '5138': ['P', 'Luke Hochevar', '95830', '599', '106', '4800', 3, '1', False, 0, '', 'recent', ''], '5135': ['OF', 'Alex Gordon', '95830', '599', '356', '3200', 2.7, '26', False, 4, '', 'breaking', ''], '62460': ['P', 'Severino Gonzalez', '95833', '608', '1000', '5100', 3.8, '2', False, 0, '', 'recent', ''], '11348': ['P', 'Jenrry Mejia', '95833', '607', '1000', '5500', 2.8, 63, False, 2, 'Suspension', 'old', 'Suspension'], '11349': ['SS', 'Ruben Tejada', '95833', '607', '1000', '2200', 0.9, '9', False, 0, '', 'recent', ''], '5110': ['3B', 'Juan Uribe', '95839', '618', '311', '2700', 1.3, '22', False, 4, '', 'recent', ''], '12442': ['P', 'Vance Worley', '95834', '614', '1000', '7000', 9.6, '5', False, 0, '', 'breaking', ''], '13201': ['C', 'Jesus Sucre', '95838', '603', '1000', '2200', -0.6, '4', False, 0, '', 'old', ''], '16922': ['P', 'Wei-Yin Chen', '95827', '591', '1000', '7200', 7.9, '5', False, 0, '', 'breaking', ''], '12561': ['P', 'Chris Hatcher', '95839', '618', '1000', '4000', 1.3, '13', False, 4, '', 'recent', ''], '15242': ['P', 'Xavier Cedeno', '95831', '594', '1000', '4600', 1.2, '11', False, 0, '', 'old', ''], '12564': ['C', 'Chris Stewart', '95834', '614', '1000', '2300', 1.3, '8', False, 0, '', 'old', ''], '5121': ['OF', 'Ryan Raburn', '95826', '597', '443', '2400', 1.9, '20', False, 0, '', 'old', ''], '42645': ['C', 'Cameron Rupp', '95833', '608', '1000', '2200', 0.4, '9', False, 0, '', 'old', ''], '62409': ['P', 'Chris Rearick', '95840', '619', '1000', '3000', 0.6, '5', False, 0, '', 'old', ''], '6206': ['P', 'Edinson Volquez', '95830', '599', '802', '8500', 10.7, '6', False, 2, 'Hand', 'recent', 'Day-To-Day'], '12236': ['3B', 'Trevor Plouffe', '95826', '600', '1000', '2900', 2.5, '31', False, 4, '', 'breaking', ''], '6200': ['P', 'Jason Vargas', '95830', '599', '136', '6700', 7.3, '5', False, 2, 'Elbow', 'recent', '15-Day DL'], '6202': ['P', 'Donnie Veal', '95832', '605', '1438', '4100', 0.4, '3', False, 0, '', 'recent', ''], '5108': ['P', 'Jeremy Affeldt', '95837', '620', '1163', '4100', 0.6, '13', False, 4, '', 'old', ''], '38319': ['OF', 'Odubel Herrera', '95833', '608', '1000', '3000', 1.9, '30', False, 0, '', 'recent', ''], '55374': ['P', 'Drew Rucinski', '95836', '601', '1000', '5400', 1.3, '2', False, 0, '', 'old', ''], '62641': ['P', 'Andrew Bellatti', '95831', '594', '1000', '3000', 0, 0, False, 1, '', 'none', ''], '5406': ['OF', 'Jayson Werth', '95832', '609', '209', '3100', 1.5, '20', False, 4, '', 'breaking', ''], '40062': ['P', 'Brandon Cumpton', '95834', '614', '1000', '4800', 5.6, 16, False, 2, 'Elbow', 'old', '15-Day DL'], '5293': ['1B', 'James Loney', '95831', '594', '255', '2600', 2.1, '15', False, 4, '', 'old', ''], '13645': ['2B', 'Rey Navarro', '95827', '591', '1000', '3000', 1.4, '7', False, 0, '', 'recent', ''], '5088': ['OF', 'Angel Pagan', '95837', '620', '225', '2800', 1.9, '29', False, 4, '', 'recent', ''], '13638': ['SS', 'Wilmer Flores', '95833', '607', '1000', '2200', 1.6, '25', False, 4, '', 'recent', ''], '14143': ['P', 'Jared Hughes', '95834', '614', '1000', '4000', 1.6, '16', False, 0, '', 'old', ''], '5182': ['SS', 'Brendan Ryan', '95827', '593', '383', '2200', 0.4, 51, False, 2, 'Calf', 'recent', '15-Day DL'], '11322': ['3B', 'Mike Moustakas', '95830', '599', '1000', '2800', 2.8, '28', False, 2, 'Personal', 'recent', 'Day-to-Day'], '5228': ['P', 'David Huff', '95839', '618', '103', '4600', 2, '1', False, 0, '', 'old', ''], '52859': ['P', 'Jacob deGrom', '95833', '607', '1000', '9200', 11.4, '6', False, 0, '', 'recent', ''], '5187': ['P', 'Jason Motte', '95835', '610', '1385', '4100', 1.5, '13', False, 0, '', 'old', ''], '5223': ['SS', 'Jhonny Peralta', '95834', '615', '406', '2900', 2.5, '29', False, 4, '', 'breaking', ''], '5222': ['OF', 'Shin-Soo Choo', '95831', '604', '231', '2900', 1.9, '24', False, 4, '', 'breaking', ''], '5188': ['OF', 'Jacoby Ellsbury', '95827', '593', '154', '4400', 3.4, '28', False, 4, '', 'recent', ''], '5189': ['OF', 'Josh Reddick', '95838', '602', '693', '3900', 3.6, '25', False, 4, '', 'breaking', ''], '52851': ['P', 'Eddie Gamboa', '95827', '591', '1000', '4600', 0, 0, False, 0, '', 'old', ''], '5225': ['3B', 'Luis Valbuena', '95836', '612', '450', '2900', 2.4, '27', False, 4, '', 'recent', ''], '5083': ['SS', 'Clint Barmes', '95840', '619', '324', '2200', 1.3, '15', False, 0, '', 'old', ''], '5795': ['P', 'Kyle Lohse', '95835', '613', '112', '6300', 5, '7', False, 0, '', 'recent', ''], '5794': ['P', 'Sean Marshall', '95828', '611', '861', '4600', 1.1, 15, False, 2, 'Shoulder', 'old', '60-Day DL'], '13858': ['C', 'Christian Vazquez', '95829', '592', '1000', '2300', 1.4, 55, False, 2, 'Elbow', 'old', '60-Day DL'], '13116': ['P', 'Jeff Locke', '95834', '614', '1000', '6700', 9.3, '5', False, 1, '', 'recent', ''], '5791': ['P', 'Tim Lincecum', '95837', '620', '1', '7400', 9.7, '7', False, 0, '', 'breaking', ''], '5790': ['P', 'Homer Bailey', '95828', '611', '81', '7600', 3.7, '2', False, 2, 'Elbow', 'old', '60-Day DL'], '5811': ['SS', 'Mike Aviles', '95826', '597', '682', '2600', 2, '18', False, 2, 'Personal', 'recent', 'Day-to-Day'], '13118': ['P', 'Justin Wilson', '95827', '593', '1000', '4600', 1.3, '15', False, 0, '', 'old', ''], '5814': ['P', 'Burke Badenhop', '95828', '611', '2266', '4000', 0, '10', False, 0, '', 'old', ''], '12516': ['1B', 'Lucas Duda', '95833', '607', '1000', '3100', 2.3, '29', False, 4, '', 'recent', ''], '13054': ['C', 'Rob Brantly', '95828', '596', '1000', '2200', 0.9, 67, False, 2, 'Wrist', 'old', '15-Day DL'], '13055': ['OF', 'Anthony Gose', '95830', '598', '1000', '3300', 3, '19', False, 4, '', 'breaking', ''], '13841': ['SS', 'Didi Gregorius', '95827', '593', '1000', '2200', 0.9, '26', False, 4, '', 'breaking', ''], '14018': ['C', 'John Murphy', '95827', '593', '1000', '2200', 1.3, '10', False, 0, '', 'old', ''], '17065': ['P', 'Blake Treinen', '95832', '609', '1000', '4000', 1.8, '13', False, 0, '', 'old', ''], '13183': ['P', 'Dellin Betances', '95827', '593', '1000', '4600', 3.9, '16', False, 4, '', 'breaking', ''], '12458': ['1B', 'Logan Morrison', '95838', '603', '1000', '3200', 2, '28', False, 4, '', 'breaking', ''], '13509': ['P', 'Yohan Pino', '95830', '599', '1000', '5200', 3.7, '5', False, 0, '', 'recent', ''], '12949': ['C', 'Derek Norris', '95840', '619', '1000', '2900', 2.3, '29', False, 0, '', 'recent', ''], '12948': ['OF', 'Bryce Harper', '95832', '609', '1000', '4900', 4, '30', False, 4, '', 'breaking', ''], '60386': ['P', 'Angel Nesbitt', '95830', '598', '1000', '4600', 1.7, '11', False, 0, '', 'old', ''], '12943': ['P', 'Shelby Miller', '95832', '605', '1000', '9100', 13, '6', False, 0, '', 'recent', ''], '13501': ['SS', 'Chris Owings', '95840', '616', '1000', '3100', 1.8, '27', False, 4, '', 'breaking', ''], '12941': ['P', 'Charlie Furbush', '95838', '603', '1000', '4600', 0.8, '13', False, 0, '', 'old', ''], '11354': ['P', 'Lance Lynn', '95834', '615', '1000', '8100', 11.1, '6', False, 4, '', 'recent', ''], '12947': ['3B', 'Brett Lawrie', '95838', '602', '1000', '2500', 1.6, '32', False, 4, '', 'old', ''], '12946': ['P', 'Matt Moore', '95831', '594', '1000', '6600', 6.5, 2, False, 2, 'Elbow', 'recent', '60-Day DL'], '5357': ['C', 'Jarrod Saltalamacchia', '95840', '616', '555', '2200', 0.8, '9', False, 0, '', 'recent', ''], '11406': ['1B', 'Ike Davis', '95838', '602', '1000', '2500', 2, '30', False, 4, '', 'breaking', ''], '38039': ['OF', 'Chris Colabello', '95829', '595', '1000', '2300', 6.6, '3', False, 0, '', 'recent', ''], '12940': ['1B', 'Anthony Rizzo', '95835', '610', '1000', '4500', 4.3, '28', False, 4, '', 'old', ''], '12934': ['P', 'Tyler Chatwood', '95839', '617', '1000', '5000', 9, 4, False, 2, 'Elbow', 'old', '60-Day DL'], '53844': ['SS', 'Matt Duffy', '95837', '620', '1000', '2200', 1.3, '21', False, 0, '', 'recent', ''], '38033': ['3B', 'Cody Asche', '95833', '608', '1000', '2200', 1.1, '27', False, 4, '', 'breaking', ''], '6104': ['P', 'Joel Peralta', '95839', '618', '566', '5000', 2, '7', False, 2, 'Arm', 'recent', '15-Day DL'], '38036': ['P', 'T.J. McFarland', '95827', '591', '1000', '4700', 6, '1', False, 0, '', 'breaking', ''], '6101': ['P', 'Jake Peavy', '95837', '620', '6', '6600', 3.3, '2', False, 2, 'Back', 'breaking', '15-Day DL'], '13505': ['3B', 'Mike Olt', '95835', '610', '1000', '2200', 0.8, '6', False, 2, 'Wrist', 'old', '60-Day DL'], '5927': ['C', 'A.J. Ellis', '95839', '618', '1022', '2700', 0.4, '8', False, 0, '', 'old', ''], '16994': ['P', 'Lucas Luetge', '95838', '603', '1000', '4600', 4.3, '1', False, 0, '', 'old', ''], '16995': ['2B', 'Tyler Ladendorf', '95838', '602', '1000', '2200', 1.6, '5', False, 2, 'Ankle', 'recent', '7-Day DL'], '21653': ['P', 'Hector Neris', '95833', '608', '1000', '4400', 2.3, '2', False, 0, '', 'old', ''], '21652': ['P', 'Lisalverto Bonilla', '95831', '604', '1000', '4600', 8.4, 5, False, 2, 'Elbow', 'old', '60-Day DL'], '21655': ['P', 'Kevin Chapman', '95836', '612', '1000', '4600', 4, '2', False, 0, '', 'old', ''], '16991': ['P', 'Jean Machi', '95837', '620', '1000', '4000', 1.5, '15', False, 0, '', 'old', ''], '16992': ['SS', 'Jacob Elmore', '95831', '594', '1000', '2300', 1.8, '7', False, 0, '', 'breaking', ''], '38867': ['2B', 'Devon Travis', '95829', '595', '1000', '3300', 3.4, '28', False, 4, '', 'recent', ''], '52172': ['P', 'Noah Syndergaard', '95833', '607', '1000', '4600', 0, 0, False, 0, '', 'breaking', ''], '21793': ['P', 'Carter Capps', '95837', '606', '1000', '4600', 2, '1', False, 0, '', 'old', ''], '21878': ['P', 'Charles Riefenhauser', '95831', '594', '1000', '4600', -0.8, '2', False, 2, 'Shoulder', 'old', '15-Day DL'], '11047': ['P', 'Colby Lewis', '95831', '604', '2029', '6700', 10.7, '6', False, 0, '', 'recent', ''], '21096': ['P', 'Erasmo Ramirez', '95831', '594', '1000', '4600', 1.9, '8', False, 0, '', 'old', ''], '5531': ['P', 'Jason Marquis', '95828', '611', '92', '6100', 8.7, '6', False, 0, '', 'recent', ''], '5354': ['OF', 'Josh Hamilton', '95831', '604', '288', '2700', 2.3, 89, False, 2, 'Shoulder', 'recent', '15-Day DL'], '17008': ['OF', 'Oswaldo Arcia', '95826', '600', '1000', '2800', 1.7, '19', False, 2, 'Hip', 'recent', '15-Day DL'], '14562': ['2B', 'Jose Altuve', '95836', '612', '1000', '4700', 3.7, '30', False, 4, '', 'breaking', ''], '13473': ['C', 'Caleb Joseph', '95827', '591', '1000', '2700', 2.5, '22', False, 4, '', 'breaking', ''], '5539': ['P', 'Cliff Lee', '95833', '608', '1708', '8500', 10.5, 13, False, 2, 'Elbow', 'old', '60-Day DL'], '13479': ['P', 'Joe Kelly', '95829', '592', '1000', '6800', 9.1, '5', False, 0, '', 'breaking', ''], '21099': ['P', 'Jose Quintana', '95828', '596', '1000', '7100', 8, '6', False, 0, '', 'recent', ''], '21098': ['P', 'James Paxton', '95838', '603', '1000', '6600', 7.4, '6', False, 0, '', 'recent', ''], '38106': ['P', 'Kirby Yates', '95831', '594', '1000', '4600', 1.8, '4', False, 2, 'Chest', 'old', '15-Day DL'], '38101': ['P', 'Tanner Roark', '95832', '609', '1000', '5200', 1.4, '10', False, 0, '', 'recent', ''], '5460': ['1B', 'Garrett Jones', '95827', '593', '211', '2200', 0.3, '13', False, 0, '', 'old', ''], '13575': ['SS', 'Jose Pirela', '95827', '593', '1000', '2200', 0.9, '2', False, 0, '', 'recent', ''], '5905': ['OF', 'Alejandro De Aza', '95827', '591', '639', '2200', 1.7, '20', False, 0, '', 'breaking', ''], '6108': ['SS', 'Gregorio Petit', '95827', '593', '689', '2200', 1, '17', False, 2, 'Hand', 'recent', '15-Day DL'], '12435': ['P', 'Jeanmar Gomez', '95833', '608', '1000', '4100', 1.3, '11', False, 0, '', 'old', ''], '38561': ['SS', 'Chris Taylor', '95838', '603', '1000', '2200', 0.5, '4', False, 4, '', 'recent', ''], '6312': ['2B', 'Justin Turner', '95839', '618', '681', '3100', 2.1, '23', False, 0, '', 'recent', ''], '5757': ['P', 'Kyle Davies', '95827', '593', '91', '3300', 4.3, '1', False, 0, '', 'old', ''], '6036': ['P', 'Shaun Marcum', '95826', '597', '1623', '5200', 8, '1', False, 0, '', 'recent', ''], '5084': ['C', 'Chris Iannetta', '95836', '601', '308', '2200', 0.3, '22', False, 4, '', 'breaking', ''], '5172': ['P', 'Tim Stauffer', '95826', '600', '1214', '4600', 0.8, '8', False, 2, 'Oblique', 'recent', '15-Day DL'], '5453': ['2B', 'Jeff Baker', '95837', '606', '507', '2200', 0.9, '12', False, 0, '', 'breaking', ''], '5177': ['1B', 'Albert Pujols', '95836', '601', '139', '3100', 2.2, '28', False, 4, '', 'recent', ''], '5175': ['OF', 'Colby Rasmus', '95836', '612', '435', '2800', 2.1, '29', False, 4, '', 'recent', ''], '5174': ['2B', 'Skip Schumaker', '95828', '611', '439', '2200', 0.1, '15', False, 0, '', 'recent', ''], '62427': ['P', 'Joel de la Cruz', '95827', '593', '1000', '3000', 0, 0, False, 0, '', 'old', ''], '62426': ['P', 'Josh Smith', '95828', '611', '1000', '3000', 0, 0, False, 0, '', 'old', ''], '38045': ['P', 'Brooks Brown', '95839', '617', '1000', '5000', 1.3, '12', False, 0, '', 'old', ''], '5741': ['P', 'Bud Norris', '95827', '591', '35', '6700', 3.6, '5', False, 3, 'Illness', 'breaking', 'Day-To-Day'], '17164': ['P', 'Matt Shoemaker', '95836', '601', '1000', '8500', 9.3, '5', False, 0, '', 'recent', ''], '5079': ['SS', 'Troy Tulowitzki', '95839', '617', '161', '5100', 2.2, '27', False, 4, '', 'breaking', ''], '5456': ['OF', 'Andrew McCutchen', '95834', '614', '184', '3900', 2.1, '28', False, 4, '', 'breaking', ''], '17160': ['P', 'Chris Withrow', '95839', '618', '1000', '4600', 2.1, 20, False, 2, 'Elbow', 'old', '60-Day DL'], '5747': ['P', 'Aaron Harang', '95833', '608', '50', '7800', 11.6, '6', False, 0, '', 'breaking', ''], '17000': ['P', 'Rob Scahill', '95834', '614', '1000', '4100', 2.2, '10', False, 0, '', 'old', ''], '52673': ['P', 'Shae Simmons', '95832', '605', '1000', '4600', 1.6, 26, False, 2, 'Elbow', 'old', '60-Day DL'], '17002': ['P', 'Evan Marshall', '95840', '616', '1000', '4000', 0.8, '11', False, 0, '', 'recent', ''], '17005': ['P', 'Chase Whitley', '95827', '593', '1000', '6900', 13, '2', False, 0, '', 'breaking', ''], '5077': ['OF', 'Dexter Fowler', '95835', '610', '341', '3200', 2.7, '27', False, 4, '', 'recent', ''], '5074': ['P', 'Tyler Clippard', '95838', '602', '920', '4600', 1.7, '12', False, 4, '', 'recent', ''], '38563': ['P', 'Yimi Garcia', '95839', '618', '1000', '4000', 3.2, '13', False, 4, '', 'old', ''], '5586': ['P', 'Jim Johnson', '95832', '605', '1884', '4000', 1.6, '15', False, 4, '', 'old', ''], '5587': ['P', 'Matt Albers', '95828', '596', '1885', '4600', 2.4, '4', False, 2, 'Finger', 'recent', 'Day-to-Day'], '17011': ['P', 'Jose Diaz', '95828', '611', '1000', '4000', 1.5, '11', False, 4, '', 'old', ''], '5583': ['P', 'Jeremy Guthrie', '95830', '599', '111', '6400', 4.6, '5', False, 0, '', 'breaking', ''], '16960': ['P', 'Zack Wheeler', '95833', '607', '1000', '7800', 10.1, 34, False, 2, 'Elbow', 'old', '60-Day DL'], '5625': ['P', 'Randy Choate', '95834', '615', '1901', '4000', 0.8, '13', False, 0, '', 'old', ''], '5624': ['P', 'Scott Kazmir', '95838', '602', '64', '9000', 12.6, '6', False, 0, '', 'recent', ''], '5623': ['C', 'Dioner Navarro', '95829', '595', '496', '2200', 1.8, '8', False, 2, 'Hamstring', 'old', '15-Day DL'], '16964': ['OF', 'Yoenis Cespedes', '95830', '598', '1000', '3000', 2.3, '30', False, 4, '', 'recent', ''], '5621': ['P', 'Jason Frasor', '95830', '599', '1593', '4600', 1.4, '13', False, 0, '', 'old', ''], '5589': ['OF', 'Torii Hunter', '95826', '600', '186', '3400', 2.6, '27', False, 4, '', 'breaking', ''], '53953': ['P', 'Keone Kela', '95831', '604', '1000', '3000', 1.9, '15', False, 0, '', 'old', ''], '5036': ['OF', 'Will Venable', '95840', '619', '486', '2500', 1.2, '20', False, 4, '', 'breaking', ''], '6325': ['P', 'Cesar Ramos', '95836', '601', '1132', '4200', 1.4, '13', False, 0, '', 'old', ''], '12175': ['P', 'Ivan Nova', '95827', '593', '1000', '5600', 5.3, 4, False, 2, 'Elbow', 'recent', '60-Day DL'], '53070': ['P', 'Christian Bergman', '95839', '617', '1000', '4100', 3.2, '7', False, 0, '', 'recent', ''], '5210': ['OF', 'Delmon Young', '95827', '591', '385', '2200', 1.6, '19', False, 4, '', 'recent', ''], '6320': ['P', 'Marco Estrada', '95829', '595', '840', '6200', 4, '7', False, 0, '', 'recent', ''], '12271': ['2B', 'Jonathan Herrera', '95835', '610', '1000', '2200', 1.3, '15', False, 0, '', 'old', ''], '13480': ['P', 'Stolmy Pimentel', '95831', '604', '1000', '4600', 1.9, '7', False, 0, '', 'old', ''], '5381': ['OF', 'Michael Saunders', '95829', '595', '685', '2400', 1.3, '8', False, 4, '', 'breaking', ''], '14103': ['P', 'Nick Vincent', '95840', '619', '1000', '4000', 1.3, '7', False, 0, '', 'recent', ''], '5384': ['P', 'Shawn Kelley', '95840', '619', '2287', '4600', 0.9, '6', False, 0, '', 'recent', ''], '53551': ['P', 'Samuel Tuivailala', '95834', '615', '1000', '5600', 3, '1', False, 0, '', 'recent', ''], '5387': ['1B', 'Mark Teixeira', '95827', '593', '153', '3800', 3.6, '28', False, 4, '', 'recent', ''], '13874': ['P', 'Steve Geltz', '95831', '594', '1000', '4600', 2.5, '14', False, 0, '', 'old', ''], '13720': ['P', 'Juan Nicasio', '95839', '618', '1000', '4700', 3.4, '10', False, 0, '', 'old', ''], '21573': ['2B', 'Jace Peterson', '95832', '605', '1000', '2400', 1.5, '26', False, 4, '', 'recent', ''], '5991': ['P', 'Tim Hudson', '95837', '620', '65', '6500', 7.2, '6', False, 0, '', 'recent', ''], '38004': ['C', 'Austin Hedges', '95840', '619', '1000', '2400', 0.6, '3', False, 4, '', 'recent', ''], '38602': ['OF', 'Arismendy Alcantara', '95835', '610', '1000', '2500', 0.8, '11', False, 0, '', 'old', ''], '13687': ['SS', 'Jordy Mercer', '95834', '614', '1000', '2200', 0.7, '24', False, 4, '', 'breaking', ''], '13685': ['3B', 'Brock Holt', '95829', '592', '1000', '2200', 1.9, '21', False, 4, '', 'recent', ''], '13627': ['P', 'Corey Kluber', '95826', '597', '1000', '9300', 9.4, '7', False, 4, '', 'recent', ''], '13152': ['3B', 'Matt Carpenter', '95834', '615', '1000', '4200', 3.9, '27', False, 6, 'Undisclosed', 'recent', 'Day-To-Day'], '15210': ['P', 'Jerome Williams', '95833', '608', '1000', '5800', 7, '6', False, 0, '', 'recent', ''], '13099': ['C', "Travis D'Arnaud", '95833', '607', '1000', '3000', 3, '11', False, 2, 'Hand', 'recent', '15-Day DL'], '13096': ['2B', 'Brian Dozier', '95826', '600', '1000', '3200', 2.7, '29', False, 4, '', 'breaking', ''], '53396': ['P', 'Nick Tropeano', '95836', '601', '1000', '5600', 15, '1', False, 0, '', 'old', ''], '13326': ['C', 'Christian Bethancourt', '95832', '605', '1000', '2200', 0.8, '13', False, 4, '', 'breaking', ''], '15219': ['P', 'Eric Surkamp', '95828', '596', '1000', '4600', 1.1, 35, False, 0, '', 'old', ''], '12306': ['P', 'Jake Arrieta', '95835', '610', '1000', '9500', 12.2, '6', False, 0, '', 'recent', ''], '13258': ['P', 'Wily Peralta', '95835', '613', '1000', '7000', 8.3, '6', False, 0, '', 'recent', ''], '12302': ['OF', 'Giancarlo Stanton', '95837', '606', '1000', '4600', 3.5, '30', False, 4, '', 'recent', ''], '13254': ['OF', 'Logan Schafer', '95835', '613', '1000', '2200', 0.6, '22', False, 0, '', 'recent', ''], '5699': ['P', 'Joe Beimel', '95838', '603', '1089', '5000', 0.7, '2', False, 0, '', 'recent', ''], '13399': ['P', 'Zach McAllister', '95826', '597', '1000', '5300', 3.1, '11', False, 0, '', 'old', ''], '13253': ['C', 'Martin Maldonado', '95835', '613', '1000', '2200', 0.7, '21', False, 0, '', 'recent', ''], '49523': ['1B', 'Jose Abreu', '95828', '596', '1000', '3500', 2.7, '25', False, 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</si>
</sst>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14" fontId="0" fillId="0" borderId="0" xfId="0" applyNumberFormat="1" applyFont="1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53824"/>
        <c:axId val="138255360"/>
      </c:barChart>
      <c:catAx>
        <c:axId val="13825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8255360"/>
        <c:crosses val="autoZero"/>
        <c:auto val="1"/>
        <c:lblAlgn val="ctr"/>
        <c:lblOffset val="100"/>
        <c:noMultiLvlLbl val="0"/>
      </c:catAx>
      <c:valAx>
        <c:axId val="13825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253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71360"/>
        <c:axId val="143917440"/>
      </c:areaChart>
      <c:catAx>
        <c:axId val="138271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43917440"/>
        <c:crosses val="autoZero"/>
        <c:auto val="1"/>
        <c:lblAlgn val="ctr"/>
        <c:lblOffset val="100"/>
        <c:noMultiLvlLbl val="0"/>
      </c:catAx>
      <c:valAx>
        <c:axId val="143917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82713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Rotowire</a:t>
            </a:r>
            <a:r>
              <a:rPr lang="en-US" baseline="0"/>
              <a:t> Lineup Optimizer Fanduel Points per Night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6908371191348289E-2"/>
          <c:y val="9.6351601468143186E-2"/>
          <c:w val="0.94048056546671988"/>
          <c:h val="0.72238713085392625"/>
        </c:manualLayout>
      </c:layout>
      <c:scatterChart>
        <c:scatterStyle val="smoothMarker"/>
        <c:varyColors val="0"/>
        <c:ser>
          <c:idx val="0"/>
          <c:order val="0"/>
          <c:tx>
            <c:v>Rotowire Daily FD Points</c:v>
          </c:tx>
          <c:xVal>
            <c:numRef>
              <c:f>'Output (2)'!$A$2:$A$20</c:f>
              <c:numCache>
                <c:formatCode>m/d/yyyy</c:formatCode>
                <c:ptCount val="19"/>
                <c:pt idx="0">
                  <c:v>42106</c:v>
                </c:pt>
                <c:pt idx="1">
                  <c:v>42107</c:v>
                </c:pt>
                <c:pt idx="2">
                  <c:v>42108</c:v>
                </c:pt>
                <c:pt idx="3">
                  <c:v>42109</c:v>
                </c:pt>
                <c:pt idx="4">
                  <c:v>42111</c:v>
                </c:pt>
                <c:pt idx="5">
                  <c:v>42112</c:v>
                </c:pt>
                <c:pt idx="6">
                  <c:v>42113</c:v>
                </c:pt>
                <c:pt idx="7">
                  <c:v>42114</c:v>
                </c:pt>
                <c:pt idx="8">
                  <c:v>42115</c:v>
                </c:pt>
                <c:pt idx="9">
                  <c:v>42116</c:v>
                </c:pt>
                <c:pt idx="10">
                  <c:v>42117</c:v>
                </c:pt>
                <c:pt idx="11">
                  <c:v>42118</c:v>
                </c:pt>
                <c:pt idx="12">
                  <c:v>42119</c:v>
                </c:pt>
                <c:pt idx="13">
                  <c:v>42120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42125</c:v>
                </c:pt>
                <c:pt idx="18">
                  <c:v>42126</c:v>
                </c:pt>
              </c:numCache>
            </c:numRef>
          </c:xVal>
          <c:yVal>
            <c:numRef>
              <c:f>'Output (2)'!$B$2:$B$20</c:f>
              <c:numCache>
                <c:formatCode>General</c:formatCode>
                <c:ptCount val="19"/>
                <c:pt idx="0">
                  <c:v>44.75</c:v>
                </c:pt>
                <c:pt idx="1">
                  <c:v>28.25</c:v>
                </c:pt>
                <c:pt idx="2">
                  <c:v>27.5</c:v>
                </c:pt>
                <c:pt idx="3">
                  <c:v>39</c:v>
                </c:pt>
                <c:pt idx="4">
                  <c:v>37.75</c:v>
                </c:pt>
                <c:pt idx="5">
                  <c:v>42.25</c:v>
                </c:pt>
                <c:pt idx="6">
                  <c:v>45.5</c:v>
                </c:pt>
                <c:pt idx="7">
                  <c:v>37.75</c:v>
                </c:pt>
                <c:pt idx="8">
                  <c:v>38.1</c:v>
                </c:pt>
                <c:pt idx="9">
                  <c:v>42.5</c:v>
                </c:pt>
                <c:pt idx="10">
                  <c:v>38.5</c:v>
                </c:pt>
                <c:pt idx="11">
                  <c:v>57.25</c:v>
                </c:pt>
                <c:pt idx="12">
                  <c:v>40.25</c:v>
                </c:pt>
                <c:pt idx="13">
                  <c:v>21.85</c:v>
                </c:pt>
                <c:pt idx="14">
                  <c:v>35.85</c:v>
                </c:pt>
                <c:pt idx="15">
                  <c:v>39</c:v>
                </c:pt>
                <c:pt idx="16">
                  <c:v>26.95</c:v>
                </c:pt>
                <c:pt idx="17">
                  <c:v>26.75</c:v>
                </c:pt>
                <c:pt idx="18">
                  <c:v>46.5</c:v>
                </c:pt>
              </c:numCache>
            </c:numRef>
          </c:yVal>
          <c:smooth val="1"/>
        </c:ser>
        <c:ser>
          <c:idx val="1"/>
          <c:order val="1"/>
          <c:tx>
            <c:v>Average</c:v>
          </c:tx>
          <c:xVal>
            <c:numRef>
              <c:f>'Output (2)'!$A$21:$A$22</c:f>
              <c:numCache>
                <c:formatCode>m/d/yyyy</c:formatCode>
                <c:ptCount val="2"/>
                <c:pt idx="0">
                  <c:v>42105</c:v>
                </c:pt>
                <c:pt idx="1">
                  <c:v>42126</c:v>
                </c:pt>
              </c:numCache>
            </c:numRef>
          </c:xVal>
          <c:yVal>
            <c:numRef>
              <c:f>'Output (2)'!$B$21:$B$22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09344"/>
        <c:axId val="146410880"/>
      </c:scatterChart>
      <c:valAx>
        <c:axId val="146409344"/>
        <c:scaling>
          <c:orientation val="minMax"/>
          <c:max val="42127"/>
          <c:min val="42105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46410880"/>
        <c:crosses val="autoZero"/>
        <c:crossBetween val="midCat"/>
        <c:majorUnit val="1"/>
      </c:valAx>
      <c:valAx>
        <c:axId val="146410880"/>
        <c:scaling>
          <c:orientation val="minMax"/>
          <c:max val="6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Fanduel</a:t>
                </a:r>
                <a:r>
                  <a:rPr lang="en-US" baseline="0"/>
                  <a:t> Points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6409344"/>
        <c:crosses val="autoZero"/>
        <c:crossBetween val="midCat"/>
        <c:majorUnit val="5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0</xdr:row>
      <xdr:rowOff>85725</xdr:rowOff>
    </xdr:from>
    <xdr:to>
      <xdr:col>23</xdr:col>
      <xdr:colOff>323850</xdr:colOff>
      <xdr:row>32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1"/>
  <sheetViews>
    <sheetView workbookViewId="0"/>
  </sheetViews>
  <sheetFormatPr defaultRowHeight="15" x14ac:dyDescent="0.25"/>
  <sheetData>
    <row r="1" spans="1:2" x14ac:dyDescent="0.25">
      <c r="A1">
        <v>30</v>
      </c>
    </row>
    <row r="3" spans="1:2" x14ac:dyDescent="0.25">
      <c r="A3" t="s">
        <v>0</v>
      </c>
      <c r="B3">
        <v>14</v>
      </c>
    </row>
    <row r="4" spans="1:2" x14ac:dyDescent="0.25">
      <c r="A4" t="s">
        <v>1</v>
      </c>
      <c r="B4" t="s">
        <v>1522</v>
      </c>
    </row>
    <row r="5" spans="1:2" x14ac:dyDescent="0.25">
      <c r="A5" t="s">
        <v>2</v>
      </c>
      <c r="B5" t="s">
        <v>1523</v>
      </c>
    </row>
    <row r="6" spans="1:2" x14ac:dyDescent="0.25">
      <c r="A6" t="s">
        <v>5</v>
      </c>
      <c r="B6" t="s">
        <v>1520</v>
      </c>
    </row>
    <row r="7" spans="1:2" x14ac:dyDescent="0.25">
      <c r="A7" t="s">
        <v>6</v>
      </c>
      <c r="B7" t="s">
        <v>1521</v>
      </c>
    </row>
    <row r="8" spans="1:2" x14ac:dyDescent="0.25">
      <c r="A8" t="s">
        <v>7</v>
      </c>
      <c r="B8" t="s">
        <v>11</v>
      </c>
    </row>
    <row r="9" spans="1:2" x14ac:dyDescent="0.25">
      <c r="A9" t="s">
        <v>8</v>
      </c>
      <c r="B9" t="s">
        <v>207</v>
      </c>
    </row>
    <row r="10" spans="1:2" x14ac:dyDescent="0.25">
      <c r="A10" t="s">
        <v>9</v>
      </c>
      <c r="B10" t="s">
        <v>1473</v>
      </c>
    </row>
    <row r="11" spans="1:2" x14ac:dyDescent="0.25">
      <c r="A11" t="s">
        <v>10</v>
      </c>
      <c r="B11" t="s">
        <v>1474</v>
      </c>
    </row>
    <row r="12" spans="1:2" x14ac:dyDescent="0.25">
      <c r="A12" t="s">
        <v>12</v>
      </c>
      <c r="B12" t="s">
        <v>1438</v>
      </c>
    </row>
    <row r="13" spans="1:2" x14ac:dyDescent="0.25">
      <c r="A13" t="s">
        <v>13</v>
      </c>
      <c r="B13" t="s">
        <v>1439</v>
      </c>
    </row>
    <row r="14" spans="1:2" x14ac:dyDescent="0.25">
      <c r="A14" t="s">
        <v>706</v>
      </c>
      <c r="B14" t="s">
        <v>763</v>
      </c>
    </row>
    <row r="15" spans="1:2" x14ac:dyDescent="0.25">
      <c r="A15" t="s">
        <v>707</v>
      </c>
      <c r="B15" t="s">
        <v>764</v>
      </c>
    </row>
    <row r="16" spans="1:2" x14ac:dyDescent="0.25">
      <c r="A16" t="s">
        <v>712</v>
      </c>
      <c r="B16" t="s">
        <v>759</v>
      </c>
    </row>
    <row r="17" spans="1:2" x14ac:dyDescent="0.25">
      <c r="A17" t="s">
        <v>713</v>
      </c>
      <c r="B17" t="s">
        <v>760</v>
      </c>
    </row>
    <row r="18" spans="1:2" x14ac:dyDescent="0.25">
      <c r="A18" t="s">
        <v>716</v>
      </c>
      <c r="B18" t="s">
        <v>722</v>
      </c>
    </row>
    <row r="19" spans="1:2" x14ac:dyDescent="0.25">
      <c r="A19" t="s">
        <v>717</v>
      </c>
      <c r="B19" t="s">
        <v>723</v>
      </c>
    </row>
    <row r="20" spans="1:2" x14ac:dyDescent="0.25">
      <c r="A20" t="s">
        <v>720</v>
      </c>
      <c r="B20" t="s">
        <v>718</v>
      </c>
    </row>
    <row r="21" spans="1:2" x14ac:dyDescent="0.25">
      <c r="A21" t="s">
        <v>721</v>
      </c>
      <c r="B21" t="s">
        <v>719</v>
      </c>
    </row>
    <row r="22" spans="1:2" x14ac:dyDescent="0.25">
      <c r="A22" t="s">
        <v>724</v>
      </c>
      <c r="B22" t="s">
        <v>714</v>
      </c>
    </row>
    <row r="23" spans="1:2" x14ac:dyDescent="0.25">
      <c r="A23" t="s">
        <v>725</v>
      </c>
      <c r="B23" t="s">
        <v>715</v>
      </c>
    </row>
    <row r="24" spans="1:2" x14ac:dyDescent="0.25">
      <c r="A24" t="s">
        <v>761</v>
      </c>
      <c r="B24" t="s">
        <v>704</v>
      </c>
    </row>
    <row r="25" spans="1:2" x14ac:dyDescent="0.25">
      <c r="A25" t="s">
        <v>762</v>
      </c>
      <c r="B25" t="s">
        <v>705</v>
      </c>
    </row>
    <row r="26" spans="1:2" x14ac:dyDescent="0.25">
      <c r="A26" t="s">
        <v>765</v>
      </c>
      <c r="B26" t="s">
        <v>335</v>
      </c>
    </row>
    <row r="27" spans="1:2" x14ac:dyDescent="0.25">
      <c r="A27" t="s">
        <v>766</v>
      </c>
      <c r="B27" t="s">
        <v>336</v>
      </c>
    </row>
    <row r="28" spans="1:2" x14ac:dyDescent="0.25">
      <c r="A28" t="s">
        <v>1440</v>
      </c>
      <c r="B28" t="s">
        <v>223</v>
      </c>
    </row>
    <row r="29" spans="1:2" x14ac:dyDescent="0.25">
      <c r="A29" t="s">
        <v>1441</v>
      </c>
      <c r="B29" t="s">
        <v>224</v>
      </c>
    </row>
    <row r="30" spans="1:2" x14ac:dyDescent="0.25">
      <c r="A30" t="s">
        <v>1524</v>
      </c>
      <c r="B30" t="s">
        <v>208</v>
      </c>
    </row>
    <row r="31" spans="1:2" x14ac:dyDescent="0.25">
      <c r="A31" t="s">
        <v>1525</v>
      </c>
      <c r="B31" t="s">
        <v>209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6" sqref="B6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7" t="s">
        <v>742</v>
      </c>
      <c r="I1" s="37"/>
      <c r="J1" s="37"/>
    </row>
    <row r="2" spans="1:18" x14ac:dyDescent="0.25">
      <c r="H2" s="5" t="s">
        <v>743</v>
      </c>
      <c r="I2" s="5" t="s">
        <v>749</v>
      </c>
      <c r="J2" s="5" t="s">
        <v>744</v>
      </c>
    </row>
    <row r="3" spans="1:18" ht="12.75" customHeight="1" x14ac:dyDescent="0.25">
      <c r="A3" s="18" t="s">
        <v>708</v>
      </c>
      <c r="B3" s="19">
        <v>42130</v>
      </c>
      <c r="H3" s="20" t="s">
        <v>736</v>
      </c>
      <c r="I3" s="20" t="s">
        <v>745</v>
      </c>
      <c r="J3" s="5" t="s">
        <v>155</v>
      </c>
    </row>
    <row r="4" spans="1:18" x14ac:dyDescent="0.25">
      <c r="A4" s="5" t="s">
        <v>709</v>
      </c>
      <c r="B4" s="5" t="s">
        <v>1549</v>
      </c>
      <c r="H4" s="20" t="s">
        <v>155</v>
      </c>
      <c r="I4" s="20" t="s">
        <v>745</v>
      </c>
      <c r="J4" s="5" t="s">
        <v>155</v>
      </c>
    </row>
    <row r="5" spans="1:18" x14ac:dyDescent="0.25">
      <c r="A5" s="5" t="s">
        <v>710</v>
      </c>
      <c r="B5" s="5" t="s">
        <v>1546</v>
      </c>
      <c r="H5" s="20" t="s">
        <v>737</v>
      </c>
      <c r="I5" s="20" t="s">
        <v>746</v>
      </c>
      <c r="J5" s="5" t="s">
        <v>156</v>
      </c>
    </row>
    <row r="6" spans="1:18" x14ac:dyDescent="0.25">
      <c r="A6" s="5" t="s">
        <v>711</v>
      </c>
      <c r="B6" s="5" t="s">
        <v>1547</v>
      </c>
      <c r="H6" s="20" t="s">
        <v>738</v>
      </c>
      <c r="I6" s="20" t="s">
        <v>746</v>
      </c>
      <c r="J6" s="5" t="s">
        <v>156</v>
      </c>
    </row>
    <row r="7" spans="1:18" x14ac:dyDescent="0.25">
      <c r="A7" s="5" t="s">
        <v>728</v>
      </c>
      <c r="B7" s="5" t="s">
        <v>1548</v>
      </c>
      <c r="H7" s="20" t="s">
        <v>739</v>
      </c>
      <c r="I7" s="20" t="s">
        <v>747</v>
      </c>
      <c r="J7" s="5" t="s">
        <v>157</v>
      </c>
      <c r="N7" s="21"/>
    </row>
    <row r="8" spans="1:18" x14ac:dyDescent="0.25">
      <c r="H8" s="20" t="s">
        <v>740</v>
      </c>
      <c r="I8" s="5" t="s">
        <v>747</v>
      </c>
      <c r="J8" s="5" t="s">
        <v>157</v>
      </c>
      <c r="K8" s="20"/>
      <c r="N8" s="21"/>
    </row>
    <row r="9" spans="1:18" x14ac:dyDescent="0.25">
      <c r="B9" s="5" t="s">
        <v>726</v>
      </c>
      <c r="H9" s="20" t="s">
        <v>741</v>
      </c>
      <c r="I9" s="5" t="s">
        <v>748</v>
      </c>
      <c r="J9" s="5" t="s">
        <v>158</v>
      </c>
      <c r="K9" s="20"/>
      <c r="L9" s="20"/>
      <c r="N9" s="21"/>
    </row>
    <row r="10" spans="1:18" x14ac:dyDescent="0.25">
      <c r="A10" s="7"/>
      <c r="B10" s="1"/>
      <c r="H10" s="5" t="s">
        <v>741</v>
      </c>
      <c r="I10" s="5" t="s">
        <v>748</v>
      </c>
      <c r="J10" s="5" t="s">
        <v>158</v>
      </c>
      <c r="K10" s="20"/>
      <c r="L10" s="20"/>
      <c r="N10" s="21"/>
    </row>
    <row r="11" spans="1:18" x14ac:dyDescent="0.25">
      <c r="A11" s="20"/>
      <c r="B11" s="34"/>
      <c r="H11" s="5" t="s">
        <v>741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B12" s="34"/>
      <c r="I12" s="20"/>
      <c r="K12" s="20"/>
      <c r="L12" s="20"/>
      <c r="M12" s="20"/>
      <c r="N12" s="21"/>
      <c r="P12" s="21"/>
    </row>
    <row r="13" spans="1:18" x14ac:dyDescent="0.25">
      <c r="B13" s="34"/>
      <c r="I13" s="20"/>
      <c r="K13" s="20"/>
      <c r="L13" s="20"/>
      <c r="M13" s="20"/>
      <c r="N13" s="21"/>
      <c r="P13" s="21"/>
    </row>
    <row r="14" spans="1:18" x14ac:dyDescent="0.25">
      <c r="B14" s="34"/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B15" s="34"/>
      <c r="C15" s="34"/>
      <c r="D15" s="34"/>
      <c r="E15" s="34"/>
      <c r="F15" s="34"/>
      <c r="G15" s="34"/>
      <c r="H15" s="20"/>
      <c r="I15" s="20"/>
      <c r="J15" s="34"/>
      <c r="K15" s="21"/>
      <c r="L15" s="20"/>
      <c r="M15" s="20"/>
      <c r="N15" s="20"/>
      <c r="O15" s="20"/>
      <c r="P15" s="21"/>
      <c r="Q15" s="21"/>
      <c r="R15" s="21"/>
    </row>
    <row r="16" spans="1:18" x14ac:dyDescent="0.25">
      <c r="A16" s="20"/>
      <c r="B16" s="34"/>
      <c r="C16" s="34"/>
      <c r="D16" s="34"/>
      <c r="E16" s="34"/>
      <c r="F16" s="34"/>
      <c r="G16" s="34"/>
      <c r="H16" s="20"/>
      <c r="I16" s="20"/>
      <c r="J16" s="34"/>
      <c r="K16" s="21"/>
      <c r="L16" s="20"/>
      <c r="M16" s="20"/>
      <c r="N16" s="20"/>
      <c r="O16" s="20"/>
      <c r="P16" s="21"/>
      <c r="Q16" s="21"/>
      <c r="R16" s="21"/>
    </row>
    <row r="17" spans="1:18" x14ac:dyDescent="0.25">
      <c r="A17" s="20"/>
      <c r="B17" s="34"/>
      <c r="C17" s="34"/>
      <c r="D17" s="34"/>
      <c r="E17" s="34"/>
      <c r="F17" s="34"/>
      <c r="G17" s="34"/>
      <c r="H17" s="20"/>
      <c r="I17" s="20"/>
      <c r="J17" s="34"/>
      <c r="K17" s="21"/>
      <c r="L17" s="20"/>
      <c r="M17" s="20"/>
      <c r="N17" s="20"/>
      <c r="O17" s="20"/>
      <c r="P17" s="21"/>
      <c r="Q17" s="21"/>
      <c r="R17" s="21"/>
    </row>
    <row r="18" spans="1:18" x14ac:dyDescent="0.25">
      <c r="A18" s="20"/>
      <c r="B18" s="34"/>
      <c r="C18" s="34"/>
      <c r="D18" s="34"/>
      <c r="E18" s="34"/>
      <c r="F18" s="34"/>
      <c r="G18" s="34"/>
      <c r="H18" s="20"/>
      <c r="I18" s="34"/>
      <c r="J18" s="34"/>
      <c r="K18" s="21"/>
      <c r="L18" s="20"/>
      <c r="M18" s="20"/>
      <c r="N18" s="20"/>
      <c r="O18" s="20"/>
      <c r="P18" s="21"/>
      <c r="Q18" s="21"/>
      <c r="R18" s="21"/>
    </row>
    <row r="19" spans="1:18" x14ac:dyDescent="0.25">
      <c r="A19" s="20"/>
      <c r="B19" s="34"/>
      <c r="C19" s="34"/>
      <c r="D19" s="34"/>
      <c r="E19" s="34"/>
      <c r="F19" s="34"/>
      <c r="G19" s="34"/>
      <c r="H19" s="20"/>
      <c r="I19" s="20"/>
      <c r="J19" s="34"/>
      <c r="K19" s="21"/>
      <c r="L19" s="20"/>
      <c r="M19" s="20"/>
      <c r="N19" s="20"/>
      <c r="O19" s="20"/>
      <c r="P19" s="21"/>
      <c r="Q19" s="21"/>
      <c r="R19" s="21"/>
    </row>
    <row r="20" spans="1:18" x14ac:dyDescent="0.25">
      <c r="C20" s="34"/>
      <c r="D20" s="34"/>
      <c r="E20" s="34"/>
      <c r="F20" s="34"/>
      <c r="G20" s="34"/>
      <c r="H20" s="20"/>
      <c r="I20" s="20"/>
      <c r="J20" s="34"/>
      <c r="K20" s="21"/>
      <c r="L20" s="34"/>
      <c r="M20" s="20"/>
      <c r="N20" s="20"/>
      <c r="O20" s="20"/>
      <c r="P20" s="21"/>
      <c r="Q20" s="21"/>
      <c r="R20" s="21"/>
    </row>
    <row r="21" spans="1:18" x14ac:dyDescent="0.25">
      <c r="A21" s="7"/>
      <c r="C21" s="34"/>
      <c r="D21" s="34"/>
      <c r="E21" s="34"/>
      <c r="F21" s="34"/>
      <c r="G21" s="34"/>
      <c r="H21" s="20"/>
      <c r="I21" s="20"/>
      <c r="J21" s="34"/>
      <c r="K21" s="21"/>
      <c r="L21" s="20"/>
      <c r="M21" s="20"/>
      <c r="N21" s="20"/>
      <c r="O21" s="20"/>
      <c r="P21" s="21"/>
      <c r="Q21" s="21"/>
      <c r="R21" s="21"/>
    </row>
    <row r="22" spans="1:18" x14ac:dyDescent="0.25">
      <c r="A22" s="20"/>
      <c r="C22" s="34"/>
      <c r="D22" s="34"/>
      <c r="E22" s="34"/>
      <c r="F22" s="34"/>
      <c r="G22" s="34"/>
      <c r="H22" s="20"/>
      <c r="I22" s="20"/>
      <c r="J22" s="34"/>
      <c r="K22" s="21"/>
      <c r="L22" s="20"/>
      <c r="N22" s="20"/>
      <c r="O22" s="20"/>
      <c r="Q22" s="21"/>
      <c r="R22" s="21"/>
    </row>
    <row r="23" spans="1:18" x14ac:dyDescent="0.25">
      <c r="C23" s="34"/>
      <c r="D23" s="34"/>
      <c r="E23" s="34"/>
      <c r="F23" s="34"/>
      <c r="G23" s="34"/>
      <c r="H23" s="20"/>
      <c r="I23" s="34"/>
      <c r="J23" s="34"/>
      <c r="K23" s="21"/>
      <c r="L23" s="20"/>
      <c r="N23" s="21"/>
      <c r="O23" s="21"/>
      <c r="R23" s="21"/>
    </row>
    <row r="24" spans="1:18" hidden="1" x14ac:dyDescent="0.25">
      <c r="L24" s="20"/>
      <c r="N24" s="21"/>
      <c r="O24" s="21"/>
      <c r="R24" s="21"/>
    </row>
    <row r="25" spans="1:18" x14ac:dyDescent="0.25">
      <c r="L25" s="20"/>
      <c r="M25" s="20"/>
      <c r="N25" s="21"/>
      <c r="O25" s="21"/>
      <c r="R25" s="21"/>
    </row>
    <row r="26" spans="1:18" x14ac:dyDescent="0.25">
      <c r="L26" s="20"/>
      <c r="M26" s="20"/>
      <c r="N26" s="21"/>
      <c r="O26" s="21"/>
      <c r="R26" s="21"/>
    </row>
    <row r="27" spans="1:18" x14ac:dyDescent="0.25">
      <c r="A27" s="20"/>
      <c r="I27" s="20"/>
      <c r="J27" s="20"/>
      <c r="K27" s="20"/>
      <c r="L27" s="20"/>
      <c r="M27" s="20"/>
      <c r="N27" s="20"/>
      <c r="O27" s="20"/>
      <c r="P27" s="20"/>
      <c r="Q27" s="21"/>
      <c r="R27" s="21"/>
    </row>
    <row r="28" spans="1:18" x14ac:dyDescent="0.25">
      <c r="A28" s="20"/>
      <c r="M28" s="20"/>
      <c r="N28" s="20"/>
      <c r="O28" s="20"/>
      <c r="P28" s="20"/>
      <c r="Q28" s="21"/>
      <c r="R28" s="21"/>
    </row>
    <row r="29" spans="1:18" x14ac:dyDescent="0.25">
      <c r="A29" s="20"/>
      <c r="M29" s="20"/>
      <c r="N29" s="20"/>
      <c r="O29" s="20"/>
      <c r="P29" s="20"/>
      <c r="Q29" s="21"/>
      <c r="R29" s="21"/>
    </row>
    <row r="30" spans="1:18" x14ac:dyDescent="0.25">
      <c r="A30" s="20"/>
      <c r="M30" s="20"/>
      <c r="N30" s="20"/>
      <c r="O30" s="20"/>
      <c r="P30" s="20"/>
      <c r="Q30" s="21"/>
      <c r="R30" s="21"/>
    </row>
    <row r="31" spans="1:18" x14ac:dyDescent="0.25">
      <c r="M31" s="20"/>
      <c r="N31" s="20"/>
      <c r="O31" s="20"/>
      <c r="P31" s="20"/>
      <c r="Q31" s="21"/>
      <c r="R31" s="21"/>
    </row>
    <row r="32" spans="1:18" x14ac:dyDescent="0.25">
      <c r="A32" s="7"/>
      <c r="I32" s="20"/>
      <c r="J32" s="20"/>
      <c r="K32" s="20"/>
      <c r="L32" s="20"/>
      <c r="M32" s="20"/>
      <c r="N32" s="20"/>
      <c r="O32" s="20"/>
      <c r="P32" s="20"/>
      <c r="Q32" s="21"/>
      <c r="R32" s="21"/>
    </row>
    <row r="33" spans="1:18" x14ac:dyDescent="0.25">
      <c r="A33" s="20"/>
      <c r="I33" s="20"/>
      <c r="J33" s="20"/>
      <c r="K33" s="20"/>
      <c r="L33" s="20"/>
      <c r="M33" s="20"/>
      <c r="N33" s="20"/>
      <c r="O33" s="20"/>
      <c r="P33" s="20"/>
      <c r="Q33" s="21"/>
      <c r="R33" s="21"/>
    </row>
    <row r="34" spans="1:18" x14ac:dyDescent="0.25">
      <c r="I34" s="20"/>
      <c r="J34" s="20"/>
      <c r="K34" s="20"/>
      <c r="L34" s="20"/>
      <c r="M34" s="20"/>
      <c r="N34" s="20"/>
      <c r="O34" s="20"/>
      <c r="P34" s="20"/>
      <c r="Q34" s="21"/>
      <c r="R34" s="21"/>
    </row>
    <row r="35" spans="1:18" x14ac:dyDescent="0.25">
      <c r="I35" s="20"/>
      <c r="J35" s="20"/>
      <c r="K35" s="20"/>
      <c r="L35" s="20"/>
      <c r="M35" s="20"/>
      <c r="N35" s="20"/>
      <c r="O35" s="20"/>
      <c r="P35" s="20"/>
      <c r="Q35" s="21"/>
      <c r="R35" s="21"/>
    </row>
    <row r="36" spans="1:18" x14ac:dyDescent="0.25"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/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/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/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/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/>
      <c r="I46" s="20"/>
      <c r="L46" s="21"/>
    </row>
    <row r="47" spans="1:18" x14ac:dyDescent="0.25">
      <c r="A47" s="20"/>
      <c r="I47" s="20"/>
      <c r="L47" s="21"/>
    </row>
    <row r="48" spans="1:18" x14ac:dyDescent="0.25">
      <c r="I48" s="20"/>
      <c r="L48" s="21"/>
      <c r="N48" s="20"/>
      <c r="Q48" s="21"/>
    </row>
    <row r="49" spans="1:17" x14ac:dyDescent="0.25">
      <c r="I49" s="20"/>
      <c r="L49" s="21"/>
      <c r="N49" s="20"/>
      <c r="Q49" s="21"/>
    </row>
    <row r="50" spans="1:17" x14ac:dyDescent="0.25">
      <c r="I50" s="20"/>
      <c r="L50" s="21"/>
      <c r="N50" s="20"/>
      <c r="Q50" s="21"/>
    </row>
    <row r="51" spans="1:17" x14ac:dyDescent="0.25">
      <c r="N51" s="20"/>
      <c r="Q51" s="21"/>
    </row>
    <row r="52" spans="1:17" x14ac:dyDescent="0.25">
      <c r="A52" s="20"/>
      <c r="N52" s="20"/>
      <c r="Q52" s="21"/>
    </row>
    <row r="53" spans="1:17" x14ac:dyDescent="0.25">
      <c r="A53" s="20"/>
      <c r="N53" s="20"/>
      <c r="Q53" s="21"/>
    </row>
    <row r="54" spans="1:17" x14ac:dyDescent="0.25">
      <c r="A54" s="20"/>
      <c r="N54" s="20"/>
      <c r="Q54" s="21"/>
    </row>
    <row r="55" spans="1:17" x14ac:dyDescent="0.25">
      <c r="A55" s="20"/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29" sqref="A29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727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729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O3" sqref="O3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3" t="s">
        <v>1436</v>
      </c>
      <c r="O1" s="23" t="s">
        <v>1437</v>
      </c>
      <c r="P1" s="23"/>
      <c r="Q1" s="27" t="s">
        <v>1435</v>
      </c>
      <c r="T1" s="29" t="s">
        <v>1538</v>
      </c>
      <c r="U1" s="29" t="s">
        <v>1539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1149</v>
      </c>
      <c r="O2" s="5" t="s">
        <v>1150</v>
      </c>
      <c r="Q2" s="7" t="s">
        <v>1512</v>
      </c>
      <c r="T2" s="36" t="s">
        <v>920</v>
      </c>
      <c r="U2" s="36" t="s">
        <v>850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1026</v>
      </c>
      <c r="O3" s="5" t="s">
        <v>1027</v>
      </c>
      <c r="Q3" s="7" t="s">
        <v>1513</v>
      </c>
      <c r="T3" s="35" t="s">
        <v>1527</v>
      </c>
      <c r="U3" s="35" t="s">
        <v>1537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1002</v>
      </c>
      <c r="O4" s="5" t="s">
        <v>1003</v>
      </c>
      <c r="Q4" s="7" t="s">
        <v>1514</v>
      </c>
      <c r="T4" s="36" t="s">
        <v>1526</v>
      </c>
      <c r="U4" s="36" t="s">
        <v>864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1024</v>
      </c>
      <c r="O5" s="5" t="s">
        <v>1025</v>
      </c>
      <c r="Q5" s="7" t="s">
        <v>895</v>
      </c>
      <c r="T5" s="36" t="s">
        <v>924</v>
      </c>
      <c r="U5" s="36" t="s">
        <v>859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1216</v>
      </c>
      <c r="O6" s="5" t="s">
        <v>1217</v>
      </c>
      <c r="Q6" s="7" t="s">
        <v>1515</v>
      </c>
      <c r="T6" s="36" t="s">
        <v>893</v>
      </c>
      <c r="U6" s="36" t="s">
        <v>810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1163</v>
      </c>
      <c r="O7" s="5" t="s">
        <v>1164</v>
      </c>
      <c r="Q7" s="7" t="s">
        <v>897</v>
      </c>
      <c r="T7" s="35" t="s">
        <v>1532</v>
      </c>
      <c r="U7" s="35" t="s">
        <v>1536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1216</v>
      </c>
      <c r="O8" s="5" t="s">
        <v>1164</v>
      </c>
      <c r="Q8" s="7" t="s">
        <v>954</v>
      </c>
      <c r="T8" s="36" t="s">
        <v>1486</v>
      </c>
      <c r="U8" s="36" t="s">
        <v>1485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1306</v>
      </c>
      <c r="O9" s="5" t="s">
        <v>1164</v>
      </c>
      <c r="Q9" s="7" t="s">
        <v>898</v>
      </c>
      <c r="T9" s="36" t="s">
        <v>916</v>
      </c>
      <c r="U9" s="36" t="s">
        <v>844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1113</v>
      </c>
      <c r="O10" s="5" t="s">
        <v>1114</v>
      </c>
      <c r="Q10" s="7" t="s">
        <v>899</v>
      </c>
      <c r="T10" s="36" t="s">
        <v>885</v>
      </c>
      <c r="U10" s="36" t="s">
        <v>791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1300</v>
      </c>
      <c r="O11" s="5" t="s">
        <v>1301</v>
      </c>
      <c r="Q11" s="7" t="s">
        <v>900</v>
      </c>
      <c r="T11" s="36" t="s">
        <v>890</v>
      </c>
      <c r="U11" s="36" t="s">
        <v>807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1051</v>
      </c>
      <c r="O12" s="5" t="s">
        <v>1052</v>
      </c>
      <c r="Q12" s="7" t="s">
        <v>905</v>
      </c>
      <c r="T12" s="35" t="s">
        <v>1530</v>
      </c>
      <c r="U12" s="35" t="s">
        <v>1535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733</v>
      </c>
      <c r="O13" s="5" t="s">
        <v>1261</v>
      </c>
      <c r="Q13" s="7" t="s">
        <v>906</v>
      </c>
      <c r="T13" s="36" t="s">
        <v>894</v>
      </c>
      <c r="U13" s="36" t="s">
        <v>793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1306</v>
      </c>
      <c r="O14" s="5" t="s">
        <v>1307</v>
      </c>
      <c r="Q14" s="7" t="s">
        <v>1516</v>
      </c>
      <c r="T14" s="36" t="s">
        <v>1490</v>
      </c>
      <c r="U14" s="36" t="s">
        <v>1490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1106</v>
      </c>
      <c r="O15" s="5" t="s">
        <v>1107</v>
      </c>
      <c r="Q15" s="7" t="s">
        <v>1517</v>
      </c>
      <c r="T15" s="36" t="s">
        <v>903</v>
      </c>
      <c r="U15" s="36" t="s">
        <v>820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1040</v>
      </c>
      <c r="O16" s="5" t="s">
        <v>1041</v>
      </c>
      <c r="Q16" s="7" t="s">
        <v>907</v>
      </c>
      <c r="T16" s="36" t="s">
        <v>904</v>
      </c>
      <c r="U16" s="36" t="s">
        <v>821</v>
      </c>
    </row>
    <row r="17" spans="1:21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1100</v>
      </c>
      <c r="Q17" s="7" t="s">
        <v>910</v>
      </c>
      <c r="T17" s="36" t="s">
        <v>1494</v>
      </c>
      <c r="U17" s="36" t="s">
        <v>1493</v>
      </c>
    </row>
    <row r="18" spans="1:21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755</v>
      </c>
      <c r="O18" s="5" t="s">
        <v>1057</v>
      </c>
      <c r="Q18" s="7" t="s">
        <v>911</v>
      </c>
      <c r="T18" s="35" t="s">
        <v>1529</v>
      </c>
      <c r="U18" s="35" t="s">
        <v>1533</v>
      </c>
    </row>
    <row r="19" spans="1:21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998</v>
      </c>
      <c r="O19" s="5" t="s">
        <v>999</v>
      </c>
      <c r="Q19" s="7" t="s">
        <v>1518</v>
      </c>
      <c r="T19" s="34" t="s">
        <v>928</v>
      </c>
      <c r="U19" s="34" t="s">
        <v>863</v>
      </c>
    </row>
    <row r="20" spans="1:21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1204</v>
      </c>
      <c r="O20" s="5" t="s">
        <v>1205</v>
      </c>
      <c r="Q20" s="7" t="s">
        <v>919</v>
      </c>
      <c r="T20" s="35" t="s">
        <v>914</v>
      </c>
      <c r="U20" s="35" t="s">
        <v>848</v>
      </c>
    </row>
    <row r="21" spans="1:21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1074</v>
      </c>
      <c r="O21" s="5" t="s">
        <v>1075</v>
      </c>
      <c r="Q21" s="7" t="s">
        <v>921</v>
      </c>
      <c r="T21" s="34" t="s">
        <v>1528</v>
      </c>
      <c r="U21" s="34" t="s">
        <v>826</v>
      </c>
    </row>
    <row r="22" spans="1:21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1369</v>
      </c>
      <c r="O22" s="5" t="s">
        <v>1370</v>
      </c>
      <c r="Q22" s="7" t="s">
        <v>1519</v>
      </c>
      <c r="T22" s="34" t="s">
        <v>912</v>
      </c>
      <c r="U22" s="34" t="s">
        <v>837</v>
      </c>
    </row>
    <row r="23" spans="1:21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1259</v>
      </c>
      <c r="O23" s="5" t="s">
        <v>1260</v>
      </c>
      <c r="Q23" s="7" t="s">
        <v>923</v>
      </c>
      <c r="T23" s="35" t="s">
        <v>1531</v>
      </c>
      <c r="U23" s="35" t="s">
        <v>1534</v>
      </c>
    </row>
    <row r="24" spans="1:21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1190</v>
      </c>
      <c r="O24" s="5" t="s">
        <v>1191</v>
      </c>
      <c r="Q24" s="7" t="s">
        <v>925</v>
      </c>
      <c r="T24" s="34" t="s">
        <v>902</v>
      </c>
      <c r="U24" s="34" t="s">
        <v>822</v>
      </c>
    </row>
    <row r="25" spans="1:21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1038</v>
      </c>
      <c r="O25" s="5" t="s">
        <v>1039</v>
      </c>
      <c r="Q25" s="7" t="s">
        <v>926</v>
      </c>
      <c r="T25" s="34" t="s">
        <v>892</v>
      </c>
      <c r="U25" s="34" t="s">
        <v>808</v>
      </c>
    </row>
    <row r="26" spans="1:21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1317</v>
      </c>
      <c r="O26" s="5" t="s">
        <v>1318</v>
      </c>
      <c r="Q26" s="7" t="s">
        <v>865</v>
      </c>
      <c r="T26" s="34" t="s">
        <v>927</v>
      </c>
      <c r="U26" s="34" t="s">
        <v>862</v>
      </c>
    </row>
    <row r="27" spans="1:21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1121</v>
      </c>
      <c r="O27" s="5" t="s">
        <v>1122</v>
      </c>
      <c r="T27" s="34" t="s">
        <v>896</v>
      </c>
      <c r="U27" s="34" t="s">
        <v>815</v>
      </c>
    </row>
    <row r="28" spans="1:21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1032</v>
      </c>
      <c r="O28" s="5" t="s">
        <v>1033</v>
      </c>
    </row>
    <row r="29" spans="1:21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1358</v>
      </c>
      <c r="O29" s="5" t="s">
        <v>1359</v>
      </c>
    </row>
    <row r="30" spans="1:21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757</v>
      </c>
      <c r="O30" s="5" t="s">
        <v>1272</v>
      </c>
    </row>
    <row r="31" spans="1:21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1320</v>
      </c>
      <c r="O31" s="5" t="s">
        <v>1321</v>
      </c>
    </row>
    <row r="32" spans="1:21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1064</v>
      </c>
      <c r="O32" s="5" t="s">
        <v>1065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1083</v>
      </c>
      <c r="O33" s="5" t="s">
        <v>1084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755</v>
      </c>
      <c r="O34" s="5" t="s">
        <v>1058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1373</v>
      </c>
      <c r="O35" s="5" t="s">
        <v>1374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1380</v>
      </c>
      <c r="O36" s="5" t="s">
        <v>1381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1364</v>
      </c>
      <c r="O37" s="5" t="s">
        <v>1365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1353</v>
      </c>
      <c r="O38" s="5" t="s">
        <v>1354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1337</v>
      </c>
      <c r="O39" s="5" t="s">
        <v>1338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734</v>
      </c>
      <c r="O40" s="5" t="s">
        <v>1004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1346</v>
      </c>
      <c r="O41" s="5" t="s">
        <v>1347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734</v>
      </c>
      <c r="O42" s="5" t="s">
        <v>1005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1030</v>
      </c>
      <c r="O43" s="5" t="s">
        <v>1031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1087</v>
      </c>
      <c r="O44" s="5" t="s">
        <v>1031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1304</v>
      </c>
      <c r="O45" s="5" t="s">
        <v>1305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1101</v>
      </c>
      <c r="O46" s="5" t="s">
        <v>1102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1143</v>
      </c>
      <c r="O47" s="5" t="s">
        <v>1144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755</v>
      </c>
      <c r="O48" s="5" t="s">
        <v>1059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1093</v>
      </c>
      <c r="O49" s="5" t="s">
        <v>1094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735</v>
      </c>
      <c r="O50" s="5" t="s">
        <v>1251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996</v>
      </c>
      <c r="O51" s="5" t="s">
        <v>997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1353</v>
      </c>
      <c r="O52" s="5" t="s">
        <v>1207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1078</v>
      </c>
      <c r="O53" s="5" t="s">
        <v>1079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1040</v>
      </c>
      <c r="O54" s="5" t="s">
        <v>1042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1355</v>
      </c>
      <c r="O55" s="5" t="s">
        <v>1356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1382</v>
      </c>
      <c r="O56" s="5" t="s">
        <v>1383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735</v>
      </c>
      <c r="O57" s="5" t="s">
        <v>1252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1143</v>
      </c>
      <c r="O58" s="5" t="s">
        <v>1145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1206</v>
      </c>
      <c r="O59" s="5" t="s">
        <v>1390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1324</v>
      </c>
      <c r="O60" s="5" t="s">
        <v>1392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1182</v>
      </c>
      <c r="O61" s="5" t="s">
        <v>1183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1108</v>
      </c>
      <c r="O62" s="5" t="s">
        <v>1109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757</v>
      </c>
      <c r="O63" s="5" t="s">
        <v>1391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1115</v>
      </c>
      <c r="O64" s="5" t="s">
        <v>1389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1216</v>
      </c>
      <c r="O65" s="5" t="s">
        <v>1218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1216</v>
      </c>
      <c r="O66" s="5" t="s">
        <v>1219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1329</v>
      </c>
      <c r="O67" s="5" t="s">
        <v>1330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1281</v>
      </c>
      <c r="O68" s="5" t="s">
        <v>1282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1128</v>
      </c>
      <c r="O69" s="5" t="s">
        <v>1129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1224</v>
      </c>
      <c r="O70" s="5" t="s">
        <v>1225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1212</v>
      </c>
      <c r="O71" s="5" t="s">
        <v>1213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1136</v>
      </c>
      <c r="O72" s="5" t="s">
        <v>1137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1136</v>
      </c>
      <c r="O73" s="5" t="s">
        <v>1138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1346</v>
      </c>
      <c r="O74" s="5" t="s">
        <v>1348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1216</v>
      </c>
      <c r="O75" s="5" t="s">
        <v>1220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1224</v>
      </c>
      <c r="O76" s="5" t="s">
        <v>1226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1281</v>
      </c>
      <c r="O77" s="5" t="s">
        <v>1283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1153</v>
      </c>
      <c r="O78" s="5" t="s">
        <v>1154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1296</v>
      </c>
      <c r="O79" s="5" t="s">
        <v>1297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1290</v>
      </c>
      <c r="O80" s="5" t="s">
        <v>1291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755</v>
      </c>
      <c r="O81" s="5" t="s">
        <v>1060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1313</v>
      </c>
      <c r="O82" s="5" t="s">
        <v>1314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1255</v>
      </c>
      <c r="O83" s="5" t="s">
        <v>1256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1130</v>
      </c>
      <c r="O84" s="5" t="s">
        <v>1131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1151</v>
      </c>
      <c r="O85" s="5" t="s">
        <v>1152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1184</v>
      </c>
      <c r="O86" s="5" t="s">
        <v>1029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733</v>
      </c>
      <c r="O87" s="5" t="s">
        <v>1029</v>
      </c>
    </row>
    <row r="88" spans="1:15" x14ac:dyDescent="0.25">
      <c r="A88" t="s">
        <v>526</v>
      </c>
      <c r="B88" t="s">
        <v>251</v>
      </c>
      <c r="N88" s="5" t="s">
        <v>1379</v>
      </c>
      <c r="O88" s="5" t="s">
        <v>1029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1028</v>
      </c>
      <c r="O89" s="5" t="s">
        <v>1029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754</v>
      </c>
      <c r="O90" s="5" t="s">
        <v>1157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1240</v>
      </c>
      <c r="O91" s="5" t="s">
        <v>1241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1143</v>
      </c>
      <c r="O92" s="5" t="s">
        <v>1146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1375</v>
      </c>
      <c r="O93" s="5" t="s">
        <v>1376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755</v>
      </c>
      <c r="O94" s="5" t="s">
        <v>1061</v>
      </c>
    </row>
    <row r="95" spans="1:15" x14ac:dyDescent="0.25">
      <c r="A95" t="s">
        <v>437</v>
      </c>
      <c r="N95" s="5" t="s">
        <v>1161</v>
      </c>
      <c r="O95" s="5" t="s">
        <v>1061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1196</v>
      </c>
      <c r="O96" s="5" t="s">
        <v>1061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998</v>
      </c>
      <c r="O97" s="5" t="s">
        <v>754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755</v>
      </c>
      <c r="O98" s="5" t="s">
        <v>754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1271</v>
      </c>
      <c r="O99" s="5" t="s">
        <v>754</v>
      </c>
    </row>
    <row r="100" spans="1:15" x14ac:dyDescent="0.25">
      <c r="A100" t="s">
        <v>607</v>
      </c>
      <c r="B100" t="s">
        <v>394</v>
      </c>
      <c r="N100" s="5" t="s">
        <v>1286</v>
      </c>
      <c r="O100" s="5" t="s">
        <v>754</v>
      </c>
    </row>
    <row r="101" spans="1:15" x14ac:dyDescent="0.25">
      <c r="A101" t="s">
        <v>218</v>
      </c>
      <c r="B101" t="s">
        <v>219</v>
      </c>
      <c r="N101" s="5" t="s">
        <v>1344</v>
      </c>
      <c r="O101" s="5" t="s">
        <v>1345</v>
      </c>
    </row>
    <row r="102" spans="1:15" x14ac:dyDescent="0.25">
      <c r="A102" t="s">
        <v>455</v>
      </c>
      <c r="B102" t="s">
        <v>472</v>
      </c>
      <c r="N102" s="5" t="s">
        <v>1362</v>
      </c>
      <c r="O102" s="5" t="s">
        <v>1363</v>
      </c>
    </row>
    <row r="103" spans="1:15" x14ac:dyDescent="0.25">
      <c r="A103" t="s">
        <v>291</v>
      </c>
      <c r="N103" s="5" t="s">
        <v>1308</v>
      </c>
      <c r="O103" s="5" t="s">
        <v>1309</v>
      </c>
    </row>
    <row r="104" spans="1:15" x14ac:dyDescent="0.25">
      <c r="A104" t="s">
        <v>391</v>
      </c>
      <c r="N104" s="5" t="s">
        <v>994</v>
      </c>
      <c r="O104" s="5" t="s">
        <v>995</v>
      </c>
    </row>
    <row r="105" spans="1:15" x14ac:dyDescent="0.25">
      <c r="A105" t="s">
        <v>250</v>
      </c>
      <c r="B105" t="s">
        <v>111</v>
      </c>
      <c r="N105" s="5" t="s">
        <v>1236</v>
      </c>
      <c r="O105" s="5" t="s">
        <v>1237</v>
      </c>
    </row>
    <row r="106" spans="1:15" x14ac:dyDescent="0.25">
      <c r="A106" t="s">
        <v>523</v>
      </c>
      <c r="N106" s="5" t="s">
        <v>1194</v>
      </c>
      <c r="O106" s="5" t="s">
        <v>1195</v>
      </c>
    </row>
    <row r="107" spans="1:15" x14ac:dyDescent="0.25">
      <c r="A107" t="s">
        <v>239</v>
      </c>
      <c r="N107" s="5" t="s">
        <v>1008</v>
      </c>
      <c r="O107" s="5" t="s">
        <v>1009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1108</v>
      </c>
      <c r="O108" s="5" t="s">
        <v>1110</v>
      </c>
    </row>
    <row r="109" spans="1:15" x14ac:dyDescent="0.25">
      <c r="A109" t="s">
        <v>617</v>
      </c>
      <c r="N109" s="5" t="s">
        <v>1224</v>
      </c>
      <c r="O109" s="5" t="s">
        <v>1227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1175</v>
      </c>
      <c r="O110" s="5" t="s">
        <v>1176</v>
      </c>
    </row>
    <row r="111" spans="1:15" x14ac:dyDescent="0.25">
      <c r="A111" t="s">
        <v>525</v>
      </c>
      <c r="B111" t="s">
        <v>626</v>
      </c>
      <c r="N111" s="5" t="s">
        <v>757</v>
      </c>
      <c r="O111" s="5" t="s">
        <v>1273</v>
      </c>
    </row>
    <row r="112" spans="1:15" x14ac:dyDescent="0.25">
      <c r="A112" t="s">
        <v>524</v>
      </c>
      <c r="B112" t="s">
        <v>612</v>
      </c>
      <c r="N112" s="5" t="s">
        <v>1203</v>
      </c>
      <c r="O112" s="5" t="s">
        <v>1163</v>
      </c>
    </row>
    <row r="113" spans="1:15" x14ac:dyDescent="0.25">
      <c r="A113" t="s">
        <v>445</v>
      </c>
      <c r="N113" s="5" t="s">
        <v>1071</v>
      </c>
      <c r="O113" s="5" t="s">
        <v>1072</v>
      </c>
    </row>
    <row r="114" spans="1:15" x14ac:dyDescent="0.25">
      <c r="A114" t="s">
        <v>276</v>
      </c>
      <c r="N114" s="5" t="s">
        <v>1108</v>
      </c>
      <c r="O114" s="5" t="s">
        <v>1072</v>
      </c>
    </row>
    <row r="115" spans="1:15" x14ac:dyDescent="0.25">
      <c r="A115" t="s">
        <v>401</v>
      </c>
      <c r="B115" t="s">
        <v>620</v>
      </c>
      <c r="N115" s="5" t="s">
        <v>1148</v>
      </c>
      <c r="O115" s="5" t="s">
        <v>1072</v>
      </c>
    </row>
    <row r="116" spans="1:15" x14ac:dyDescent="0.25">
      <c r="A116" t="s">
        <v>548</v>
      </c>
      <c r="N116" s="5" t="s">
        <v>1303</v>
      </c>
      <c r="O116" s="5" t="s">
        <v>1072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1319</v>
      </c>
      <c r="O117" s="5" t="s">
        <v>1072</v>
      </c>
    </row>
    <row r="118" spans="1:15" x14ac:dyDescent="0.25">
      <c r="A118" t="s">
        <v>379</v>
      </c>
      <c r="B118" t="s">
        <v>72</v>
      </c>
      <c r="N118" s="5" t="s">
        <v>1089</v>
      </c>
      <c r="O118" s="5" t="s">
        <v>1090</v>
      </c>
    </row>
    <row r="119" spans="1:15" x14ac:dyDescent="0.25">
      <c r="A119" t="s">
        <v>182</v>
      </c>
      <c r="B119" t="s">
        <v>603</v>
      </c>
      <c r="N119" s="5" t="s">
        <v>1263</v>
      </c>
      <c r="O119" s="5" t="s">
        <v>1264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732</v>
      </c>
      <c r="O120" s="5" t="s">
        <v>1116</v>
      </c>
    </row>
    <row r="121" spans="1:15" x14ac:dyDescent="0.25">
      <c r="A121" t="s">
        <v>579</v>
      </c>
      <c r="N121" s="5" t="s">
        <v>1269</v>
      </c>
      <c r="O121" s="5" t="s">
        <v>1270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1108</v>
      </c>
      <c r="O122" s="5" t="s">
        <v>1111</v>
      </c>
    </row>
    <row r="123" spans="1:15" x14ac:dyDescent="0.25">
      <c r="A123" t="s">
        <v>268</v>
      </c>
      <c r="N123" s="5" t="s">
        <v>1013</v>
      </c>
      <c r="O123" s="5" t="s">
        <v>1014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1311</v>
      </c>
      <c r="O124" s="5" t="s">
        <v>1312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1355</v>
      </c>
      <c r="O125" s="5" t="s">
        <v>1357</v>
      </c>
    </row>
    <row r="126" spans="1:15" x14ac:dyDescent="0.25">
      <c r="A126" t="s">
        <v>498</v>
      </c>
      <c r="N126" s="5" t="s">
        <v>1265</v>
      </c>
      <c r="O126" s="5" t="s">
        <v>1266</v>
      </c>
    </row>
    <row r="127" spans="1:15" x14ac:dyDescent="0.25">
      <c r="A127" t="s">
        <v>609</v>
      </c>
      <c r="B127" t="s">
        <v>610</v>
      </c>
      <c r="N127" s="5" t="s">
        <v>1231</v>
      </c>
      <c r="O127" s="5" t="s">
        <v>1184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1242</v>
      </c>
      <c r="O128" s="5" t="s">
        <v>1243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1066</v>
      </c>
      <c r="O129" s="5" t="s">
        <v>1067</v>
      </c>
    </row>
    <row r="130" spans="1:15" x14ac:dyDescent="0.25">
      <c r="A130" t="s">
        <v>365</v>
      </c>
      <c r="B130" t="s">
        <v>366</v>
      </c>
      <c r="N130" s="5" t="s">
        <v>1209</v>
      </c>
      <c r="O130" s="5" t="s">
        <v>1210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733</v>
      </c>
      <c r="O131" s="5" t="s">
        <v>1262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1368</v>
      </c>
      <c r="O132" s="5" t="s">
        <v>1262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1224</v>
      </c>
      <c r="O133" s="5" t="s">
        <v>1228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1290</v>
      </c>
      <c r="O134" s="5" t="s">
        <v>752</v>
      </c>
    </row>
    <row r="135" spans="1:15" x14ac:dyDescent="0.25">
      <c r="A135" t="s">
        <v>454</v>
      </c>
      <c r="B135" t="s">
        <v>457</v>
      </c>
      <c r="N135" s="5" t="s">
        <v>1085</v>
      </c>
      <c r="O135" s="5" t="s">
        <v>1342</v>
      </c>
    </row>
    <row r="136" spans="1:15" x14ac:dyDescent="0.25">
      <c r="A136" t="s">
        <v>453</v>
      </c>
      <c r="N136" s="5" t="s">
        <v>1234</v>
      </c>
      <c r="O136" s="5" t="s">
        <v>1235</v>
      </c>
    </row>
    <row r="137" spans="1:15" x14ac:dyDescent="0.25">
      <c r="A137" t="s">
        <v>497</v>
      </c>
      <c r="B137" t="s">
        <v>630</v>
      </c>
      <c r="N137" s="5" t="s">
        <v>1293</v>
      </c>
      <c r="O137" s="5" t="s">
        <v>1294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1123</v>
      </c>
      <c r="O138" s="5" t="s">
        <v>1124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1171</v>
      </c>
      <c r="O139" s="5" t="s">
        <v>1172</v>
      </c>
    </row>
    <row r="140" spans="1:15" x14ac:dyDescent="0.25">
      <c r="A140" t="s">
        <v>295</v>
      </c>
      <c r="N140" s="5" t="s">
        <v>1308</v>
      </c>
      <c r="O140" s="5" t="s">
        <v>1310</v>
      </c>
    </row>
    <row r="141" spans="1:15" x14ac:dyDescent="0.25">
      <c r="A141" t="s">
        <v>420</v>
      </c>
      <c r="N141" s="5" t="s">
        <v>750</v>
      </c>
      <c r="O141" s="5" t="s">
        <v>1393</v>
      </c>
    </row>
    <row r="142" spans="1:15" x14ac:dyDescent="0.25">
      <c r="A142" t="s">
        <v>471</v>
      </c>
      <c r="N142" s="5" t="s">
        <v>1364</v>
      </c>
      <c r="O142" s="5" t="s">
        <v>1366</v>
      </c>
    </row>
    <row r="143" spans="1:15" x14ac:dyDescent="0.25">
      <c r="A143" t="s">
        <v>514</v>
      </c>
      <c r="N143" s="5" t="s">
        <v>1155</v>
      </c>
      <c r="O143" s="5" t="s">
        <v>1156</v>
      </c>
    </row>
    <row r="144" spans="1:15" x14ac:dyDescent="0.25">
      <c r="A144" t="s">
        <v>261</v>
      </c>
      <c r="N144" s="5" t="s">
        <v>1177</v>
      </c>
      <c r="O144" s="5" t="s">
        <v>1178</v>
      </c>
    </row>
    <row r="145" spans="1:15" x14ac:dyDescent="0.25">
      <c r="A145" t="s">
        <v>563</v>
      </c>
      <c r="N145" s="5" t="s">
        <v>1349</v>
      </c>
      <c r="O145" s="5" t="s">
        <v>1350</v>
      </c>
    </row>
    <row r="146" spans="1:15" x14ac:dyDescent="0.25">
      <c r="A146" t="s">
        <v>346</v>
      </c>
      <c r="N146" s="5" t="s">
        <v>1040</v>
      </c>
      <c r="O146" s="5" t="s">
        <v>1043</v>
      </c>
    </row>
    <row r="147" spans="1:15" x14ac:dyDescent="0.25">
      <c r="A147" t="s">
        <v>426</v>
      </c>
      <c r="N147" s="5" t="s">
        <v>1091</v>
      </c>
      <c r="O147" s="5" t="s">
        <v>1092</v>
      </c>
    </row>
    <row r="148" spans="1:15" x14ac:dyDescent="0.25">
      <c r="A148" t="s">
        <v>564</v>
      </c>
      <c r="N148" s="5" t="s">
        <v>1119</v>
      </c>
      <c r="O148" s="5" t="s">
        <v>1120</v>
      </c>
    </row>
    <row r="149" spans="1:15" x14ac:dyDescent="0.25">
      <c r="A149" t="s">
        <v>516</v>
      </c>
      <c r="N149" s="5" t="s">
        <v>1327</v>
      </c>
      <c r="O149" s="5" t="s">
        <v>1328</v>
      </c>
    </row>
    <row r="150" spans="1:15" x14ac:dyDescent="0.25">
      <c r="A150" t="s">
        <v>65</v>
      </c>
      <c r="N150" s="5" t="s">
        <v>1216</v>
      </c>
      <c r="O150" s="5" t="s">
        <v>1221</v>
      </c>
    </row>
    <row r="151" spans="1:15" x14ac:dyDescent="0.25">
      <c r="A151" t="s">
        <v>423</v>
      </c>
      <c r="N151" s="5" t="s">
        <v>735</v>
      </c>
      <c r="O151" s="5" t="s">
        <v>1253</v>
      </c>
    </row>
    <row r="152" spans="1:15" x14ac:dyDescent="0.25">
      <c r="A152" t="s">
        <v>506</v>
      </c>
      <c r="N152" s="5" t="s">
        <v>731</v>
      </c>
      <c r="O152" s="5" t="s">
        <v>1187</v>
      </c>
    </row>
    <row r="153" spans="1:15" x14ac:dyDescent="0.25">
      <c r="A153" t="s">
        <v>350</v>
      </c>
      <c r="N153" s="5" t="s">
        <v>1192</v>
      </c>
      <c r="O153" s="5" t="s">
        <v>1193</v>
      </c>
    </row>
    <row r="154" spans="1:15" x14ac:dyDescent="0.25">
      <c r="A154" t="s">
        <v>366</v>
      </c>
      <c r="N154" s="5" t="s">
        <v>1095</v>
      </c>
      <c r="O154" s="5" t="s">
        <v>1096</v>
      </c>
    </row>
    <row r="155" spans="1:15" x14ac:dyDescent="0.25">
      <c r="A155" t="s">
        <v>501</v>
      </c>
      <c r="N155" s="5" t="s">
        <v>1335</v>
      </c>
      <c r="O155" s="5" t="s">
        <v>1336</v>
      </c>
    </row>
    <row r="156" spans="1:15" x14ac:dyDescent="0.25">
      <c r="A156" t="s">
        <v>351</v>
      </c>
      <c r="N156" s="5" t="s">
        <v>1177</v>
      </c>
      <c r="O156" s="5" t="s">
        <v>1179</v>
      </c>
    </row>
    <row r="157" spans="1:15" x14ac:dyDescent="0.25">
      <c r="A157" t="s">
        <v>565</v>
      </c>
      <c r="N157" s="5" t="s">
        <v>1329</v>
      </c>
      <c r="O157" s="5" t="s">
        <v>1331</v>
      </c>
    </row>
    <row r="158" spans="1:15" x14ac:dyDescent="0.25">
      <c r="A158" t="s">
        <v>488</v>
      </c>
      <c r="N158" s="5" t="s">
        <v>1257</v>
      </c>
      <c r="O158" s="5" t="s">
        <v>1258</v>
      </c>
    </row>
    <row r="159" spans="1:15" x14ac:dyDescent="0.25">
      <c r="A159" t="s">
        <v>511</v>
      </c>
      <c r="N159" s="5" t="s">
        <v>755</v>
      </c>
      <c r="O159" s="5" t="s">
        <v>1062</v>
      </c>
    </row>
    <row r="160" spans="1:15" x14ac:dyDescent="0.25">
      <c r="A160" t="s">
        <v>376</v>
      </c>
      <c r="N160" s="5" t="s">
        <v>1295</v>
      </c>
      <c r="O160" s="5" t="s">
        <v>1062</v>
      </c>
    </row>
    <row r="161" spans="1:15" x14ac:dyDescent="0.25">
      <c r="A161" t="s">
        <v>439</v>
      </c>
      <c r="N161" s="5" t="s">
        <v>1369</v>
      </c>
      <c r="O161" s="5" t="s">
        <v>1062</v>
      </c>
    </row>
    <row r="162" spans="1:15" x14ac:dyDescent="0.25">
      <c r="A162" t="s">
        <v>238</v>
      </c>
      <c r="N162" s="5" t="s">
        <v>1197</v>
      </c>
      <c r="O162" s="5" t="s">
        <v>1198</v>
      </c>
    </row>
    <row r="163" spans="1:15" x14ac:dyDescent="0.25">
      <c r="A163" t="s">
        <v>584</v>
      </c>
      <c r="N163" s="5" t="s">
        <v>1185</v>
      </c>
      <c r="O163" s="5" t="s">
        <v>1186</v>
      </c>
    </row>
    <row r="164" spans="1:15" x14ac:dyDescent="0.25">
      <c r="A164" t="s">
        <v>585</v>
      </c>
      <c r="N164" s="5" t="s">
        <v>1290</v>
      </c>
      <c r="O164" s="5" t="s">
        <v>1292</v>
      </c>
    </row>
    <row r="165" spans="1:15" x14ac:dyDescent="0.25">
      <c r="A165" t="s">
        <v>521</v>
      </c>
      <c r="N165" s="5" t="s">
        <v>1248</v>
      </c>
      <c r="O165" s="5" t="s">
        <v>1249</v>
      </c>
    </row>
    <row r="166" spans="1:15" x14ac:dyDescent="0.25">
      <c r="A166" t="s">
        <v>461</v>
      </c>
      <c r="N166" s="5" t="s">
        <v>1199</v>
      </c>
      <c r="O166" s="5" t="s">
        <v>1200</v>
      </c>
    </row>
    <row r="167" spans="1:15" x14ac:dyDescent="0.25">
      <c r="A167" t="s">
        <v>370</v>
      </c>
      <c r="N167" s="5" t="s">
        <v>1322</v>
      </c>
      <c r="O167" s="5" t="s">
        <v>1323</v>
      </c>
    </row>
    <row r="168" spans="1:15" x14ac:dyDescent="0.25">
      <c r="A168" t="s">
        <v>499</v>
      </c>
      <c r="N168" s="5" t="s">
        <v>1117</v>
      </c>
      <c r="O168" s="5" t="s">
        <v>1118</v>
      </c>
    </row>
    <row r="169" spans="1:15" x14ac:dyDescent="0.25">
      <c r="A169" t="s">
        <v>450</v>
      </c>
      <c r="N169" s="5" t="s">
        <v>1349</v>
      </c>
      <c r="O169" s="5" t="s">
        <v>1351</v>
      </c>
    </row>
    <row r="170" spans="1:15" x14ac:dyDescent="0.25">
      <c r="A170" t="s">
        <v>402</v>
      </c>
      <c r="N170" s="5" t="s">
        <v>730</v>
      </c>
      <c r="O170" s="5" t="s">
        <v>1287</v>
      </c>
    </row>
    <row r="171" spans="1:15" x14ac:dyDescent="0.25">
      <c r="A171" t="s">
        <v>429</v>
      </c>
      <c r="N171" s="5" t="s">
        <v>757</v>
      </c>
      <c r="O171" s="5" t="s">
        <v>1274</v>
      </c>
    </row>
    <row r="172" spans="1:15" x14ac:dyDescent="0.25">
      <c r="A172" t="s">
        <v>271</v>
      </c>
      <c r="N172" s="5" t="s">
        <v>1281</v>
      </c>
      <c r="O172" s="5" t="s">
        <v>1284</v>
      </c>
    </row>
    <row r="173" spans="1:15" x14ac:dyDescent="0.25">
      <c r="A173" t="s">
        <v>586</v>
      </c>
      <c r="N173" s="5" t="s">
        <v>730</v>
      </c>
      <c r="O173" s="5" t="s">
        <v>1288</v>
      </c>
    </row>
    <row r="174" spans="1:15" x14ac:dyDescent="0.25">
      <c r="A174" t="s">
        <v>556</v>
      </c>
      <c r="N174" s="5" t="s">
        <v>1078</v>
      </c>
      <c r="O174" s="5" t="s">
        <v>1080</v>
      </c>
    </row>
    <row r="175" spans="1:15" x14ac:dyDescent="0.25">
      <c r="A175" t="s">
        <v>355</v>
      </c>
      <c r="N175" s="5" t="s">
        <v>1209</v>
      </c>
      <c r="O175" s="5" t="s">
        <v>1211</v>
      </c>
    </row>
    <row r="176" spans="1:15" x14ac:dyDescent="0.25">
      <c r="A176" t="s">
        <v>447</v>
      </c>
      <c r="N176" s="5" t="s">
        <v>1248</v>
      </c>
      <c r="O176" s="5" t="s">
        <v>1250</v>
      </c>
    </row>
    <row r="177" spans="1:15" x14ac:dyDescent="0.25">
      <c r="A177" t="s">
        <v>581</v>
      </c>
      <c r="N177" s="5" t="s">
        <v>1161</v>
      </c>
      <c r="O177" s="5" t="s">
        <v>1162</v>
      </c>
    </row>
    <row r="178" spans="1:15" x14ac:dyDescent="0.25">
      <c r="A178" t="s">
        <v>236</v>
      </c>
      <c r="N178" s="5" t="s">
        <v>1315</v>
      </c>
      <c r="O178" s="5" t="s">
        <v>1316</v>
      </c>
    </row>
    <row r="179" spans="1:15" x14ac:dyDescent="0.25">
      <c r="A179" t="s">
        <v>566</v>
      </c>
      <c r="N179" s="5" t="s">
        <v>1329</v>
      </c>
      <c r="O179" s="5" t="s">
        <v>1332</v>
      </c>
    </row>
    <row r="180" spans="1:15" x14ac:dyDescent="0.25">
      <c r="A180" t="s">
        <v>253</v>
      </c>
      <c r="N180" s="5" t="s">
        <v>1173</v>
      </c>
      <c r="O180" s="5" t="s">
        <v>1174</v>
      </c>
    </row>
    <row r="181" spans="1:15" x14ac:dyDescent="0.25">
      <c r="A181" t="s">
        <v>66</v>
      </c>
      <c r="N181" s="5" t="s">
        <v>1134</v>
      </c>
      <c r="O181" s="5" t="s">
        <v>1135</v>
      </c>
    </row>
    <row r="182" spans="1:15" x14ac:dyDescent="0.25">
      <c r="A182" t="s">
        <v>200</v>
      </c>
      <c r="N182" s="5" t="s">
        <v>1049</v>
      </c>
      <c r="O182" s="5" t="s">
        <v>1050</v>
      </c>
    </row>
    <row r="183" spans="1:15" x14ac:dyDescent="0.25">
      <c r="A183" t="s">
        <v>405</v>
      </c>
      <c r="N183" s="5" t="s">
        <v>1132</v>
      </c>
      <c r="O183" s="5" t="s">
        <v>1133</v>
      </c>
    </row>
    <row r="184" spans="1:15" x14ac:dyDescent="0.25">
      <c r="A184" t="s">
        <v>587</v>
      </c>
      <c r="N184" s="5" t="s">
        <v>730</v>
      </c>
      <c r="O184" s="5" t="s">
        <v>1289</v>
      </c>
    </row>
    <row r="185" spans="1:15" x14ac:dyDescent="0.25">
      <c r="A185" t="s">
        <v>588</v>
      </c>
      <c r="N185" s="5" t="s">
        <v>1224</v>
      </c>
      <c r="O185" s="5" t="s">
        <v>1229</v>
      </c>
    </row>
    <row r="186" spans="1:15" x14ac:dyDescent="0.25">
      <c r="A186" t="s">
        <v>555</v>
      </c>
      <c r="N186" s="5" t="s">
        <v>1015</v>
      </c>
      <c r="O186" s="5" t="s">
        <v>1016</v>
      </c>
    </row>
    <row r="187" spans="1:15" x14ac:dyDescent="0.25">
      <c r="A187" t="s">
        <v>407</v>
      </c>
      <c r="N187" s="5" t="s">
        <v>1188</v>
      </c>
      <c r="O187" s="5" t="s">
        <v>1189</v>
      </c>
    </row>
    <row r="188" spans="1:15" x14ac:dyDescent="0.25">
      <c r="A188" t="s">
        <v>408</v>
      </c>
      <c r="N188" s="5" t="s">
        <v>1034</v>
      </c>
      <c r="O188" s="5" t="s">
        <v>1035</v>
      </c>
    </row>
    <row r="189" spans="1:15" x14ac:dyDescent="0.25">
      <c r="A189" t="s">
        <v>567</v>
      </c>
      <c r="N189" s="5" t="s">
        <v>1036</v>
      </c>
      <c r="O189" s="5" t="s">
        <v>1037</v>
      </c>
    </row>
    <row r="190" spans="1:15" x14ac:dyDescent="0.25">
      <c r="A190" t="s">
        <v>427</v>
      </c>
      <c r="N190" s="5" t="s">
        <v>1045</v>
      </c>
      <c r="O190" s="5" t="s">
        <v>1046</v>
      </c>
    </row>
    <row r="191" spans="1:15" x14ac:dyDescent="0.25">
      <c r="A191" t="s">
        <v>413</v>
      </c>
      <c r="N191" s="5" t="s">
        <v>1167</v>
      </c>
      <c r="O191" s="5" t="s">
        <v>1168</v>
      </c>
    </row>
    <row r="192" spans="1:15" x14ac:dyDescent="0.25">
      <c r="A192" t="s">
        <v>419</v>
      </c>
      <c r="N192" s="5" t="s">
        <v>1258</v>
      </c>
      <c r="O192" s="5" t="s">
        <v>1166</v>
      </c>
    </row>
    <row r="193" spans="1:15" x14ac:dyDescent="0.25">
      <c r="A193" t="s">
        <v>464</v>
      </c>
      <c r="N193" s="5" t="s">
        <v>1302</v>
      </c>
      <c r="O193" s="5" t="s">
        <v>1166</v>
      </c>
    </row>
    <row r="194" spans="1:15" x14ac:dyDescent="0.25">
      <c r="A194" t="s">
        <v>589</v>
      </c>
      <c r="N194" s="5" t="s">
        <v>1319</v>
      </c>
      <c r="O194" s="5" t="s">
        <v>1166</v>
      </c>
    </row>
    <row r="195" spans="1:15" x14ac:dyDescent="0.25">
      <c r="A195" t="s">
        <v>519</v>
      </c>
      <c r="N195" s="5" t="s">
        <v>1326</v>
      </c>
      <c r="O195" s="5" t="s">
        <v>1166</v>
      </c>
    </row>
    <row r="196" spans="1:15" x14ac:dyDescent="0.25">
      <c r="A196" t="s">
        <v>509</v>
      </c>
      <c r="N196" s="5" t="s">
        <v>1165</v>
      </c>
      <c r="O196" s="5" t="s">
        <v>1166</v>
      </c>
    </row>
    <row r="197" spans="1:15" x14ac:dyDescent="0.25">
      <c r="A197" t="s">
        <v>264</v>
      </c>
      <c r="N197" s="5" t="s">
        <v>1177</v>
      </c>
      <c r="O197" s="5" t="s">
        <v>1180</v>
      </c>
    </row>
    <row r="198" spans="1:15" x14ac:dyDescent="0.25">
      <c r="A198" t="s">
        <v>492</v>
      </c>
      <c r="N198" s="5" t="s">
        <v>1214</v>
      </c>
      <c r="O198" s="5" t="s">
        <v>1215</v>
      </c>
    </row>
    <row r="199" spans="1:15" x14ac:dyDescent="0.25">
      <c r="A199" t="s">
        <v>481</v>
      </c>
      <c r="N199" s="5" t="s">
        <v>1216</v>
      </c>
      <c r="O199" s="5" t="s">
        <v>1222</v>
      </c>
    </row>
    <row r="200" spans="1:15" x14ac:dyDescent="0.25">
      <c r="A200" t="s">
        <v>529</v>
      </c>
      <c r="N200" s="5" t="s">
        <v>1244</v>
      </c>
      <c r="O200" s="5" t="s">
        <v>1245</v>
      </c>
    </row>
    <row r="201" spans="1:15" x14ac:dyDescent="0.25">
      <c r="A201" t="s">
        <v>508</v>
      </c>
      <c r="N201" s="5" t="s">
        <v>1071</v>
      </c>
      <c r="O201" s="5" t="s">
        <v>1073</v>
      </c>
    </row>
    <row r="202" spans="1:15" x14ac:dyDescent="0.25">
      <c r="A202" t="s">
        <v>568</v>
      </c>
      <c r="N202" s="5" t="s">
        <v>1023</v>
      </c>
      <c r="O202" s="5" t="s">
        <v>1012</v>
      </c>
    </row>
    <row r="203" spans="1:15" x14ac:dyDescent="0.25">
      <c r="A203" t="s">
        <v>476</v>
      </c>
      <c r="N203" s="5" t="s">
        <v>1139</v>
      </c>
      <c r="O203" s="5" t="s">
        <v>1012</v>
      </c>
    </row>
    <row r="204" spans="1:15" x14ac:dyDescent="0.25">
      <c r="A204" t="s">
        <v>409</v>
      </c>
      <c r="N204" s="5" t="s">
        <v>1158</v>
      </c>
      <c r="O204" s="5" t="s">
        <v>1012</v>
      </c>
    </row>
    <row r="205" spans="1:15" x14ac:dyDescent="0.25">
      <c r="A205" t="s">
        <v>374</v>
      </c>
      <c r="N205" s="5" t="s">
        <v>1216</v>
      </c>
      <c r="O205" s="5" t="s">
        <v>1012</v>
      </c>
    </row>
    <row r="206" spans="1:15" x14ac:dyDescent="0.25">
      <c r="A206" t="s">
        <v>428</v>
      </c>
      <c r="N206" s="5" t="s">
        <v>1011</v>
      </c>
      <c r="O206" s="5" t="s">
        <v>1012</v>
      </c>
    </row>
    <row r="207" spans="1:15" x14ac:dyDescent="0.25">
      <c r="A207" t="s">
        <v>451</v>
      </c>
      <c r="N207" s="5" t="s">
        <v>1095</v>
      </c>
      <c r="O207" s="5" t="s">
        <v>1097</v>
      </c>
    </row>
    <row r="208" spans="1:15" x14ac:dyDescent="0.25">
      <c r="A208" t="s">
        <v>590</v>
      </c>
      <c r="N208" s="5" t="s">
        <v>1177</v>
      </c>
      <c r="O208" s="5" t="s">
        <v>1181</v>
      </c>
    </row>
    <row r="209" spans="1:15" x14ac:dyDescent="0.25">
      <c r="A209" t="s">
        <v>489</v>
      </c>
      <c r="N209" s="5" t="s">
        <v>1019</v>
      </c>
      <c r="O209" s="5" t="s">
        <v>1020</v>
      </c>
    </row>
    <row r="210" spans="1:15" x14ac:dyDescent="0.25">
      <c r="A210" t="s">
        <v>272</v>
      </c>
      <c r="N210" s="5" t="s">
        <v>1216</v>
      </c>
      <c r="O210" s="5" t="s">
        <v>1223</v>
      </c>
    </row>
    <row r="211" spans="1:15" x14ac:dyDescent="0.25">
      <c r="A211" t="s">
        <v>522</v>
      </c>
      <c r="N211" s="5" t="s">
        <v>1021</v>
      </c>
      <c r="O211" s="5" t="s">
        <v>1022</v>
      </c>
    </row>
    <row r="212" spans="1:15" x14ac:dyDescent="0.25">
      <c r="A212" t="s">
        <v>569</v>
      </c>
      <c r="N212" s="5" t="s">
        <v>1076</v>
      </c>
      <c r="O212" s="5" t="s">
        <v>1077</v>
      </c>
    </row>
    <row r="213" spans="1:15" x14ac:dyDescent="0.25">
      <c r="A213" t="s">
        <v>422</v>
      </c>
      <c r="N213" s="5" t="s">
        <v>734</v>
      </c>
      <c r="O213" s="5" t="s">
        <v>1006</v>
      </c>
    </row>
    <row r="214" spans="1:15" x14ac:dyDescent="0.25">
      <c r="A214" t="s">
        <v>68</v>
      </c>
      <c r="N214" s="5" t="s">
        <v>1340</v>
      </c>
      <c r="O214" s="5" t="s">
        <v>1341</v>
      </c>
    </row>
    <row r="215" spans="1:15" x14ac:dyDescent="0.25">
      <c r="A215" t="s">
        <v>470</v>
      </c>
      <c r="N215" s="5" t="s">
        <v>1159</v>
      </c>
      <c r="O215" s="5" t="s">
        <v>1160</v>
      </c>
    </row>
    <row r="216" spans="1:15" x14ac:dyDescent="0.25">
      <c r="A216" t="s">
        <v>540</v>
      </c>
      <c r="N216" s="5" t="s">
        <v>755</v>
      </c>
      <c r="O216" s="5" t="s">
        <v>753</v>
      </c>
    </row>
    <row r="217" spans="1:15" x14ac:dyDescent="0.25">
      <c r="A217" t="s">
        <v>430</v>
      </c>
      <c r="N217" s="5" t="s">
        <v>734</v>
      </c>
      <c r="O217" s="5" t="s">
        <v>1007</v>
      </c>
    </row>
    <row r="218" spans="1:15" x14ac:dyDescent="0.25">
      <c r="A218" t="s">
        <v>570</v>
      </c>
      <c r="N218" s="5" t="s">
        <v>758</v>
      </c>
      <c r="O218" s="5" t="s">
        <v>1007</v>
      </c>
    </row>
    <row r="219" spans="1:15" x14ac:dyDescent="0.25">
      <c r="A219" t="s">
        <v>360</v>
      </c>
      <c r="N219" s="5" t="s">
        <v>1053</v>
      </c>
      <c r="O219" s="5" t="s">
        <v>1054</v>
      </c>
    </row>
    <row r="220" spans="1:15" x14ac:dyDescent="0.25">
      <c r="A220" t="s">
        <v>381</v>
      </c>
      <c r="N220" s="5" t="s">
        <v>1161</v>
      </c>
      <c r="O220" s="5" t="s">
        <v>1054</v>
      </c>
    </row>
    <row r="221" spans="1:15" x14ac:dyDescent="0.25">
      <c r="A221" t="s">
        <v>559</v>
      </c>
      <c r="N221" s="5" t="s">
        <v>1384</v>
      </c>
      <c r="O221" s="5" t="s">
        <v>1385</v>
      </c>
    </row>
    <row r="222" spans="1:15" x14ac:dyDescent="0.25">
      <c r="A222" t="s">
        <v>547</v>
      </c>
      <c r="N222" s="5" t="s">
        <v>1048</v>
      </c>
      <c r="O222" s="5" t="s">
        <v>1325</v>
      </c>
    </row>
    <row r="223" spans="1:15" x14ac:dyDescent="0.25">
      <c r="A223" t="s">
        <v>571</v>
      </c>
      <c r="N223" s="5" t="s">
        <v>1125</v>
      </c>
      <c r="O223" s="5" t="s">
        <v>1126</v>
      </c>
    </row>
    <row r="224" spans="1:15" x14ac:dyDescent="0.25">
      <c r="A224" t="s">
        <v>494</v>
      </c>
      <c r="N224" s="5" t="s">
        <v>1047</v>
      </c>
      <c r="O224" s="5" t="s">
        <v>1048</v>
      </c>
    </row>
    <row r="225" spans="1:15" x14ac:dyDescent="0.25">
      <c r="A225" t="s">
        <v>188</v>
      </c>
      <c r="N225" s="5" t="s">
        <v>1169</v>
      </c>
      <c r="O225" s="5" t="s">
        <v>1170</v>
      </c>
    </row>
    <row r="226" spans="1:15" x14ac:dyDescent="0.25">
      <c r="A226" t="s">
        <v>431</v>
      </c>
      <c r="N226" s="5" t="s">
        <v>1069</v>
      </c>
      <c r="O226" s="5" t="s">
        <v>1070</v>
      </c>
    </row>
    <row r="227" spans="1:15" x14ac:dyDescent="0.25">
      <c r="A227" t="s">
        <v>434</v>
      </c>
      <c r="N227" s="5" t="s">
        <v>1066</v>
      </c>
      <c r="O227" s="5" t="s">
        <v>1068</v>
      </c>
    </row>
    <row r="228" spans="1:15" x14ac:dyDescent="0.25">
      <c r="A228" t="s">
        <v>382</v>
      </c>
      <c r="N228" s="5" t="s">
        <v>1161</v>
      </c>
      <c r="O228" s="5" t="s">
        <v>1018</v>
      </c>
    </row>
    <row r="229" spans="1:15" x14ac:dyDescent="0.25">
      <c r="A229" t="s">
        <v>530</v>
      </c>
      <c r="N229" s="5" t="s">
        <v>1353</v>
      </c>
      <c r="O229" s="5" t="s">
        <v>1018</v>
      </c>
    </row>
    <row r="230" spans="1:15" x14ac:dyDescent="0.25">
      <c r="A230" t="s">
        <v>432</v>
      </c>
      <c r="N230" s="5" t="s">
        <v>1017</v>
      </c>
      <c r="O230" s="5" t="s">
        <v>1018</v>
      </c>
    </row>
    <row r="231" spans="1:15" x14ac:dyDescent="0.25">
      <c r="A231" t="s">
        <v>591</v>
      </c>
      <c r="N231" s="5" t="s">
        <v>755</v>
      </c>
      <c r="O231" s="5" t="s">
        <v>1018</v>
      </c>
    </row>
    <row r="232" spans="1:15" x14ac:dyDescent="0.25">
      <c r="A232" t="s">
        <v>449</v>
      </c>
      <c r="N232" s="5" t="s">
        <v>1101</v>
      </c>
      <c r="O232" s="5" t="s">
        <v>1103</v>
      </c>
    </row>
    <row r="233" spans="1:15" x14ac:dyDescent="0.25">
      <c r="A233" t="s">
        <v>546</v>
      </c>
      <c r="N233" s="5" t="s">
        <v>1147</v>
      </c>
      <c r="O233" s="5" t="s">
        <v>1103</v>
      </c>
    </row>
    <row r="234" spans="1:15" x14ac:dyDescent="0.25">
      <c r="A234" t="s">
        <v>475</v>
      </c>
      <c r="N234" s="5" t="s">
        <v>1281</v>
      </c>
      <c r="O234" s="5" t="s">
        <v>1285</v>
      </c>
    </row>
    <row r="235" spans="1:15" x14ac:dyDescent="0.25">
      <c r="A235" t="s">
        <v>592</v>
      </c>
      <c r="N235" s="5" t="s">
        <v>1000</v>
      </c>
      <c r="O235" s="5" t="s">
        <v>1001</v>
      </c>
    </row>
    <row r="236" spans="1:15" x14ac:dyDescent="0.25">
      <c r="A236" t="s">
        <v>410</v>
      </c>
      <c r="N236" s="5" t="s">
        <v>1236</v>
      </c>
      <c r="O236" s="5" t="s">
        <v>1238</v>
      </c>
    </row>
    <row r="237" spans="1:15" x14ac:dyDescent="0.25">
      <c r="A237" t="s">
        <v>386</v>
      </c>
      <c r="N237" s="5" t="s">
        <v>1081</v>
      </c>
      <c r="O237" s="5" t="s">
        <v>1082</v>
      </c>
    </row>
    <row r="238" spans="1:15" x14ac:dyDescent="0.25">
      <c r="A238" t="s">
        <v>553</v>
      </c>
      <c r="N238" s="5" t="s">
        <v>1333</v>
      </c>
      <c r="O238" s="5" t="s">
        <v>1334</v>
      </c>
    </row>
    <row r="239" spans="1:15" x14ac:dyDescent="0.25">
      <c r="A239" t="s">
        <v>480</v>
      </c>
      <c r="N239" s="5" t="s">
        <v>1364</v>
      </c>
      <c r="O239" s="5" t="s">
        <v>1367</v>
      </c>
    </row>
    <row r="240" spans="1:15" x14ac:dyDescent="0.25">
      <c r="A240" t="s">
        <v>526</v>
      </c>
      <c r="N240" s="5" t="s">
        <v>735</v>
      </c>
      <c r="O240" s="5" t="s">
        <v>1254</v>
      </c>
    </row>
    <row r="241" spans="1:15" x14ac:dyDescent="0.25">
      <c r="A241" t="s">
        <v>572</v>
      </c>
      <c r="N241" s="5" t="s">
        <v>1055</v>
      </c>
      <c r="O241" s="5" t="s">
        <v>1056</v>
      </c>
    </row>
    <row r="242" spans="1:15" x14ac:dyDescent="0.25">
      <c r="A242" t="s">
        <v>459</v>
      </c>
      <c r="N242" s="5" t="s">
        <v>1224</v>
      </c>
      <c r="O242" s="5" t="s">
        <v>1056</v>
      </c>
    </row>
    <row r="243" spans="1:15" x14ac:dyDescent="0.25">
      <c r="A243" t="s">
        <v>593</v>
      </c>
      <c r="N243" s="5" t="s">
        <v>1372</v>
      </c>
      <c r="O243" s="5" t="s">
        <v>1056</v>
      </c>
    </row>
    <row r="244" spans="1:15" x14ac:dyDescent="0.25">
      <c r="A244" t="s">
        <v>61</v>
      </c>
      <c r="N244" s="5" t="s">
        <v>1125</v>
      </c>
      <c r="O244" s="5" t="s">
        <v>1127</v>
      </c>
    </row>
    <row r="245" spans="1:15" x14ac:dyDescent="0.25">
      <c r="A245" t="s">
        <v>452</v>
      </c>
      <c r="N245" s="5" t="s">
        <v>1337</v>
      </c>
      <c r="O245" s="5" t="s">
        <v>1339</v>
      </c>
    </row>
    <row r="246" spans="1:15" x14ac:dyDescent="0.25">
      <c r="A246" t="s">
        <v>411</v>
      </c>
      <c r="N246" s="5" t="s">
        <v>1098</v>
      </c>
      <c r="O246" s="5" t="s">
        <v>1099</v>
      </c>
    </row>
    <row r="247" spans="1:15" x14ac:dyDescent="0.25">
      <c r="A247" t="s">
        <v>468</v>
      </c>
      <c r="N247" s="5" t="s">
        <v>1276</v>
      </c>
      <c r="O247" s="5" t="s">
        <v>1277</v>
      </c>
    </row>
    <row r="248" spans="1:15" x14ac:dyDescent="0.25">
      <c r="A248" t="s">
        <v>562</v>
      </c>
      <c r="N248" s="5" t="s">
        <v>1267</v>
      </c>
      <c r="O248" s="5" t="s">
        <v>1268</v>
      </c>
    </row>
    <row r="249" spans="1:15" x14ac:dyDescent="0.25">
      <c r="A249" t="s">
        <v>186</v>
      </c>
      <c r="N249" s="5" t="s">
        <v>1201</v>
      </c>
      <c r="O249" s="5" t="s">
        <v>1202</v>
      </c>
    </row>
    <row r="250" spans="1:15" x14ac:dyDescent="0.25">
      <c r="A250" t="s">
        <v>539</v>
      </c>
      <c r="N250" s="5" t="s">
        <v>1140</v>
      </c>
      <c r="O250" s="5" t="s">
        <v>1141</v>
      </c>
    </row>
    <row r="251" spans="1:15" x14ac:dyDescent="0.25">
      <c r="A251" t="s">
        <v>594</v>
      </c>
      <c r="N251" s="5" t="s">
        <v>1296</v>
      </c>
      <c r="O251" s="5" t="s">
        <v>1298</v>
      </c>
    </row>
    <row r="252" spans="1:15" x14ac:dyDescent="0.25">
      <c r="A252" t="s">
        <v>520</v>
      </c>
      <c r="N252" s="5" t="s">
        <v>1083</v>
      </c>
      <c r="O252" s="5" t="s">
        <v>1085</v>
      </c>
    </row>
    <row r="253" spans="1:15" x14ac:dyDescent="0.25">
      <c r="A253" t="s">
        <v>503</v>
      </c>
      <c r="N253" s="5" t="s">
        <v>1281</v>
      </c>
      <c r="O253" s="5" t="s">
        <v>1085</v>
      </c>
    </row>
    <row r="254" spans="1:15" x14ac:dyDescent="0.25">
      <c r="A254" t="s">
        <v>573</v>
      </c>
      <c r="N254" s="5" t="s">
        <v>1232</v>
      </c>
      <c r="O254" s="5" t="s">
        <v>1233</v>
      </c>
    </row>
    <row r="255" spans="1:15" x14ac:dyDescent="0.25">
      <c r="A255" t="s">
        <v>456</v>
      </c>
      <c r="N255" s="5" t="s">
        <v>756</v>
      </c>
      <c r="O255" s="5" t="s">
        <v>1208</v>
      </c>
    </row>
    <row r="256" spans="1:15" x14ac:dyDescent="0.25">
      <c r="A256" t="s">
        <v>466</v>
      </c>
      <c r="N256" s="5" t="s">
        <v>1085</v>
      </c>
      <c r="O256" s="5" t="s">
        <v>1343</v>
      </c>
    </row>
    <row r="257" spans="1:15" x14ac:dyDescent="0.25">
      <c r="A257" t="s">
        <v>388</v>
      </c>
      <c r="N257" s="5" t="s">
        <v>1377</v>
      </c>
      <c r="O257" s="5" t="s">
        <v>1378</v>
      </c>
    </row>
    <row r="258" spans="1:15" x14ac:dyDescent="0.25">
      <c r="A258" t="s">
        <v>362</v>
      </c>
      <c r="N258" s="5" t="s">
        <v>1224</v>
      </c>
      <c r="O258" s="5" t="s">
        <v>1230</v>
      </c>
    </row>
    <row r="259" spans="1:15" x14ac:dyDescent="0.25">
      <c r="A259" t="s">
        <v>348</v>
      </c>
      <c r="N259" s="5" t="s">
        <v>1008</v>
      </c>
      <c r="O259" s="5" t="s">
        <v>1010</v>
      </c>
    </row>
    <row r="260" spans="1:15" x14ac:dyDescent="0.25">
      <c r="A260" t="s">
        <v>212</v>
      </c>
      <c r="N260" s="5" t="s">
        <v>1276</v>
      </c>
      <c r="O260" s="5" t="s">
        <v>1278</v>
      </c>
    </row>
    <row r="261" spans="1:15" x14ac:dyDescent="0.25">
      <c r="A261" t="s">
        <v>574</v>
      </c>
      <c r="N261" s="5" t="s">
        <v>1177</v>
      </c>
      <c r="O261" s="5" t="s">
        <v>751</v>
      </c>
    </row>
    <row r="262" spans="1:15" x14ac:dyDescent="0.25">
      <c r="A262" t="s">
        <v>460</v>
      </c>
      <c r="N262" s="5" t="s">
        <v>1279</v>
      </c>
      <c r="O262" s="5" t="s">
        <v>1280</v>
      </c>
    </row>
    <row r="263" spans="1:15" x14ac:dyDescent="0.25">
      <c r="A263" t="s">
        <v>472</v>
      </c>
      <c r="N263" s="5" t="s">
        <v>1087</v>
      </c>
      <c r="O263" s="5" t="s">
        <v>1088</v>
      </c>
    </row>
    <row r="264" spans="1:15" x14ac:dyDescent="0.25">
      <c r="A264" t="s">
        <v>396</v>
      </c>
      <c r="N264" s="5" t="s">
        <v>1236</v>
      </c>
      <c r="O264" s="5" t="s">
        <v>1239</v>
      </c>
    </row>
    <row r="265" spans="1:15" x14ac:dyDescent="0.25">
      <c r="A265" t="s">
        <v>491</v>
      </c>
      <c r="N265" s="5" t="s">
        <v>755</v>
      </c>
      <c r="O265" s="5" t="s">
        <v>1063</v>
      </c>
    </row>
    <row r="266" spans="1:15" x14ac:dyDescent="0.25">
      <c r="A266" t="s">
        <v>412</v>
      </c>
      <c r="N266" s="5" t="s">
        <v>1296</v>
      </c>
      <c r="O266" s="5" t="s">
        <v>1299</v>
      </c>
    </row>
    <row r="267" spans="1:15" x14ac:dyDescent="0.25">
      <c r="A267" t="s">
        <v>437</v>
      </c>
      <c r="N267" s="5" t="s">
        <v>1360</v>
      </c>
      <c r="O267" s="5" t="s">
        <v>1361</v>
      </c>
    </row>
    <row r="268" spans="1:15" x14ac:dyDescent="0.25">
      <c r="A268" t="s">
        <v>406</v>
      </c>
      <c r="N268" s="5" t="s">
        <v>1384</v>
      </c>
      <c r="O268" s="5" t="s">
        <v>1386</v>
      </c>
    </row>
    <row r="269" spans="1:15" x14ac:dyDescent="0.25">
      <c r="A269" t="s">
        <v>554</v>
      </c>
      <c r="N269" s="5" t="s">
        <v>1387</v>
      </c>
      <c r="O269" s="5" t="s">
        <v>1388</v>
      </c>
    </row>
    <row r="270" spans="1:15" x14ac:dyDescent="0.25">
      <c r="A270" t="s">
        <v>433</v>
      </c>
      <c r="N270" s="5" t="s">
        <v>757</v>
      </c>
      <c r="O270" s="5" t="s">
        <v>1275</v>
      </c>
    </row>
    <row r="271" spans="1:15" x14ac:dyDescent="0.25">
      <c r="A271" t="s">
        <v>242</v>
      </c>
      <c r="N271" s="5" t="s">
        <v>1349</v>
      </c>
      <c r="O271" s="5" t="s">
        <v>1352</v>
      </c>
    </row>
    <row r="272" spans="1:15" x14ac:dyDescent="0.25">
      <c r="A272" t="s">
        <v>256</v>
      </c>
      <c r="N272" s="5" t="s">
        <v>1104</v>
      </c>
      <c r="O272" s="5" t="s">
        <v>1105</v>
      </c>
    </row>
    <row r="273" spans="1:15" x14ac:dyDescent="0.25">
      <c r="A273" t="s">
        <v>512</v>
      </c>
      <c r="N273" s="5" t="s">
        <v>1083</v>
      </c>
      <c r="O273" s="5" t="s">
        <v>1086</v>
      </c>
    </row>
    <row r="274" spans="1:15" x14ac:dyDescent="0.25">
      <c r="A274" t="s">
        <v>510</v>
      </c>
      <c r="N274" s="5" t="s">
        <v>1040</v>
      </c>
      <c r="O274" s="5" t="s">
        <v>1044</v>
      </c>
    </row>
    <row r="275" spans="1:15" x14ac:dyDescent="0.25">
      <c r="A275" t="s">
        <v>518</v>
      </c>
      <c r="N275" s="5" t="s">
        <v>1108</v>
      </c>
      <c r="O275" s="5" t="s">
        <v>1112</v>
      </c>
    </row>
    <row r="276" spans="1:15" x14ac:dyDescent="0.25">
      <c r="A276" t="s">
        <v>389</v>
      </c>
      <c r="N276" s="5" t="s">
        <v>758</v>
      </c>
      <c r="O276" s="5" t="s">
        <v>1112</v>
      </c>
    </row>
    <row r="277" spans="1:15" x14ac:dyDescent="0.25">
      <c r="A277" t="s">
        <v>340</v>
      </c>
      <c r="N277" s="5" t="s">
        <v>1371</v>
      </c>
      <c r="O277" s="5" t="s">
        <v>1112</v>
      </c>
    </row>
    <row r="278" spans="1:15" x14ac:dyDescent="0.25">
      <c r="A278" t="s">
        <v>500</v>
      </c>
      <c r="N278" s="5" t="s">
        <v>1246</v>
      </c>
      <c r="O278" s="5" t="s">
        <v>1247</v>
      </c>
    </row>
    <row r="279" spans="1:15" x14ac:dyDescent="0.25">
      <c r="A279" t="s">
        <v>218</v>
      </c>
      <c r="N279" s="5" t="s">
        <v>1140</v>
      </c>
      <c r="O279" s="5" t="s">
        <v>1142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topLeftCell="A7" workbookViewId="0">
      <selection activeCell="G7" sqref="G7:G74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1433</v>
      </c>
      <c r="B1" s="7" t="s">
        <v>1434</v>
      </c>
      <c r="C1" s="7" t="s">
        <v>244</v>
      </c>
      <c r="E1" s="23" t="s">
        <v>883</v>
      </c>
      <c r="F1" s="27" t="s">
        <v>1545</v>
      </c>
      <c r="G1" s="29" t="s">
        <v>1538</v>
      </c>
      <c r="H1" s="29" t="s">
        <v>743</v>
      </c>
      <c r="J1" s="29"/>
    </row>
    <row r="2" spans="1:10" x14ac:dyDescent="0.25">
      <c r="A2" s="5" t="s">
        <v>61</v>
      </c>
      <c r="B2" s="5" t="s">
        <v>62</v>
      </c>
      <c r="C2" s="5" t="s">
        <v>61</v>
      </c>
      <c r="E2" s="5" t="s">
        <v>870</v>
      </c>
      <c r="F2" s="26" t="s">
        <v>884</v>
      </c>
      <c r="I2" s="34"/>
      <c r="J2" s="34"/>
    </row>
    <row r="3" spans="1:10" x14ac:dyDescent="0.25">
      <c r="A3" t="s">
        <v>65</v>
      </c>
      <c r="B3" s="5" t="s">
        <v>64</v>
      </c>
      <c r="C3" s="5" t="s">
        <v>65</v>
      </c>
      <c r="E3" s="5" t="s">
        <v>873</v>
      </c>
      <c r="F3" s="26" t="s">
        <v>938</v>
      </c>
      <c r="I3" s="34"/>
      <c r="J3" s="34"/>
    </row>
    <row r="4" spans="1:10" x14ac:dyDescent="0.25">
      <c r="A4" t="s">
        <v>66</v>
      </c>
      <c r="B4" t="s">
        <v>67</v>
      </c>
      <c r="C4" s="5" t="s">
        <v>66</v>
      </c>
      <c r="E4" s="5" t="s">
        <v>827</v>
      </c>
      <c r="F4" s="26" t="s">
        <v>965</v>
      </c>
    </row>
    <row r="5" spans="1:10" x14ac:dyDescent="0.25">
      <c r="A5" t="s">
        <v>68</v>
      </c>
      <c r="B5" t="s">
        <v>385</v>
      </c>
      <c r="C5" s="5" t="s">
        <v>385</v>
      </c>
      <c r="E5" s="5" t="s">
        <v>828</v>
      </c>
      <c r="F5" s="26" t="s">
        <v>991</v>
      </c>
    </row>
    <row r="6" spans="1:10" x14ac:dyDescent="0.25">
      <c r="A6" t="s">
        <v>69</v>
      </c>
      <c r="B6" t="s">
        <v>70</v>
      </c>
      <c r="C6" s="5" t="s">
        <v>69</v>
      </c>
      <c r="E6" s="5" t="s">
        <v>852</v>
      </c>
      <c r="F6" s="26" t="s">
        <v>993</v>
      </c>
    </row>
    <row r="7" spans="1:10" x14ac:dyDescent="0.25">
      <c r="A7" t="s">
        <v>71</v>
      </c>
      <c r="B7" t="s">
        <v>72</v>
      </c>
      <c r="C7" s="5" t="s">
        <v>71</v>
      </c>
      <c r="E7" s="5" t="s">
        <v>850</v>
      </c>
      <c r="F7" s="26" t="s">
        <v>920</v>
      </c>
      <c r="G7" s="5" t="s">
        <v>920</v>
      </c>
    </row>
    <row r="8" spans="1:10" x14ac:dyDescent="0.25">
      <c r="A8" t="s">
        <v>75</v>
      </c>
      <c r="B8" t="s">
        <v>73</v>
      </c>
      <c r="C8" s="5" t="s">
        <v>75</v>
      </c>
      <c r="E8" s="5" t="s">
        <v>839</v>
      </c>
      <c r="F8" s="26" t="s">
        <v>973</v>
      </c>
    </row>
    <row r="9" spans="1:10" x14ac:dyDescent="0.25">
      <c r="A9" s="5" t="s">
        <v>76</v>
      </c>
      <c r="B9" s="5" t="s">
        <v>77</v>
      </c>
      <c r="C9" s="5" t="s">
        <v>76</v>
      </c>
      <c r="E9" s="5" t="s">
        <v>853</v>
      </c>
      <c r="F9" s="26" t="s">
        <v>978</v>
      </c>
    </row>
    <row r="10" spans="1:10" x14ac:dyDescent="0.25">
      <c r="A10" t="s">
        <v>78</v>
      </c>
      <c r="B10" t="s">
        <v>74</v>
      </c>
      <c r="C10" s="5" t="s">
        <v>78</v>
      </c>
      <c r="E10" s="5" t="s">
        <v>799</v>
      </c>
      <c r="F10" s="26" t="s">
        <v>942</v>
      </c>
    </row>
    <row r="11" spans="1:10" x14ac:dyDescent="0.25">
      <c r="A11" s="5" t="s">
        <v>79</v>
      </c>
      <c r="B11" s="5" t="s">
        <v>63</v>
      </c>
      <c r="C11" s="5" t="s">
        <v>79</v>
      </c>
      <c r="E11" s="5" t="s">
        <v>788</v>
      </c>
      <c r="F11" s="26" t="s">
        <v>932</v>
      </c>
    </row>
    <row r="12" spans="1:10" x14ac:dyDescent="0.25">
      <c r="A12" s="5" t="s">
        <v>80</v>
      </c>
      <c r="B12" s="5" t="s">
        <v>81</v>
      </c>
      <c r="C12" s="5" t="s">
        <v>80</v>
      </c>
      <c r="E12" s="5" t="s">
        <v>879</v>
      </c>
      <c r="F12" s="26" t="s">
        <v>964</v>
      </c>
    </row>
    <row r="13" spans="1:10" x14ac:dyDescent="0.25">
      <c r="A13" t="s">
        <v>101</v>
      </c>
      <c r="B13" t="s">
        <v>102</v>
      </c>
      <c r="C13" s="5" t="s">
        <v>101</v>
      </c>
      <c r="E13" s="5" t="s">
        <v>797</v>
      </c>
      <c r="F13" s="26" t="s">
        <v>887</v>
      </c>
    </row>
    <row r="14" spans="1:10" x14ac:dyDescent="0.25">
      <c r="A14" t="s">
        <v>103</v>
      </c>
      <c r="B14" t="s">
        <v>104</v>
      </c>
      <c r="C14" s="5" t="s">
        <v>103</v>
      </c>
      <c r="E14" s="5" t="s">
        <v>857</v>
      </c>
      <c r="F14" s="26" t="s">
        <v>981</v>
      </c>
    </row>
    <row r="15" spans="1:10" x14ac:dyDescent="0.25">
      <c r="A15" t="s">
        <v>105</v>
      </c>
      <c r="B15" t="s">
        <v>106</v>
      </c>
      <c r="C15" s="5" t="s">
        <v>105</v>
      </c>
      <c r="E15" s="5" t="s">
        <v>881</v>
      </c>
      <c r="F15" s="26" t="s">
        <v>989</v>
      </c>
    </row>
    <row r="16" spans="1:10" x14ac:dyDescent="0.25">
      <c r="A16" t="s">
        <v>107</v>
      </c>
      <c r="B16" t="s">
        <v>108</v>
      </c>
      <c r="C16" s="5" t="s">
        <v>107</v>
      </c>
      <c r="E16" s="5" t="s">
        <v>796</v>
      </c>
      <c r="F16" s="26" t="s">
        <v>940</v>
      </c>
    </row>
    <row r="17" spans="1:11" x14ac:dyDescent="0.25">
      <c r="A17" t="s">
        <v>99</v>
      </c>
      <c r="B17" t="s">
        <v>100</v>
      </c>
      <c r="C17" s="5" t="s">
        <v>99</v>
      </c>
      <c r="E17" s="5" t="s">
        <v>806</v>
      </c>
      <c r="F17" s="26" t="s">
        <v>948</v>
      </c>
    </row>
    <row r="18" spans="1:11" x14ac:dyDescent="0.25">
      <c r="A18" t="s">
        <v>112</v>
      </c>
      <c r="B18" t="s">
        <v>113</v>
      </c>
      <c r="C18" s="5" t="s">
        <v>112</v>
      </c>
      <c r="E18" s="5" t="s">
        <v>800</v>
      </c>
      <c r="F18" s="26" t="s">
        <v>943</v>
      </c>
    </row>
    <row r="19" spans="1:11" x14ac:dyDescent="0.25">
      <c r="A19" t="s">
        <v>114</v>
      </c>
      <c r="B19" t="s">
        <v>115</v>
      </c>
      <c r="C19" s="5" t="s">
        <v>114</v>
      </c>
      <c r="E19" s="5" t="s">
        <v>864</v>
      </c>
      <c r="F19" s="26" t="s">
        <v>929</v>
      </c>
      <c r="G19" s="5" t="s">
        <v>1526</v>
      </c>
    </row>
    <row r="20" spans="1:11" x14ac:dyDescent="0.25">
      <c r="A20" t="s">
        <v>116</v>
      </c>
      <c r="B20" t="s">
        <v>117</v>
      </c>
      <c r="C20" s="5" t="s">
        <v>116</v>
      </c>
      <c r="E20" s="5" t="s">
        <v>859</v>
      </c>
      <c r="F20" s="26" t="s">
        <v>924</v>
      </c>
      <c r="G20" s="5" t="s">
        <v>924</v>
      </c>
    </row>
    <row r="21" spans="1:11" x14ac:dyDescent="0.25">
      <c r="A21" t="s">
        <v>154</v>
      </c>
      <c r="B21" t="s">
        <v>111</v>
      </c>
      <c r="C21" s="5" t="s">
        <v>154</v>
      </c>
      <c r="E21" s="5" t="s">
        <v>809</v>
      </c>
      <c r="F21" s="26" t="s">
        <v>949</v>
      </c>
    </row>
    <row r="22" spans="1:11" x14ac:dyDescent="0.25">
      <c r="A22" s="5" t="s">
        <v>250</v>
      </c>
      <c r="B22" t="s">
        <v>184</v>
      </c>
      <c r="C22" s="5" t="s">
        <v>250</v>
      </c>
      <c r="E22" s="5" t="s">
        <v>810</v>
      </c>
      <c r="F22" s="26" t="s">
        <v>893</v>
      </c>
      <c r="G22" s="5" t="s">
        <v>893</v>
      </c>
    </row>
    <row r="23" spans="1:11" x14ac:dyDescent="0.25">
      <c r="A23" t="s">
        <v>283</v>
      </c>
      <c r="B23" s="15" t="s">
        <v>234</v>
      </c>
      <c r="C23" s="5" t="s">
        <v>283</v>
      </c>
      <c r="E23" s="5" t="s">
        <v>829</v>
      </c>
      <c r="F23" s="26" t="s">
        <v>971</v>
      </c>
    </row>
    <row r="24" spans="1:11" x14ac:dyDescent="0.25">
      <c r="A24" s="15" t="s">
        <v>258</v>
      </c>
      <c r="B24" s="15" t="s">
        <v>259</v>
      </c>
      <c r="C24" s="15" t="s">
        <v>258</v>
      </c>
      <c r="E24" s="5" t="s">
        <v>830</v>
      </c>
      <c r="F24" s="26" t="s">
        <v>966</v>
      </c>
    </row>
    <row r="25" spans="1:11" x14ac:dyDescent="0.25">
      <c r="A25" s="15" t="s">
        <v>284</v>
      </c>
      <c r="B25" s="15" t="s">
        <v>284</v>
      </c>
      <c r="C25" t="s">
        <v>285</v>
      </c>
      <c r="E25" s="5" t="s">
        <v>843</v>
      </c>
      <c r="F25" s="26" t="s">
        <v>915</v>
      </c>
    </row>
    <row r="26" spans="1:11" x14ac:dyDescent="0.25">
      <c r="A26" s="15" t="s">
        <v>181</v>
      </c>
      <c r="B26" s="15" t="s">
        <v>181</v>
      </c>
      <c r="C26" s="5" t="s">
        <v>287</v>
      </c>
      <c r="E26" s="5" t="s">
        <v>813</v>
      </c>
      <c r="F26" s="26" t="s">
        <v>951</v>
      </c>
    </row>
    <row r="27" spans="1:11" x14ac:dyDescent="0.25">
      <c r="A27" s="15" t="s">
        <v>286</v>
      </c>
      <c r="B27" s="15" t="s">
        <v>286</v>
      </c>
      <c r="C27" s="5" t="s">
        <v>286</v>
      </c>
      <c r="E27" s="5" t="s">
        <v>844</v>
      </c>
      <c r="F27" s="26" t="s">
        <v>916</v>
      </c>
      <c r="G27" s="5" t="s">
        <v>916</v>
      </c>
    </row>
    <row r="28" spans="1:11" ht="15.75" customHeight="1" x14ac:dyDescent="0.25">
      <c r="A28" s="15" t="s">
        <v>291</v>
      </c>
      <c r="B28" s="15" t="s">
        <v>291</v>
      </c>
      <c r="C28" s="5" t="s">
        <v>288</v>
      </c>
      <c r="E28" s="5" t="s">
        <v>876</v>
      </c>
      <c r="F28" s="26" t="s">
        <v>955</v>
      </c>
    </row>
    <row r="29" spans="1:11" x14ac:dyDescent="0.25">
      <c r="A29" t="s">
        <v>289</v>
      </c>
      <c r="B29" s="15" t="s">
        <v>292</v>
      </c>
      <c r="C29" s="5" t="s">
        <v>289</v>
      </c>
      <c r="E29" s="5" t="s">
        <v>874</v>
      </c>
      <c r="F29" s="26" t="s">
        <v>939</v>
      </c>
    </row>
    <row r="30" spans="1:11" x14ac:dyDescent="0.25">
      <c r="A30" s="15" t="s">
        <v>293</v>
      </c>
      <c r="B30" s="15" t="s">
        <v>293</v>
      </c>
      <c r="C30" s="5" t="s">
        <v>293</v>
      </c>
      <c r="E30" s="5" t="s">
        <v>840</v>
      </c>
      <c r="F30" s="26" t="s">
        <v>974</v>
      </c>
      <c r="I30" s="34"/>
      <c r="K30" s="34"/>
    </row>
    <row r="31" spans="1:11" x14ac:dyDescent="0.25">
      <c r="A31" s="15" t="s">
        <v>294</v>
      </c>
      <c r="B31" s="15" t="s">
        <v>294</v>
      </c>
      <c r="C31" s="5" t="s">
        <v>294</v>
      </c>
      <c r="E31" s="5" t="s">
        <v>869</v>
      </c>
      <c r="F31" s="26" t="s">
        <v>988</v>
      </c>
      <c r="I31" s="34"/>
      <c r="K31" s="34"/>
    </row>
    <row r="32" spans="1:11" x14ac:dyDescent="0.25">
      <c r="A32" s="15"/>
      <c r="E32" s="26" t="s">
        <v>836</v>
      </c>
      <c r="F32" s="26" t="s">
        <v>909</v>
      </c>
      <c r="I32" s="34"/>
      <c r="K32" s="34"/>
    </row>
    <row r="33" spans="5:11" x14ac:dyDescent="0.25">
      <c r="E33" s="5" t="s">
        <v>801</v>
      </c>
      <c r="F33" s="26" t="s">
        <v>944</v>
      </c>
      <c r="I33" s="34"/>
      <c r="K33" s="34"/>
    </row>
    <row r="34" spans="5:11" x14ac:dyDescent="0.25">
      <c r="E34" s="5" t="s">
        <v>818</v>
      </c>
      <c r="F34" s="26" t="s">
        <v>957</v>
      </c>
      <c r="I34" s="34"/>
      <c r="K34" s="34"/>
    </row>
    <row r="35" spans="5:11" x14ac:dyDescent="0.25">
      <c r="E35" s="5" t="s">
        <v>824</v>
      </c>
      <c r="F35" s="26" t="s">
        <v>962</v>
      </c>
      <c r="I35" s="34"/>
      <c r="K35" s="34"/>
    </row>
    <row r="36" spans="5:11" x14ac:dyDescent="0.25">
      <c r="E36" s="5" t="s">
        <v>789</v>
      </c>
      <c r="F36" s="26" t="s">
        <v>933</v>
      </c>
    </row>
    <row r="37" spans="5:11" x14ac:dyDescent="0.25">
      <c r="E37" s="5" t="s">
        <v>802</v>
      </c>
      <c r="F37" s="26" t="s">
        <v>945</v>
      </c>
    </row>
    <row r="38" spans="5:11" x14ac:dyDescent="0.25">
      <c r="E38" s="5" t="s">
        <v>842</v>
      </c>
      <c r="F38" s="26" t="s">
        <v>976</v>
      </c>
    </row>
    <row r="39" spans="5:11" x14ac:dyDescent="0.25">
      <c r="E39" s="5" t="s">
        <v>847</v>
      </c>
      <c r="F39" s="26" t="s">
        <v>977</v>
      </c>
    </row>
    <row r="40" spans="5:11" x14ac:dyDescent="0.25">
      <c r="E40" s="5" t="s">
        <v>865</v>
      </c>
      <c r="F40" s="26" t="s">
        <v>865</v>
      </c>
    </row>
    <row r="41" spans="5:11" x14ac:dyDescent="0.25">
      <c r="E41" s="5" t="s">
        <v>854</v>
      </c>
      <c r="F41" s="26" t="s">
        <v>922</v>
      </c>
    </row>
    <row r="42" spans="5:11" x14ac:dyDescent="0.25">
      <c r="E42" s="5" t="s">
        <v>791</v>
      </c>
      <c r="F42" s="26" t="s">
        <v>885</v>
      </c>
      <c r="G42" s="5" t="s">
        <v>885</v>
      </c>
    </row>
    <row r="43" spans="5:11" x14ac:dyDescent="0.25">
      <c r="E43" s="5" t="s">
        <v>805</v>
      </c>
      <c r="F43" s="26" t="s">
        <v>947</v>
      </c>
    </row>
    <row r="44" spans="5:11" x14ac:dyDescent="0.25">
      <c r="E44" s="5" t="s">
        <v>816</v>
      </c>
      <c r="F44" s="26" t="s">
        <v>953</v>
      </c>
    </row>
    <row r="45" spans="5:11" x14ac:dyDescent="0.25">
      <c r="E45" s="5" t="s">
        <v>855</v>
      </c>
      <c r="F45" s="26" t="s">
        <v>979</v>
      </c>
    </row>
    <row r="46" spans="5:11" x14ac:dyDescent="0.25">
      <c r="E46" s="5" t="s">
        <v>807</v>
      </c>
      <c r="F46" s="26" t="s">
        <v>890</v>
      </c>
      <c r="G46" s="5" t="s">
        <v>890</v>
      </c>
    </row>
    <row r="47" spans="5:11" x14ac:dyDescent="0.25">
      <c r="E47" s="5" t="s">
        <v>793</v>
      </c>
      <c r="F47" s="26" t="s">
        <v>894</v>
      </c>
      <c r="G47" s="5" t="s">
        <v>894</v>
      </c>
    </row>
    <row r="48" spans="5:11" x14ac:dyDescent="0.25">
      <c r="E48" s="5" t="s">
        <v>841</v>
      </c>
      <c r="F48" s="26" t="s">
        <v>975</v>
      </c>
    </row>
    <row r="49" spans="5:7" x14ac:dyDescent="0.25">
      <c r="E49" s="5" t="s">
        <v>866</v>
      </c>
      <c r="F49" s="26" t="s">
        <v>985</v>
      </c>
    </row>
    <row r="50" spans="5:7" x14ac:dyDescent="0.25">
      <c r="E50" s="5" t="s">
        <v>835</v>
      </c>
      <c r="F50" s="26" t="s">
        <v>908</v>
      </c>
    </row>
    <row r="51" spans="5:7" x14ac:dyDescent="0.25">
      <c r="E51" s="5" t="s">
        <v>849</v>
      </c>
      <c r="F51" s="26" t="s">
        <v>918</v>
      </c>
    </row>
    <row r="52" spans="5:7" x14ac:dyDescent="0.25">
      <c r="E52" s="5" t="s">
        <v>820</v>
      </c>
      <c r="F52" s="26" t="s">
        <v>903</v>
      </c>
      <c r="G52" s="5" t="s">
        <v>903</v>
      </c>
    </row>
    <row r="53" spans="5:7" x14ac:dyDescent="0.25">
      <c r="E53" s="5" t="s">
        <v>811</v>
      </c>
      <c r="F53" s="26" t="s">
        <v>891</v>
      </c>
    </row>
    <row r="54" spans="5:7" x14ac:dyDescent="0.25">
      <c r="E54" s="5" t="s">
        <v>861</v>
      </c>
      <c r="F54" s="26" t="s">
        <v>984</v>
      </c>
    </row>
    <row r="55" spans="5:7" x14ac:dyDescent="0.25">
      <c r="E55" s="5" t="s">
        <v>831</v>
      </c>
      <c r="F55" s="26" t="s">
        <v>967</v>
      </c>
    </row>
    <row r="56" spans="5:7" x14ac:dyDescent="0.25">
      <c r="E56" s="5" t="s">
        <v>823</v>
      </c>
      <c r="F56" s="26" t="s">
        <v>961</v>
      </c>
    </row>
    <row r="57" spans="5:7" x14ac:dyDescent="0.25">
      <c r="E57" s="5" t="s">
        <v>821</v>
      </c>
      <c r="F57" s="26" t="s">
        <v>904</v>
      </c>
      <c r="G57" s="5" t="s">
        <v>904</v>
      </c>
    </row>
    <row r="58" spans="5:7" x14ac:dyDescent="0.25">
      <c r="E58" s="5" t="s">
        <v>838</v>
      </c>
      <c r="F58" s="26" t="s">
        <v>972</v>
      </c>
    </row>
    <row r="59" spans="5:7" x14ac:dyDescent="0.25">
      <c r="E59" s="5" t="s">
        <v>803</v>
      </c>
      <c r="F59" s="26" t="s">
        <v>946</v>
      </c>
    </row>
    <row r="60" spans="5:7" x14ac:dyDescent="0.25">
      <c r="E60" s="5" t="s">
        <v>880</v>
      </c>
      <c r="F60" s="26" t="s">
        <v>986</v>
      </c>
    </row>
    <row r="61" spans="5:7" x14ac:dyDescent="0.25">
      <c r="E61" s="5" t="s">
        <v>858</v>
      </c>
      <c r="F61" s="26" t="s">
        <v>982</v>
      </c>
    </row>
    <row r="62" spans="5:7" x14ac:dyDescent="0.25">
      <c r="E62" s="5" t="s">
        <v>863</v>
      </c>
      <c r="F62" s="26" t="s">
        <v>928</v>
      </c>
      <c r="G62" t="s">
        <v>928</v>
      </c>
    </row>
    <row r="63" spans="5:7" x14ac:dyDescent="0.25">
      <c r="E63" s="5" t="s">
        <v>845</v>
      </c>
      <c r="F63" s="26" t="s">
        <v>917</v>
      </c>
    </row>
    <row r="64" spans="5:7" x14ac:dyDescent="0.25">
      <c r="E64" s="5" t="s">
        <v>848</v>
      </c>
      <c r="F64" s="26" t="s">
        <v>914</v>
      </c>
      <c r="G64" s="33" t="s">
        <v>914</v>
      </c>
    </row>
    <row r="65" spans="5:7" x14ac:dyDescent="0.25">
      <c r="E65" s="5" t="s">
        <v>826</v>
      </c>
      <c r="F65" s="26" t="s">
        <v>901</v>
      </c>
      <c r="G65" t="s">
        <v>1528</v>
      </c>
    </row>
    <row r="66" spans="5:7" x14ac:dyDescent="0.25">
      <c r="E66" s="5" t="s">
        <v>837</v>
      </c>
      <c r="F66" s="26" t="s">
        <v>912</v>
      </c>
      <c r="G66" s="33" t="s">
        <v>912</v>
      </c>
    </row>
    <row r="67" spans="5:7" x14ac:dyDescent="0.25">
      <c r="E67" s="5" t="s">
        <v>812</v>
      </c>
      <c r="F67" s="26" t="s">
        <v>950</v>
      </c>
    </row>
    <row r="68" spans="5:7" x14ac:dyDescent="0.25">
      <c r="E68" s="5" t="s">
        <v>794</v>
      </c>
      <c r="F68" s="26" t="s">
        <v>990</v>
      </c>
    </row>
    <row r="69" spans="5:7" x14ac:dyDescent="0.25">
      <c r="E69" s="5" t="s">
        <v>798</v>
      </c>
      <c r="F69" s="26" t="s">
        <v>941</v>
      </c>
    </row>
    <row r="70" spans="5:7" x14ac:dyDescent="0.25">
      <c r="E70" s="5" t="s">
        <v>878</v>
      </c>
      <c r="F70" s="26" t="s">
        <v>960</v>
      </c>
    </row>
    <row r="71" spans="5:7" x14ac:dyDescent="0.25">
      <c r="E71" s="5" t="s">
        <v>851</v>
      </c>
      <c r="F71" s="26" t="s">
        <v>992</v>
      </c>
    </row>
    <row r="72" spans="5:7" x14ac:dyDescent="0.25">
      <c r="E72" s="5" t="s">
        <v>856</v>
      </c>
      <c r="F72" s="26" t="s">
        <v>980</v>
      </c>
    </row>
    <row r="73" spans="5:7" x14ac:dyDescent="0.25">
      <c r="E73" s="5" t="s">
        <v>860</v>
      </c>
      <c r="F73" s="26" t="s">
        <v>983</v>
      </c>
    </row>
    <row r="74" spans="5:7" x14ac:dyDescent="0.25">
      <c r="E74" s="5" t="s">
        <v>871</v>
      </c>
      <c r="F74" s="26" t="s">
        <v>935</v>
      </c>
    </row>
    <row r="75" spans="5:7" x14ac:dyDescent="0.25">
      <c r="E75" s="5" t="s">
        <v>795</v>
      </c>
      <c r="F75" s="26" t="s">
        <v>937</v>
      </c>
    </row>
    <row r="76" spans="5:7" x14ac:dyDescent="0.25">
      <c r="E76" s="5" t="s">
        <v>814</v>
      </c>
      <c r="F76" s="26" t="s">
        <v>952</v>
      </c>
    </row>
    <row r="77" spans="5:7" x14ac:dyDescent="0.25">
      <c r="E77" s="5" t="s">
        <v>817</v>
      </c>
      <c r="F77" s="26" t="s">
        <v>956</v>
      </c>
    </row>
    <row r="78" spans="5:7" x14ac:dyDescent="0.25">
      <c r="E78" s="5" t="s">
        <v>832</v>
      </c>
      <c r="F78" s="26" t="s">
        <v>968</v>
      </c>
    </row>
    <row r="79" spans="5:7" x14ac:dyDescent="0.25">
      <c r="E79" s="5" t="s">
        <v>822</v>
      </c>
      <c r="F79" s="26" t="s">
        <v>902</v>
      </c>
      <c r="G79" s="5" t="s">
        <v>902</v>
      </c>
    </row>
    <row r="80" spans="5:7" x14ac:dyDescent="0.25">
      <c r="E80" s="5" t="s">
        <v>833</v>
      </c>
      <c r="F80" s="26" t="s">
        <v>969</v>
      </c>
    </row>
    <row r="81" spans="5:7" x14ac:dyDescent="0.25">
      <c r="E81" s="5" t="s">
        <v>875</v>
      </c>
      <c r="F81" s="26" t="s">
        <v>889</v>
      </c>
    </row>
    <row r="82" spans="5:7" x14ac:dyDescent="0.25">
      <c r="E82" s="5" t="s">
        <v>790</v>
      </c>
      <c r="F82" s="26" t="s">
        <v>934</v>
      </c>
    </row>
    <row r="83" spans="5:7" x14ac:dyDescent="0.25">
      <c r="E83" s="5" t="s">
        <v>877</v>
      </c>
      <c r="F83" s="26" t="s">
        <v>958</v>
      </c>
    </row>
    <row r="84" spans="5:7" x14ac:dyDescent="0.25">
      <c r="E84" s="5" t="s">
        <v>882</v>
      </c>
      <c r="F84" s="26" t="s">
        <v>931</v>
      </c>
    </row>
    <row r="85" spans="5:7" x14ac:dyDescent="0.25">
      <c r="E85" s="5" t="s">
        <v>804</v>
      </c>
      <c r="F85" s="26" t="s">
        <v>888</v>
      </c>
    </row>
    <row r="86" spans="5:7" x14ac:dyDescent="0.25">
      <c r="E86" s="5" t="s">
        <v>872</v>
      </c>
      <c r="F86" s="26" t="s">
        <v>936</v>
      </c>
    </row>
    <row r="87" spans="5:7" x14ac:dyDescent="0.25">
      <c r="E87" s="26" t="s">
        <v>819</v>
      </c>
      <c r="F87" s="26" t="s">
        <v>959</v>
      </c>
    </row>
    <row r="88" spans="5:7" x14ac:dyDescent="0.25">
      <c r="E88" s="5" t="s">
        <v>808</v>
      </c>
      <c r="F88" s="26" t="s">
        <v>892</v>
      </c>
      <c r="G88" s="33" t="s">
        <v>892</v>
      </c>
    </row>
    <row r="89" spans="5:7" x14ac:dyDescent="0.25">
      <c r="E89" s="26" t="s">
        <v>825</v>
      </c>
      <c r="F89" s="26" t="s">
        <v>963</v>
      </c>
    </row>
    <row r="90" spans="5:7" x14ac:dyDescent="0.25">
      <c r="E90" s="5" t="s">
        <v>867</v>
      </c>
      <c r="F90" s="26" t="s">
        <v>930</v>
      </c>
    </row>
    <row r="91" spans="5:7" x14ac:dyDescent="0.25">
      <c r="E91" s="5" t="s">
        <v>862</v>
      </c>
      <c r="F91" s="26" t="s">
        <v>927</v>
      </c>
      <c r="G91" s="36" t="s">
        <v>927</v>
      </c>
    </row>
    <row r="92" spans="5:7" x14ac:dyDescent="0.25">
      <c r="E92" s="5" t="s">
        <v>846</v>
      </c>
      <c r="F92" s="26" t="s">
        <v>913</v>
      </c>
    </row>
    <row r="93" spans="5:7" x14ac:dyDescent="0.25">
      <c r="E93" s="5" t="s">
        <v>834</v>
      </c>
      <c r="F93" s="26" t="s">
        <v>970</v>
      </c>
    </row>
    <row r="94" spans="5:7" x14ac:dyDescent="0.25">
      <c r="E94" s="5" t="s">
        <v>868</v>
      </c>
      <c r="F94" s="26" t="s">
        <v>987</v>
      </c>
    </row>
    <row r="95" spans="5:7" x14ac:dyDescent="0.25">
      <c r="E95" s="5" t="s">
        <v>792</v>
      </c>
      <c r="F95" s="26" t="s">
        <v>886</v>
      </c>
    </row>
    <row r="96" spans="5:7" x14ac:dyDescent="0.25">
      <c r="E96" s="5" t="s">
        <v>815</v>
      </c>
      <c r="F96" s="26" t="s">
        <v>896</v>
      </c>
      <c r="G96" s="36" t="s">
        <v>896</v>
      </c>
    </row>
    <row r="97" spans="5:7" x14ac:dyDescent="0.25">
      <c r="E97" t="s">
        <v>1477</v>
      </c>
      <c r="F97" t="s">
        <v>1478</v>
      </c>
    </row>
    <row r="98" spans="5:7" x14ac:dyDescent="0.25">
      <c r="E98" t="s">
        <v>1479</v>
      </c>
      <c r="F98" t="s">
        <v>1480</v>
      </c>
    </row>
    <row r="99" spans="5:7" x14ac:dyDescent="0.25">
      <c r="E99" t="s">
        <v>1481</v>
      </c>
      <c r="F99" t="s">
        <v>1482</v>
      </c>
    </row>
    <row r="100" spans="5:7" x14ac:dyDescent="0.25">
      <c r="E100" t="s">
        <v>1483</v>
      </c>
      <c r="F100" t="s">
        <v>1484</v>
      </c>
    </row>
    <row r="101" spans="5:7" x14ac:dyDescent="0.25">
      <c r="E101" t="s">
        <v>1485</v>
      </c>
      <c r="F101" t="s">
        <v>1486</v>
      </c>
      <c r="G101" s="26" t="s">
        <v>1486</v>
      </c>
    </row>
    <row r="102" spans="5:7" x14ac:dyDescent="0.25">
      <c r="E102" t="s">
        <v>1487</v>
      </c>
      <c r="F102" t="s">
        <v>1488</v>
      </c>
    </row>
    <row r="103" spans="5:7" x14ac:dyDescent="0.25">
      <c r="E103" t="s">
        <v>1489</v>
      </c>
      <c r="F103" t="s">
        <v>1490</v>
      </c>
      <c r="G103" s="5" t="s">
        <v>1490</v>
      </c>
    </row>
    <row r="104" spans="5:7" x14ac:dyDescent="0.25">
      <c r="E104" t="s">
        <v>1491</v>
      </c>
      <c r="F104" t="s">
        <v>1492</v>
      </c>
    </row>
    <row r="105" spans="5:7" x14ac:dyDescent="0.25">
      <c r="E105" t="s">
        <v>1493</v>
      </c>
      <c r="F105" t="s">
        <v>1494</v>
      </c>
      <c r="G105" s="26" t="s">
        <v>1494</v>
      </c>
    </row>
    <row r="106" spans="5:7" x14ac:dyDescent="0.25">
      <c r="E106" t="s">
        <v>1495</v>
      </c>
      <c r="F106" t="s">
        <v>1496</v>
      </c>
    </row>
    <row r="107" spans="5:7" x14ac:dyDescent="0.25">
      <c r="E107" t="s">
        <v>1497</v>
      </c>
      <c r="F107" t="s">
        <v>1498</v>
      </c>
    </row>
    <row r="108" spans="5:7" x14ac:dyDescent="0.25">
      <c r="E108" t="s">
        <v>1499</v>
      </c>
      <c r="F108" t="s">
        <v>1500</v>
      </c>
    </row>
    <row r="109" spans="5:7" x14ac:dyDescent="0.25">
      <c r="E109" t="s">
        <v>1501</v>
      </c>
      <c r="F109" t="s">
        <v>1502</v>
      </c>
    </row>
    <row r="110" spans="5:7" x14ac:dyDescent="0.25">
      <c r="E110" t="s">
        <v>1503</v>
      </c>
      <c r="F110" t="s">
        <v>1504</v>
      </c>
    </row>
    <row r="111" spans="5:7" x14ac:dyDescent="0.25">
      <c r="E111" t="s">
        <v>1505</v>
      </c>
      <c r="F111" t="s">
        <v>1506</v>
      </c>
    </row>
    <row r="112" spans="5:7" x14ac:dyDescent="0.25">
      <c r="E112" t="s">
        <v>1507</v>
      </c>
      <c r="F112" t="s">
        <v>1508</v>
      </c>
    </row>
    <row r="113" spans="5:9" x14ac:dyDescent="0.25">
      <c r="E113" s="34" t="s">
        <v>1537</v>
      </c>
      <c r="F113" s="34"/>
      <c r="G113" s="34" t="s">
        <v>1527</v>
      </c>
    </row>
    <row r="114" spans="5:9" x14ac:dyDescent="0.25">
      <c r="E114" s="34" t="s">
        <v>1536</v>
      </c>
      <c r="F114" s="34"/>
      <c r="G114" s="34" t="s">
        <v>1532</v>
      </c>
    </row>
    <row r="115" spans="5:9" x14ac:dyDescent="0.25">
      <c r="E115" s="34" t="s">
        <v>1535</v>
      </c>
      <c r="F115" s="34"/>
      <c r="G115" s="34" t="s">
        <v>1530</v>
      </c>
    </row>
    <row r="116" spans="5:9" x14ac:dyDescent="0.25">
      <c r="E116" s="34" t="s">
        <v>1533</v>
      </c>
      <c r="F116" s="34"/>
      <c r="G116" s="34" t="s">
        <v>1529</v>
      </c>
    </row>
    <row r="117" spans="5:9" x14ac:dyDescent="0.25">
      <c r="E117" s="34" t="s">
        <v>848</v>
      </c>
      <c r="F117" s="34"/>
      <c r="G117" s="34" t="s">
        <v>914</v>
      </c>
    </row>
    <row r="118" spans="5:9" x14ac:dyDescent="0.25">
      <c r="E118" s="34" t="s">
        <v>1534</v>
      </c>
      <c r="F118" s="34"/>
      <c r="G118" s="34" t="s">
        <v>1531</v>
      </c>
    </row>
    <row r="119" spans="5:9" x14ac:dyDescent="0.25">
      <c r="E119" s="34" t="s">
        <v>1543</v>
      </c>
      <c r="F119" s="34" t="s">
        <v>1543</v>
      </c>
      <c r="H119" s="34" t="s">
        <v>1540</v>
      </c>
      <c r="I119" s="34"/>
    </row>
    <row r="120" spans="5:9" x14ac:dyDescent="0.25">
      <c r="E120" s="34" t="s">
        <v>1542</v>
      </c>
      <c r="F120" s="34" t="s">
        <v>1542</v>
      </c>
      <c r="H120" s="34" t="s">
        <v>1541</v>
      </c>
      <c r="I120" s="3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15" sqref="B1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1475</v>
      </c>
      <c r="E1" s="5" t="s">
        <v>1476</v>
      </c>
      <c r="F1" s="5" t="s">
        <v>168</v>
      </c>
    </row>
    <row r="2" spans="1:6" x14ac:dyDescent="0.25">
      <c r="A2" t="s">
        <v>1559</v>
      </c>
      <c r="B2">
        <v>620</v>
      </c>
      <c r="C2" t="s">
        <v>736</v>
      </c>
      <c r="D2" s="9">
        <v>13.2993002721</v>
      </c>
      <c r="E2" s="9">
        <v>-0.42829620819500003</v>
      </c>
      <c r="F2">
        <v>10100</v>
      </c>
    </row>
    <row r="3" spans="1:6" x14ac:dyDescent="0.25">
      <c r="A3" t="s">
        <v>1560</v>
      </c>
      <c r="B3">
        <v>606</v>
      </c>
      <c r="C3" t="s">
        <v>741</v>
      </c>
      <c r="D3" s="9">
        <v>2.5625314818199998</v>
      </c>
      <c r="E3" s="9">
        <v>-0.112855545618</v>
      </c>
      <c r="F3">
        <v>3000</v>
      </c>
    </row>
    <row r="4" spans="1:6" x14ac:dyDescent="0.25">
      <c r="A4" t="s">
        <v>1554</v>
      </c>
      <c r="B4">
        <v>602</v>
      </c>
      <c r="C4" t="s">
        <v>740</v>
      </c>
      <c r="D4" s="9">
        <v>2.24425967052</v>
      </c>
      <c r="E4" s="9">
        <v>2.7081323178300001E-2</v>
      </c>
      <c r="F4">
        <v>2800</v>
      </c>
    </row>
    <row r="5" spans="1:6" x14ac:dyDescent="0.25">
      <c r="A5" t="s">
        <v>1555</v>
      </c>
      <c r="B5">
        <v>606</v>
      </c>
      <c r="C5" t="s">
        <v>741</v>
      </c>
      <c r="D5" s="9">
        <v>3.5258064516099998</v>
      </c>
      <c r="E5" s="9">
        <v>-3.37034758825E-2</v>
      </c>
      <c r="F5">
        <v>4800</v>
      </c>
    </row>
    <row r="6" spans="1:6" x14ac:dyDescent="0.25">
      <c r="A6" t="s">
        <v>1561</v>
      </c>
      <c r="B6">
        <v>602</v>
      </c>
      <c r="C6" t="s">
        <v>741</v>
      </c>
      <c r="D6" s="9">
        <v>2.3804347826100001</v>
      </c>
      <c r="E6" s="9">
        <v>-0.75004386982100002</v>
      </c>
      <c r="F6">
        <v>2400</v>
      </c>
    </row>
    <row r="7" spans="1:6" x14ac:dyDescent="0.25">
      <c r="A7" t="s">
        <v>1556</v>
      </c>
      <c r="B7">
        <v>603</v>
      </c>
      <c r="C7" t="s">
        <v>738</v>
      </c>
      <c r="D7" s="9">
        <v>2.4459104110199998</v>
      </c>
      <c r="E7" s="9">
        <v>-2.58051187854E-2</v>
      </c>
      <c r="F7">
        <v>3400</v>
      </c>
    </row>
    <row r="8" spans="1:6" x14ac:dyDescent="0.25">
      <c r="A8" t="s">
        <v>1557</v>
      </c>
      <c r="B8">
        <v>601</v>
      </c>
      <c r="C8" t="s">
        <v>737</v>
      </c>
      <c r="D8" s="9">
        <v>2.6157634033599999</v>
      </c>
      <c r="E8" s="9">
        <v>-7.1081733073199999E-3</v>
      </c>
      <c r="F8">
        <v>3200</v>
      </c>
    </row>
    <row r="9" spans="1:6" x14ac:dyDescent="0.25">
      <c r="A9" t="s">
        <v>1562</v>
      </c>
      <c r="B9">
        <v>602</v>
      </c>
      <c r="C9" t="s">
        <v>155</v>
      </c>
      <c r="D9" s="9">
        <v>2.7044653524500002</v>
      </c>
      <c r="E9" s="9">
        <v>-2.7916558565599998</v>
      </c>
      <c r="F9">
        <v>2200</v>
      </c>
    </row>
    <row r="10" spans="1:6" x14ac:dyDescent="0.25">
      <c r="A10" t="s">
        <v>1558</v>
      </c>
      <c r="B10">
        <v>603</v>
      </c>
      <c r="C10" t="s">
        <v>739</v>
      </c>
      <c r="D10" s="9">
        <v>2.6860575692099999</v>
      </c>
      <c r="E10" s="9">
        <v>4.5100840699400001E-3</v>
      </c>
      <c r="F10">
        <v>3000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I4" sqref="I4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1431</v>
      </c>
      <c r="F1" s="5" t="s">
        <v>123</v>
      </c>
      <c r="G1" s="5" t="s">
        <v>1430</v>
      </c>
      <c r="H1" s="5" t="s">
        <v>1471</v>
      </c>
      <c r="I1" s="5" t="s">
        <v>1509</v>
      </c>
      <c r="J1" t="s">
        <v>767</v>
      </c>
      <c r="L1" s="5" t="s">
        <v>123</v>
      </c>
      <c r="M1" s="5" t="s">
        <v>1432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1460</v>
      </c>
      <c r="I2" s="2" t="s">
        <v>146</v>
      </c>
      <c r="J2" s="28"/>
      <c r="M2" s="5" t="s">
        <v>1396</v>
      </c>
    </row>
    <row r="3" spans="1:13" x14ac:dyDescent="0.25">
      <c r="A3" t="s">
        <v>152</v>
      </c>
      <c r="B3">
        <v>14</v>
      </c>
      <c r="C3" t="s">
        <v>679</v>
      </c>
      <c r="F3" s="5" t="s">
        <v>768</v>
      </c>
      <c r="G3" s="5" t="s">
        <v>1411</v>
      </c>
      <c r="H3" s="2" t="s">
        <v>1463</v>
      </c>
      <c r="I3" s="2" t="s">
        <v>1553</v>
      </c>
      <c r="J3" s="28"/>
      <c r="M3" s="5" t="s">
        <v>1403</v>
      </c>
    </row>
    <row r="4" spans="1:13" x14ac:dyDescent="0.25">
      <c r="A4" t="s">
        <v>126</v>
      </c>
      <c r="B4">
        <v>15</v>
      </c>
      <c r="C4" t="s">
        <v>665</v>
      </c>
      <c r="F4" s="5" t="s">
        <v>769</v>
      </c>
      <c r="G4" s="5" t="s">
        <v>1396</v>
      </c>
      <c r="H4" s="2" t="s">
        <v>1454</v>
      </c>
      <c r="I4" s="2" t="s">
        <v>769</v>
      </c>
      <c r="J4" s="28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1469</v>
      </c>
      <c r="I5" s="2" t="s">
        <v>125</v>
      </c>
      <c r="J5" s="28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770</v>
      </c>
      <c r="G6" s="5" t="s">
        <v>1394</v>
      </c>
      <c r="H6" s="2" t="s">
        <v>1455</v>
      </c>
      <c r="I6" s="2" t="s">
        <v>770</v>
      </c>
      <c r="J6" s="28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771</v>
      </c>
      <c r="G7" s="5" t="s">
        <v>682</v>
      </c>
      <c r="H7" s="2" t="s">
        <v>1453</v>
      </c>
      <c r="I7" s="2" t="s">
        <v>771</v>
      </c>
      <c r="J7" s="28"/>
      <c r="M7" s="5" t="s">
        <v>1399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1449</v>
      </c>
      <c r="I8" s="2" t="s">
        <v>145</v>
      </c>
      <c r="J8" s="28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1442</v>
      </c>
      <c r="I9" s="2" t="s">
        <v>150</v>
      </c>
      <c r="J9" s="28"/>
      <c r="M9" s="5" t="s">
        <v>1415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1444</v>
      </c>
      <c r="I10" s="2" t="s">
        <v>138</v>
      </c>
      <c r="J10" s="28"/>
      <c r="M10" s="5" t="s">
        <v>1420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772</v>
      </c>
      <c r="G11" s="5" t="s">
        <v>1404</v>
      </c>
      <c r="H11" s="2" t="s">
        <v>1456</v>
      </c>
      <c r="I11" s="2" t="s">
        <v>1511</v>
      </c>
      <c r="J11" s="28"/>
      <c r="M11" s="5" t="s">
        <v>1394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773</v>
      </c>
      <c r="G12" s="5" t="s">
        <v>1406</v>
      </c>
      <c r="H12" s="2" t="s">
        <v>1450</v>
      </c>
      <c r="I12" s="2" t="s">
        <v>773</v>
      </c>
      <c r="J12" s="28"/>
      <c r="M12" s="5" t="s">
        <v>1421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774</v>
      </c>
      <c r="G13" s="5" t="s">
        <v>1399</v>
      </c>
      <c r="H13" s="2" t="s">
        <v>1447</v>
      </c>
      <c r="I13" s="2" t="s">
        <v>774</v>
      </c>
      <c r="J13" s="28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1446</v>
      </c>
      <c r="I14" s="2" t="s">
        <v>130</v>
      </c>
      <c r="J14" s="28"/>
      <c r="M14" s="5" t="s">
        <v>1422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775</v>
      </c>
      <c r="G15" s="5" t="s">
        <v>1400</v>
      </c>
      <c r="H15" s="2" t="s">
        <v>1466</v>
      </c>
      <c r="I15" s="2" t="s">
        <v>775</v>
      </c>
      <c r="J15" s="28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1470</v>
      </c>
      <c r="I16" s="2" t="s">
        <v>148</v>
      </c>
      <c r="J16" s="28"/>
      <c r="M16" s="5" t="s">
        <v>1423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776</v>
      </c>
      <c r="G17" s="5" t="s">
        <v>1395</v>
      </c>
      <c r="H17" s="5" t="s">
        <v>1443</v>
      </c>
      <c r="I17" s="5" t="s">
        <v>776</v>
      </c>
      <c r="J17" s="28"/>
      <c r="M17" s="5" t="s">
        <v>1418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777</v>
      </c>
      <c r="G18" s="5" t="s">
        <v>1410</v>
      </c>
      <c r="H18" s="2" t="s">
        <v>1458</v>
      </c>
      <c r="I18" s="5" t="s">
        <v>777</v>
      </c>
      <c r="J18" s="28"/>
      <c r="M18" s="5" t="s">
        <v>1401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1445</v>
      </c>
      <c r="I19" s="5" t="s">
        <v>132</v>
      </c>
      <c r="J19" s="28"/>
      <c r="M19" s="5" t="s">
        <v>1417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778</v>
      </c>
      <c r="G20" s="5" t="s">
        <v>1407</v>
      </c>
      <c r="H20" s="2" t="s">
        <v>1457</v>
      </c>
      <c r="I20" s="5" t="s">
        <v>1510</v>
      </c>
      <c r="J20" s="28"/>
      <c r="M20" s="5" t="s">
        <v>1413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779</v>
      </c>
      <c r="G21" s="5" t="s">
        <v>1397</v>
      </c>
      <c r="H21" s="5" t="s">
        <v>1452</v>
      </c>
      <c r="I21" s="5" t="s">
        <v>779</v>
      </c>
      <c r="J21" s="28"/>
      <c r="M21" s="5" t="s">
        <v>1414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780</v>
      </c>
      <c r="G22" s="5" t="s">
        <v>1408</v>
      </c>
      <c r="H22" s="2" t="s">
        <v>1462</v>
      </c>
      <c r="I22" s="5" t="s">
        <v>1551</v>
      </c>
      <c r="J22" s="28"/>
      <c r="M22" s="5" t="s">
        <v>1416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1448</v>
      </c>
      <c r="I23" s="5" t="s">
        <v>126</v>
      </c>
      <c r="J23" s="28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781</v>
      </c>
      <c r="G24" s="5" t="s">
        <v>684</v>
      </c>
      <c r="H24" s="2" t="s">
        <v>1451</v>
      </c>
      <c r="I24" s="5" t="s">
        <v>1550</v>
      </c>
      <c r="J24" s="28"/>
      <c r="M24" s="5" t="s">
        <v>1419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747</v>
      </c>
      <c r="G25" s="5" t="s">
        <v>1412</v>
      </c>
      <c r="H25" s="2" t="s">
        <v>1468</v>
      </c>
      <c r="I25" s="5" t="s">
        <v>1552</v>
      </c>
      <c r="J25" s="28"/>
      <c r="M25" s="5" t="s">
        <v>1424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782</v>
      </c>
      <c r="G26" s="5" t="s">
        <v>1398</v>
      </c>
      <c r="H26" s="2" t="s">
        <v>1461</v>
      </c>
      <c r="I26" s="5" t="s">
        <v>782</v>
      </c>
      <c r="J26" s="28"/>
      <c r="M26" s="5" t="s">
        <v>1425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783</v>
      </c>
      <c r="G27" s="5" t="s">
        <v>1405</v>
      </c>
      <c r="H27" s="2" t="s">
        <v>1472</v>
      </c>
      <c r="I27" s="5" t="s">
        <v>783</v>
      </c>
      <c r="J27" s="28"/>
      <c r="M27" s="5" t="s">
        <v>1426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784</v>
      </c>
      <c r="G28" s="5" t="s">
        <v>1403</v>
      </c>
      <c r="H28" s="2" t="s">
        <v>1464</v>
      </c>
      <c r="I28" s="5" t="s">
        <v>784</v>
      </c>
      <c r="J28" s="28"/>
      <c r="M28" s="5" t="s">
        <v>1427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785</v>
      </c>
      <c r="G29" s="5" t="s">
        <v>1401</v>
      </c>
      <c r="H29" s="2" t="s">
        <v>1465</v>
      </c>
      <c r="I29" s="5" t="s">
        <v>785</v>
      </c>
      <c r="J29" s="28"/>
      <c r="M29" s="5" t="s">
        <v>1428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786</v>
      </c>
      <c r="G30" s="5" t="s">
        <v>1402</v>
      </c>
      <c r="H30" s="2" t="s">
        <v>1459</v>
      </c>
      <c r="I30" s="5" t="s">
        <v>786</v>
      </c>
      <c r="J30" s="28"/>
      <c r="M30" s="5" t="s">
        <v>1429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787</v>
      </c>
      <c r="G31" s="5" t="s">
        <v>1409</v>
      </c>
      <c r="H31" s="2" t="s">
        <v>1467</v>
      </c>
      <c r="I31" s="5" t="s">
        <v>787</v>
      </c>
      <c r="J31" s="28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4"/>
  <sheetViews>
    <sheetView tabSelected="1" zoomScaleNormal="100" workbookViewId="0"/>
  </sheetViews>
  <sheetFormatPr defaultRowHeight="15" x14ac:dyDescent="0.25"/>
  <cols>
    <col min="1" max="1" width="134.5703125" style="5" customWidth="1"/>
    <col min="2" max="2" width="13.85546875" style="5" bestFit="1" customWidth="1"/>
    <col min="3" max="3" width="26.855468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ht="132.75" customHeight="1" x14ac:dyDescent="0.25">
      <c r="A1" s="38" t="s">
        <v>1563</v>
      </c>
      <c r="B1" s="35"/>
      <c r="C1" s="23"/>
      <c r="D1" s="29"/>
      <c r="H1" s="22"/>
      <c r="I1" s="5"/>
    </row>
    <row r="2" spans="1:9" x14ac:dyDescent="0.25">
      <c r="A2" s="8"/>
      <c r="B2" s="34"/>
      <c r="D2" s="5"/>
      <c r="H2" s="2"/>
      <c r="I2" s="5"/>
    </row>
    <row r="3" spans="1:9" x14ac:dyDescent="0.25">
      <c r="A3" s="32"/>
      <c r="B3" s="34"/>
      <c r="D3" s="5"/>
      <c r="H3" s="5"/>
      <c r="I3" s="5"/>
    </row>
    <row r="4" spans="1:9" x14ac:dyDescent="0.25">
      <c r="A4" s="8"/>
      <c r="B4" s="34"/>
      <c r="D4" s="5"/>
      <c r="H4" s="5"/>
      <c r="I4" s="5"/>
    </row>
    <row r="5" spans="1:9" x14ac:dyDescent="0.25">
      <c r="A5" s="8"/>
      <c r="B5" s="34"/>
      <c r="D5" s="5"/>
      <c r="H5" s="5"/>
      <c r="I5" s="5"/>
    </row>
    <row r="6" spans="1:9" x14ac:dyDescent="0.25">
      <c r="A6" s="8"/>
      <c r="D6" s="5"/>
      <c r="E6" s="5"/>
      <c r="H6" s="5"/>
      <c r="I6" s="5"/>
    </row>
    <row r="7" spans="1:9" x14ac:dyDescent="0.25">
      <c r="A7" s="8"/>
      <c r="D7" s="5"/>
      <c r="F7" s="5"/>
      <c r="H7" s="5"/>
      <c r="I7" s="5"/>
    </row>
    <row r="8" spans="1:9" x14ac:dyDescent="0.25">
      <c r="A8" s="8"/>
      <c r="D8" s="5"/>
      <c r="F8" s="5"/>
      <c r="H8" s="5"/>
      <c r="I8" s="5"/>
    </row>
    <row r="9" spans="1:9" x14ac:dyDescent="0.25">
      <c r="A9" s="8"/>
      <c r="D9" s="5"/>
      <c r="F9" s="5"/>
      <c r="H9" s="5"/>
      <c r="I9" s="5"/>
    </row>
    <row r="10" spans="1:9" x14ac:dyDescent="0.25">
      <c r="A10" s="8"/>
      <c r="D10" s="5"/>
      <c r="F10" s="5"/>
      <c r="H10" s="5"/>
      <c r="I10" s="5"/>
    </row>
    <row r="11" spans="1:9" x14ac:dyDescent="0.25">
      <c r="A11" s="8"/>
      <c r="D11" s="5"/>
      <c r="F11" s="5"/>
      <c r="H11" s="5"/>
      <c r="I11" s="5"/>
    </row>
    <row r="12" spans="1:9" x14ac:dyDescent="0.25">
      <c r="A12" s="8"/>
      <c r="D12" s="5"/>
      <c r="F12" s="5"/>
    </row>
    <row r="13" spans="1:9" x14ac:dyDescent="0.25">
      <c r="A13" s="8"/>
      <c r="D13" s="5"/>
      <c r="F13" s="5"/>
    </row>
    <row r="14" spans="1:9" ht="15" customHeight="1" x14ac:dyDescent="0.25">
      <c r="A14" s="8"/>
      <c r="D14" s="5"/>
      <c r="F14" s="5"/>
    </row>
    <row r="15" spans="1:9" x14ac:dyDescent="0.25">
      <c r="A15" s="8"/>
      <c r="D15" s="5"/>
      <c r="F15" s="5"/>
    </row>
    <row r="16" spans="1:9" x14ac:dyDescent="0.25">
      <c r="A16" s="31"/>
      <c r="B16" s="30"/>
      <c r="D16" s="5"/>
      <c r="E16" s="5"/>
      <c r="F16" s="5"/>
    </row>
    <row r="17" spans="1:11" x14ac:dyDescent="0.25">
      <c r="A17" s="8"/>
      <c r="D17" s="5"/>
      <c r="F17" s="5"/>
    </row>
    <row r="18" spans="1:11" x14ac:dyDescent="0.25">
      <c r="A18" s="8"/>
      <c r="D18" s="5"/>
      <c r="F18" s="5"/>
    </row>
    <row r="19" spans="1:11" x14ac:dyDescent="0.25">
      <c r="A19" s="8"/>
      <c r="D19" s="5"/>
      <c r="F19" s="5"/>
    </row>
    <row r="20" spans="1:11" x14ac:dyDescent="0.25">
      <c r="A20" s="8"/>
      <c r="D20" s="5"/>
      <c r="F20" s="5"/>
    </row>
    <row r="21" spans="1:11" x14ac:dyDescent="0.25">
      <c r="A21" s="8"/>
      <c r="D21" s="5"/>
      <c r="F21" s="5"/>
    </row>
    <row r="22" spans="1:11" x14ac:dyDescent="0.25">
      <c r="A22" s="8"/>
      <c r="D22" s="5"/>
      <c r="F22" s="5"/>
    </row>
    <row r="23" spans="1:11" x14ac:dyDescent="0.25">
      <c r="D23" s="5"/>
      <c r="F23" s="5"/>
      <c r="H23" s="24"/>
      <c r="K23" s="24"/>
    </row>
    <row r="24" spans="1:11" x14ac:dyDescent="0.25">
      <c r="D24" s="5"/>
      <c r="E24" s="5"/>
      <c r="F24" s="5"/>
      <c r="H24" s="24"/>
      <c r="K24" s="24"/>
    </row>
    <row r="25" spans="1:11" x14ac:dyDescent="0.25">
      <c r="D25" s="5"/>
      <c r="F25" s="5"/>
      <c r="H25" s="24"/>
      <c r="K25" s="24"/>
    </row>
    <row r="26" spans="1:11" x14ac:dyDescent="0.25">
      <c r="D26" s="5"/>
      <c r="F26" s="5"/>
      <c r="H26" s="24"/>
      <c r="K26" s="24"/>
    </row>
    <row r="27" spans="1:11" x14ac:dyDescent="0.25">
      <c r="D27" s="5"/>
      <c r="E27" s="5"/>
      <c r="F27" s="5"/>
      <c r="H27" s="24"/>
      <c r="K27" s="24"/>
    </row>
    <row r="28" spans="1:11" x14ac:dyDescent="0.25">
      <c r="D28" s="5"/>
      <c r="E28" s="5"/>
      <c r="F28" s="5"/>
      <c r="H28" s="24"/>
      <c r="K28" s="24"/>
    </row>
    <row r="29" spans="1:11" x14ac:dyDescent="0.25">
      <c r="D29" s="5"/>
      <c r="E29" s="5"/>
      <c r="F29" s="5"/>
      <c r="H29" s="24"/>
      <c r="K29" s="24"/>
    </row>
    <row r="30" spans="1:11" x14ac:dyDescent="0.25">
      <c r="D30" s="5"/>
      <c r="F30" s="5"/>
      <c r="H30" s="24"/>
      <c r="K30" s="24"/>
    </row>
    <row r="31" spans="1:11" x14ac:dyDescent="0.25">
      <c r="D31" s="5"/>
      <c r="F31" s="5"/>
      <c r="H31" s="24"/>
      <c r="K31" s="24"/>
    </row>
    <row r="32" spans="1:11" x14ac:dyDescent="0.25">
      <c r="D32" s="5"/>
      <c r="E32" s="5"/>
      <c r="F32" s="5"/>
      <c r="H32" s="24"/>
      <c r="K32" s="24"/>
    </row>
    <row r="33" spans="3:11" x14ac:dyDescent="0.25">
      <c r="D33" s="5"/>
      <c r="F33" s="5"/>
      <c r="H33" s="24"/>
      <c r="K33" s="24"/>
    </row>
    <row r="34" spans="3:11" x14ac:dyDescent="0.25">
      <c r="D34" s="5"/>
      <c r="F34" s="5"/>
      <c r="H34" s="24"/>
      <c r="K34" s="24"/>
    </row>
    <row r="35" spans="3:11" x14ac:dyDescent="0.25">
      <c r="D35" s="5"/>
      <c r="E35" s="5"/>
      <c r="F35" s="5"/>
      <c r="H35" s="24"/>
      <c r="J35" s="24"/>
      <c r="K35" s="24"/>
    </row>
    <row r="36" spans="3:11" x14ac:dyDescent="0.25">
      <c r="D36" s="5"/>
      <c r="F36" s="5"/>
      <c r="G36" s="25"/>
      <c r="H36" s="24"/>
      <c r="I36" s="24"/>
      <c r="J36" s="25"/>
      <c r="K36" s="24"/>
    </row>
    <row r="37" spans="3:11" x14ac:dyDescent="0.25">
      <c r="D37" s="5"/>
      <c r="F37" s="5"/>
      <c r="G37" s="25"/>
      <c r="H37" s="24"/>
      <c r="I37" s="24"/>
      <c r="J37" s="25"/>
      <c r="K37" s="24"/>
    </row>
    <row r="38" spans="3:11" x14ac:dyDescent="0.25">
      <c r="D38" s="5"/>
      <c r="F38" s="5"/>
      <c r="H38" s="24"/>
      <c r="K38" s="24"/>
    </row>
    <row r="39" spans="3:11" x14ac:dyDescent="0.25">
      <c r="D39" s="5"/>
      <c r="F39" s="5"/>
      <c r="H39" s="24"/>
      <c r="K39" s="24"/>
    </row>
    <row r="40" spans="3:11" x14ac:dyDescent="0.25">
      <c r="C40" s="26"/>
      <c r="D40" s="5"/>
      <c r="F40" s="5"/>
      <c r="H40" s="24"/>
      <c r="K40" s="24"/>
    </row>
    <row r="41" spans="3:11" x14ac:dyDescent="0.25">
      <c r="D41" s="5"/>
      <c r="F41" s="5"/>
      <c r="H41" s="24"/>
      <c r="K41" s="24"/>
    </row>
    <row r="42" spans="3:11" x14ac:dyDescent="0.25">
      <c r="D42" s="5"/>
      <c r="F42" s="5"/>
      <c r="H42" s="24"/>
      <c r="K42" s="24"/>
    </row>
    <row r="43" spans="3:11" x14ac:dyDescent="0.25">
      <c r="C43" s="26"/>
      <c r="D43" s="5"/>
      <c r="E43" s="5"/>
      <c r="F43" s="5"/>
      <c r="H43" s="24"/>
      <c r="K43" s="24"/>
    </row>
    <row r="44" spans="3:11" x14ac:dyDescent="0.25">
      <c r="D44" s="5"/>
      <c r="F44" s="5"/>
      <c r="H44" s="24"/>
      <c r="K44" s="24"/>
    </row>
    <row r="45" spans="3:11" x14ac:dyDescent="0.25">
      <c r="D45" s="5"/>
      <c r="F45" s="5"/>
      <c r="H45" s="24"/>
      <c r="J45" s="24"/>
      <c r="K45" s="24"/>
    </row>
    <row r="46" spans="3:11" x14ac:dyDescent="0.25">
      <c r="D46" s="5"/>
      <c r="F46" s="5"/>
      <c r="H46" s="24"/>
      <c r="J46" s="24"/>
      <c r="K46" s="24"/>
    </row>
    <row r="47" spans="3:11" x14ac:dyDescent="0.25">
      <c r="D47" s="5"/>
      <c r="F47" s="5"/>
      <c r="G47" s="25"/>
      <c r="H47" s="24"/>
      <c r="I47" s="24"/>
      <c r="J47" s="25"/>
      <c r="K47" s="24"/>
    </row>
    <row r="48" spans="3:11" x14ac:dyDescent="0.25">
      <c r="D48" s="5"/>
      <c r="F48" s="5"/>
      <c r="G48" s="25"/>
      <c r="H48" s="24"/>
      <c r="I48" s="25"/>
      <c r="J48" s="25"/>
    </row>
    <row r="49" spans="3:6" x14ac:dyDescent="0.25">
      <c r="C49" s="26"/>
      <c r="D49" s="5"/>
      <c r="E49" s="5"/>
      <c r="F49" s="5"/>
    </row>
    <row r="50" spans="3:6" x14ac:dyDescent="0.25">
      <c r="C50" s="26"/>
      <c r="D50" s="5"/>
      <c r="E50" s="5"/>
      <c r="F50" s="5"/>
    </row>
    <row r="51" spans="3:6" x14ac:dyDescent="0.25">
      <c r="C51" s="26"/>
      <c r="D51" s="5"/>
      <c r="F51" s="5"/>
    </row>
    <row r="52" spans="3:6" x14ac:dyDescent="0.25">
      <c r="C52" s="26"/>
      <c r="D52" s="5"/>
      <c r="F52" s="5"/>
    </row>
    <row r="53" spans="3:6" x14ac:dyDescent="0.25">
      <c r="C53" s="26"/>
      <c r="D53" s="5"/>
      <c r="E53" s="5"/>
      <c r="F53" s="5"/>
    </row>
    <row r="54" spans="3:6" x14ac:dyDescent="0.25">
      <c r="C54" s="26"/>
      <c r="D54" s="5"/>
      <c r="E54" s="5"/>
      <c r="F54" s="5"/>
    </row>
    <row r="55" spans="3:6" x14ac:dyDescent="0.25">
      <c r="D55" s="5"/>
      <c r="F55" s="5"/>
    </row>
    <row r="56" spans="3:6" x14ac:dyDescent="0.25">
      <c r="D56" s="5"/>
      <c r="F56" s="5"/>
    </row>
    <row r="57" spans="3:6" x14ac:dyDescent="0.25">
      <c r="D57" s="5"/>
      <c r="F57" s="5"/>
    </row>
    <row r="58" spans="3:6" x14ac:dyDescent="0.25">
      <c r="C58" s="26"/>
      <c r="D58" s="5"/>
      <c r="F58" s="5"/>
    </row>
    <row r="59" spans="3:6" x14ac:dyDescent="0.25">
      <c r="D59" s="5"/>
      <c r="F59" s="5"/>
    </row>
    <row r="60" spans="3:6" x14ac:dyDescent="0.25">
      <c r="D60" s="5"/>
      <c r="F60" s="5"/>
    </row>
    <row r="61" spans="3:6" x14ac:dyDescent="0.25">
      <c r="C61" s="26"/>
      <c r="D61" s="5"/>
      <c r="E61" s="5"/>
      <c r="F61" s="5"/>
    </row>
    <row r="62" spans="3:6" x14ac:dyDescent="0.25">
      <c r="C62" s="26"/>
      <c r="D62" s="5"/>
      <c r="E62" s="5"/>
      <c r="F62" s="5"/>
    </row>
    <row r="63" spans="3:6" x14ac:dyDescent="0.25">
      <c r="C63" s="26"/>
      <c r="D63" s="5"/>
      <c r="F63" s="5"/>
    </row>
    <row r="64" spans="3:6" x14ac:dyDescent="0.25">
      <c r="C64" s="26"/>
      <c r="D64" s="5"/>
      <c r="E64" s="5"/>
      <c r="F64" s="5"/>
    </row>
    <row r="65" spans="1:6" x14ac:dyDescent="0.25">
      <c r="C65" s="26"/>
      <c r="D65" s="5"/>
      <c r="E65" s="5"/>
      <c r="F65" s="5"/>
    </row>
    <row r="66" spans="1:6" x14ac:dyDescent="0.25">
      <c r="C66" s="26"/>
      <c r="D66" s="5"/>
      <c r="E66" s="5"/>
      <c r="F66" s="5"/>
    </row>
    <row r="67" spans="1:6" x14ac:dyDescent="0.25">
      <c r="C67" s="26"/>
      <c r="D67" s="5"/>
      <c r="F67" s="5"/>
    </row>
    <row r="68" spans="1:6" x14ac:dyDescent="0.25">
      <c r="D68" s="5"/>
      <c r="F68" s="5"/>
    </row>
    <row r="69" spans="1:6" x14ac:dyDescent="0.25">
      <c r="C69" s="26"/>
      <c r="D69" s="5"/>
      <c r="E69" s="5"/>
      <c r="F69" s="5"/>
    </row>
    <row r="70" spans="1:6" x14ac:dyDescent="0.25">
      <c r="A70" s="2"/>
      <c r="C70" s="26"/>
      <c r="D70" s="5"/>
      <c r="E70" s="5"/>
      <c r="F70" s="5"/>
    </row>
    <row r="71" spans="1:6" x14ac:dyDescent="0.25">
      <c r="C71" s="26"/>
      <c r="D71" s="5"/>
      <c r="E71" s="5"/>
      <c r="F71" s="5"/>
    </row>
    <row r="72" spans="1:6" x14ac:dyDescent="0.25">
      <c r="C72" s="26"/>
      <c r="D72" s="5"/>
      <c r="F72" s="5"/>
    </row>
    <row r="73" spans="1:6" x14ac:dyDescent="0.25">
      <c r="C73" s="26"/>
      <c r="D73" s="5"/>
      <c r="F73" s="5"/>
    </row>
    <row r="74" spans="1:6" x14ac:dyDescent="0.25">
      <c r="C74" s="26"/>
      <c r="D74" s="5"/>
      <c r="E74" s="5"/>
      <c r="F74" s="5"/>
    </row>
    <row r="75" spans="1:6" x14ac:dyDescent="0.25">
      <c r="C75" s="26"/>
      <c r="D75" s="5"/>
      <c r="E75" s="5"/>
      <c r="F75" s="5"/>
    </row>
    <row r="76" spans="1:6" x14ac:dyDescent="0.25">
      <c r="C76" s="26"/>
      <c r="D76" s="5"/>
      <c r="F76" s="5"/>
    </row>
    <row r="77" spans="1:6" x14ac:dyDescent="0.25">
      <c r="C77" s="26"/>
      <c r="D77" s="5"/>
      <c r="F77" s="5"/>
    </row>
    <row r="78" spans="1:6" x14ac:dyDescent="0.25">
      <c r="C78" s="26"/>
      <c r="D78" s="5"/>
      <c r="E78" s="5"/>
      <c r="F78" s="5"/>
    </row>
    <row r="79" spans="1:6" x14ac:dyDescent="0.25">
      <c r="D79" s="5"/>
      <c r="F79" s="5"/>
    </row>
    <row r="80" spans="1:6" x14ac:dyDescent="0.25">
      <c r="C80" s="26"/>
      <c r="D80" s="5"/>
      <c r="E80" s="5"/>
      <c r="F80" s="5"/>
    </row>
    <row r="81" spans="1:6" x14ac:dyDescent="0.25">
      <c r="C81" s="26"/>
      <c r="D81" s="5"/>
      <c r="E81" s="5"/>
      <c r="F81" s="5"/>
    </row>
    <row r="82" spans="1:6" x14ac:dyDescent="0.25">
      <c r="A82" s="2"/>
      <c r="C82" s="26"/>
      <c r="D82" s="5"/>
      <c r="E82" s="5"/>
      <c r="F82" s="5"/>
    </row>
    <row r="83" spans="1:6" x14ac:dyDescent="0.25">
      <c r="C83" s="26"/>
      <c r="D83" s="5"/>
      <c r="F83" s="5"/>
    </row>
    <row r="84" spans="1:6" x14ac:dyDescent="0.25">
      <c r="C84" s="26"/>
      <c r="D84" s="5"/>
      <c r="E84" s="5"/>
      <c r="F84" s="5"/>
    </row>
    <row r="85" spans="1:6" x14ac:dyDescent="0.25">
      <c r="C85" s="26"/>
      <c r="D85" s="5"/>
      <c r="F85" s="5"/>
    </row>
    <row r="86" spans="1:6" x14ac:dyDescent="0.25">
      <c r="C86" s="26"/>
      <c r="D86" s="5"/>
      <c r="F86" s="5"/>
    </row>
    <row r="87" spans="1:6" x14ac:dyDescent="0.25"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C90" s="26"/>
      <c r="D90" s="5"/>
      <c r="E90" s="5"/>
      <c r="F90" s="5"/>
    </row>
    <row r="91" spans="1:6" x14ac:dyDescent="0.25">
      <c r="C91" s="26"/>
      <c r="D91" s="5"/>
      <c r="E91" s="5"/>
      <c r="F91" s="5"/>
    </row>
    <row r="92" spans="1:6" x14ac:dyDescent="0.25">
      <c r="D92" s="5"/>
      <c r="E92" s="5"/>
      <c r="F92" s="5"/>
    </row>
    <row r="93" spans="1:6" x14ac:dyDescent="0.25">
      <c r="D93" s="5"/>
      <c r="F93" s="5"/>
    </row>
    <row r="94" spans="1:6" x14ac:dyDescent="0.25">
      <c r="C94" s="26"/>
      <c r="D94" s="5"/>
      <c r="F94" s="5"/>
    </row>
    <row r="95" spans="1:6" x14ac:dyDescent="0.25">
      <c r="C95" s="26"/>
      <c r="D95" s="5"/>
      <c r="F95" s="5"/>
    </row>
    <row r="96" spans="1:6" x14ac:dyDescent="0.25"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C100" s="26"/>
      <c r="D100" s="5"/>
      <c r="E100" s="5"/>
      <c r="F100" s="5"/>
    </row>
    <row r="101" spans="3:6" x14ac:dyDescent="0.25">
      <c r="D101" s="5"/>
      <c r="F101" s="5"/>
    </row>
    <row r="102" spans="3:6" x14ac:dyDescent="0.25">
      <c r="D102" s="5"/>
      <c r="F102" s="5"/>
    </row>
    <row r="103" spans="3:6" x14ac:dyDescent="0.25">
      <c r="C103" s="26"/>
      <c r="D103" s="5"/>
      <c r="E103" s="5"/>
      <c r="F103" s="5"/>
    </row>
    <row r="104" spans="3:6" x14ac:dyDescent="0.25">
      <c r="C104" s="26"/>
      <c r="D104" s="5"/>
      <c r="E104" s="5"/>
      <c r="F104" s="5"/>
    </row>
    <row r="105" spans="3:6" x14ac:dyDescent="0.25">
      <c r="C105" s="26"/>
      <c r="D105" s="5"/>
      <c r="E105" s="5"/>
      <c r="F105" s="5"/>
    </row>
    <row r="106" spans="3:6" x14ac:dyDescent="0.25">
      <c r="C106" s="26"/>
      <c r="D106" s="5"/>
      <c r="E106" s="5"/>
      <c r="F106" s="5"/>
    </row>
    <row r="107" spans="3:6" x14ac:dyDescent="0.25">
      <c r="C107" s="26"/>
      <c r="D107" s="5"/>
      <c r="E107" s="5"/>
      <c r="F107" s="5"/>
    </row>
    <row r="108" spans="3:6" x14ac:dyDescent="0.25">
      <c r="C108" s="26"/>
      <c r="D108" s="5"/>
      <c r="E108" s="5"/>
      <c r="F108" s="5"/>
    </row>
    <row r="109" spans="3:6" x14ac:dyDescent="0.25">
      <c r="C109" s="26"/>
      <c r="D109" s="5"/>
      <c r="E109" s="5"/>
      <c r="F109" s="5"/>
    </row>
    <row r="110" spans="3:6" x14ac:dyDescent="0.25">
      <c r="C110" s="26"/>
      <c r="D110" s="5"/>
      <c r="F110" s="5"/>
    </row>
    <row r="111" spans="3:6" x14ac:dyDescent="0.25">
      <c r="C111" s="26"/>
      <c r="D111" s="5"/>
      <c r="E111" s="5"/>
      <c r="F111" s="5"/>
    </row>
    <row r="112" spans="3:6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5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A152" s="2"/>
      <c r="D152" s="5"/>
    </row>
    <row r="153" spans="1:4" x14ac:dyDescent="0.25"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A156" s="2"/>
      <c r="D156" s="5"/>
    </row>
    <row r="157" spans="1:4" x14ac:dyDescent="0.25"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A219" s="2"/>
      <c r="D219" s="5"/>
    </row>
    <row r="220" spans="1:4" x14ac:dyDescent="0.25"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A267" s="2"/>
      <c r="D267" s="5"/>
    </row>
    <row r="268" spans="1:4" x14ac:dyDescent="0.25"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A273" s="2"/>
      <c r="D273" s="5"/>
    </row>
    <row r="274" spans="1:4" x14ac:dyDescent="0.25"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95" spans="1:1" x14ac:dyDescent="0.25">
      <c r="A295" s="2"/>
    </row>
    <row r="303" spans="1:1" x14ac:dyDescent="0.25">
      <c r="A303" s="2"/>
    </row>
    <row r="329" spans="1:1" x14ac:dyDescent="0.25">
      <c r="A329" s="2"/>
    </row>
    <row r="364" spans="1:1" x14ac:dyDescent="0.25">
      <c r="A364" s="2"/>
    </row>
    <row r="371" spans="1:1" x14ac:dyDescent="0.25">
      <c r="A371" s="2"/>
    </row>
    <row r="394" spans="1:1" x14ac:dyDescent="0.25">
      <c r="A394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94"/>
  <sheetViews>
    <sheetView zoomScaleNormal="100" workbookViewId="0">
      <selection activeCell="D3" sqref="D3"/>
    </sheetView>
  </sheetViews>
  <sheetFormatPr defaultRowHeight="15" x14ac:dyDescent="0.25"/>
  <cols>
    <col min="1" max="1" width="16.7109375" style="34" customWidth="1"/>
    <col min="2" max="2" width="13.85546875" style="34" bestFit="1" customWidth="1"/>
    <col min="3" max="3" width="13.85546875" style="34" customWidth="1"/>
    <col min="4" max="4" width="34.140625" style="34" bestFit="1" customWidth="1"/>
    <col min="5" max="5" width="34.5703125" style="34" bestFit="1" customWidth="1"/>
    <col min="6" max="7" width="9.140625" style="34"/>
    <col min="8" max="8" width="18.85546875" style="34" bestFit="1" customWidth="1"/>
    <col min="9" max="9" width="15.140625" style="34" customWidth="1"/>
    <col min="10" max="16384" width="9.140625" style="34"/>
  </cols>
  <sheetData>
    <row r="1" spans="1:8" ht="16.5" customHeight="1" x14ac:dyDescent="0.25">
      <c r="A1" s="35" t="s">
        <v>314</v>
      </c>
      <c r="B1" s="35" t="s">
        <v>1544</v>
      </c>
      <c r="C1" s="35"/>
      <c r="D1" s="29"/>
      <c r="H1" s="22"/>
    </row>
    <row r="2" spans="1:8" x14ac:dyDescent="0.25">
      <c r="A2" s="8">
        <v>42106</v>
      </c>
      <c r="B2" s="34">
        <v>44.75</v>
      </c>
      <c r="C2" s="34">
        <v>1</v>
      </c>
      <c r="D2" s="34">
        <f>AVERAGEIF(C2:C22,"&lt;2",B2:B22)</f>
        <v>39.147222222222226</v>
      </c>
      <c r="H2" s="2"/>
    </row>
    <row r="3" spans="1:8" x14ac:dyDescent="0.25">
      <c r="A3" s="32">
        <v>42107</v>
      </c>
      <c r="B3" s="34">
        <v>28.25</v>
      </c>
      <c r="C3" s="34">
        <v>0</v>
      </c>
      <c r="D3" s="34">
        <f>AVERAGEIF(C2:C22,"&lt;1",B2:B22)</f>
        <v>39.529166666666669</v>
      </c>
    </row>
    <row r="4" spans="1:8" x14ac:dyDescent="0.25">
      <c r="A4" s="8">
        <v>42108</v>
      </c>
      <c r="B4" s="34">
        <v>27.5</v>
      </c>
      <c r="C4" s="34">
        <v>0</v>
      </c>
    </row>
    <row r="5" spans="1:8" x14ac:dyDescent="0.25">
      <c r="A5" s="8">
        <v>42109</v>
      </c>
      <c r="B5" s="34">
        <v>39</v>
      </c>
      <c r="C5" s="34">
        <v>0</v>
      </c>
    </row>
    <row r="6" spans="1:8" x14ac:dyDescent="0.25">
      <c r="A6" s="8">
        <v>42111</v>
      </c>
      <c r="B6" s="34">
        <v>37.75</v>
      </c>
      <c r="C6" s="34">
        <v>0</v>
      </c>
    </row>
    <row r="7" spans="1:8" x14ac:dyDescent="0.25">
      <c r="A7" s="8">
        <v>42112</v>
      </c>
      <c r="B7" s="34">
        <v>42.25</v>
      </c>
      <c r="C7" s="34">
        <v>0</v>
      </c>
    </row>
    <row r="8" spans="1:8" x14ac:dyDescent="0.25">
      <c r="A8" s="8">
        <v>42113</v>
      </c>
      <c r="B8" s="34">
        <v>45.5</v>
      </c>
      <c r="C8" s="34">
        <v>0</v>
      </c>
    </row>
    <row r="9" spans="1:8" x14ac:dyDescent="0.25">
      <c r="A9" s="8">
        <v>42114</v>
      </c>
      <c r="B9" s="34">
        <v>37.75</v>
      </c>
      <c r="C9" s="34">
        <v>1</v>
      </c>
    </row>
    <row r="10" spans="1:8" x14ac:dyDescent="0.25">
      <c r="A10" s="8">
        <v>42115</v>
      </c>
      <c r="B10" s="34">
        <v>38.1</v>
      </c>
      <c r="C10" s="34">
        <v>1</v>
      </c>
    </row>
    <row r="11" spans="1:8" x14ac:dyDescent="0.25">
      <c r="A11" s="8">
        <v>42116</v>
      </c>
      <c r="B11" s="34">
        <v>42.5</v>
      </c>
      <c r="C11" s="34">
        <v>1</v>
      </c>
    </row>
    <row r="12" spans="1:8" x14ac:dyDescent="0.25">
      <c r="A12" s="8">
        <v>42117</v>
      </c>
      <c r="B12" s="34">
        <v>38.5</v>
      </c>
      <c r="C12" s="34">
        <v>0</v>
      </c>
    </row>
    <row r="13" spans="1:8" x14ac:dyDescent="0.25">
      <c r="A13" s="8">
        <v>42118</v>
      </c>
      <c r="B13" s="34">
        <v>57.25</v>
      </c>
      <c r="C13" s="34">
        <v>0</v>
      </c>
    </row>
    <row r="14" spans="1:8" ht="15" customHeight="1" x14ac:dyDescent="0.25">
      <c r="A14" s="8">
        <v>42119</v>
      </c>
      <c r="B14" s="34">
        <v>40.25</v>
      </c>
      <c r="C14" s="34">
        <v>1</v>
      </c>
    </row>
    <row r="15" spans="1:8" x14ac:dyDescent="0.25">
      <c r="A15" s="8">
        <v>42120</v>
      </c>
      <c r="B15" s="34">
        <v>21.85</v>
      </c>
      <c r="C15" s="34">
        <v>3</v>
      </c>
    </row>
    <row r="16" spans="1:8" x14ac:dyDescent="0.25">
      <c r="A16" s="31">
        <v>42121</v>
      </c>
      <c r="B16" s="30">
        <v>35.85</v>
      </c>
      <c r="C16" s="30">
        <v>0</v>
      </c>
    </row>
    <row r="17" spans="1:11" x14ac:dyDescent="0.25">
      <c r="A17" s="8">
        <v>42122</v>
      </c>
      <c r="B17" s="34">
        <v>39</v>
      </c>
      <c r="C17" s="34">
        <v>2</v>
      </c>
    </row>
    <row r="18" spans="1:11" x14ac:dyDescent="0.25">
      <c r="A18" s="8">
        <v>42123</v>
      </c>
      <c r="B18" s="34">
        <v>26.95</v>
      </c>
      <c r="C18" s="34">
        <v>1</v>
      </c>
    </row>
    <row r="19" spans="1:11" x14ac:dyDescent="0.25">
      <c r="A19" s="8">
        <v>42125</v>
      </c>
      <c r="B19" s="34">
        <v>26.75</v>
      </c>
      <c r="C19" s="34">
        <v>2</v>
      </c>
    </row>
    <row r="20" spans="1:11" x14ac:dyDescent="0.25">
      <c r="A20" s="8">
        <v>42126</v>
      </c>
      <c r="B20" s="34">
        <v>46.5</v>
      </c>
      <c r="C20" s="34">
        <v>0</v>
      </c>
    </row>
    <row r="21" spans="1:11" x14ac:dyDescent="0.25">
      <c r="A21" s="8">
        <v>42105</v>
      </c>
      <c r="B21" s="34">
        <v>38</v>
      </c>
      <c r="C21" s="34">
        <v>0</v>
      </c>
    </row>
    <row r="22" spans="1:11" x14ac:dyDescent="0.25">
      <c r="A22" s="8">
        <v>42126</v>
      </c>
      <c r="B22" s="34">
        <v>38</v>
      </c>
      <c r="C22" s="34">
        <v>0</v>
      </c>
    </row>
    <row r="23" spans="1:11" x14ac:dyDescent="0.25">
      <c r="H23" s="24"/>
      <c r="K23" s="24"/>
    </row>
    <row r="24" spans="1:11" x14ac:dyDescent="0.25">
      <c r="H24" s="24"/>
      <c r="K24" s="24"/>
    </row>
    <row r="25" spans="1:11" x14ac:dyDescent="0.25">
      <c r="H25" s="24"/>
      <c r="K25" s="24"/>
    </row>
    <row r="26" spans="1:11" x14ac:dyDescent="0.25">
      <c r="H26" s="24"/>
      <c r="K26" s="24"/>
    </row>
    <row r="27" spans="1:11" x14ac:dyDescent="0.25">
      <c r="H27" s="24"/>
      <c r="K27" s="24"/>
    </row>
    <row r="28" spans="1:11" x14ac:dyDescent="0.25">
      <c r="H28" s="24"/>
      <c r="K28" s="24"/>
    </row>
    <row r="29" spans="1:11" x14ac:dyDescent="0.25">
      <c r="H29" s="24"/>
      <c r="K29" s="24"/>
    </row>
    <row r="30" spans="1:11" x14ac:dyDescent="0.25">
      <c r="H30" s="24"/>
      <c r="K30" s="24"/>
    </row>
    <row r="31" spans="1:11" x14ac:dyDescent="0.25">
      <c r="H31" s="24"/>
      <c r="K31" s="24"/>
    </row>
    <row r="32" spans="1:11" x14ac:dyDescent="0.25">
      <c r="H32" s="24"/>
      <c r="K32" s="24"/>
    </row>
    <row r="33" spans="7:11" x14ac:dyDescent="0.25">
      <c r="H33" s="24"/>
      <c r="K33" s="24"/>
    </row>
    <row r="34" spans="7:11" x14ac:dyDescent="0.25">
      <c r="H34" s="24"/>
      <c r="K34" s="24"/>
    </row>
    <row r="35" spans="7:11" x14ac:dyDescent="0.25">
      <c r="H35" s="24"/>
      <c r="J35" s="24"/>
      <c r="K35" s="24"/>
    </row>
    <row r="36" spans="7:11" x14ac:dyDescent="0.25">
      <c r="G36" s="25"/>
      <c r="H36" s="24"/>
      <c r="I36" s="24"/>
      <c r="J36" s="25"/>
      <c r="K36" s="24"/>
    </row>
    <row r="37" spans="7:11" x14ac:dyDescent="0.25">
      <c r="G37" s="25"/>
      <c r="H37" s="24"/>
      <c r="I37" s="24"/>
      <c r="J37" s="25"/>
      <c r="K37" s="24"/>
    </row>
    <row r="38" spans="7:11" x14ac:dyDescent="0.25">
      <c r="H38" s="24"/>
      <c r="K38" s="24"/>
    </row>
    <row r="39" spans="7:11" x14ac:dyDescent="0.25">
      <c r="H39" s="24"/>
      <c r="K39" s="24"/>
    </row>
    <row r="40" spans="7:11" x14ac:dyDescent="0.25">
      <c r="H40" s="24"/>
      <c r="K40" s="24"/>
    </row>
    <row r="41" spans="7:11" x14ac:dyDescent="0.25">
      <c r="H41" s="24"/>
      <c r="K41" s="24"/>
    </row>
    <row r="42" spans="7:11" x14ac:dyDescent="0.25">
      <c r="H42" s="24"/>
      <c r="K42" s="24"/>
    </row>
    <row r="43" spans="7:11" x14ac:dyDescent="0.25">
      <c r="H43" s="24"/>
      <c r="K43" s="24"/>
    </row>
    <row r="44" spans="7:11" x14ac:dyDescent="0.25">
      <c r="H44" s="24"/>
      <c r="K44" s="24"/>
    </row>
    <row r="45" spans="7:11" x14ac:dyDescent="0.25">
      <c r="H45" s="24"/>
      <c r="J45" s="24"/>
      <c r="K45" s="24"/>
    </row>
    <row r="46" spans="7:11" x14ac:dyDescent="0.25">
      <c r="H46" s="24"/>
      <c r="J46" s="24"/>
      <c r="K46" s="24"/>
    </row>
    <row r="47" spans="7:11" x14ac:dyDescent="0.25">
      <c r="G47" s="25"/>
      <c r="H47" s="24"/>
      <c r="I47" s="24"/>
      <c r="J47" s="25"/>
      <c r="K47" s="24"/>
    </row>
    <row r="48" spans="7:11" x14ac:dyDescent="0.25">
      <c r="G48" s="25"/>
      <c r="H48" s="24"/>
      <c r="I48" s="25"/>
      <c r="J48" s="25"/>
    </row>
    <row r="70" spans="1:1" x14ac:dyDescent="0.25">
      <c r="A70" s="2"/>
    </row>
    <row r="82" spans="1:1" x14ac:dyDescent="0.25">
      <c r="A82" s="2"/>
    </row>
    <row r="112" spans="4:4" x14ac:dyDescent="0.25">
      <c r="D112" s="35"/>
    </row>
    <row r="113" spans="4:4" x14ac:dyDescent="0.25">
      <c r="D113" s="35"/>
    </row>
    <row r="114" spans="4:4" x14ac:dyDescent="0.25">
      <c r="D114" s="35"/>
    </row>
    <row r="115" spans="4:4" x14ac:dyDescent="0.25">
      <c r="D115" s="35"/>
    </row>
    <row r="116" spans="4:4" x14ac:dyDescent="0.25">
      <c r="D116" s="35"/>
    </row>
    <row r="117" spans="4:4" x14ac:dyDescent="0.25">
      <c r="D117" s="35"/>
    </row>
    <row r="118" spans="4:4" x14ac:dyDescent="0.25">
      <c r="D118" s="35"/>
    </row>
    <row r="119" spans="4:4" x14ac:dyDescent="0.25">
      <c r="D119" s="35"/>
    </row>
    <row r="120" spans="4:4" x14ac:dyDescent="0.25">
      <c r="D120" s="35"/>
    </row>
    <row r="121" spans="4:4" x14ac:dyDescent="0.25">
      <c r="D121" s="35"/>
    </row>
    <row r="122" spans="4:4" x14ac:dyDescent="0.25">
      <c r="D122" s="35"/>
    </row>
    <row r="123" spans="4:4" x14ac:dyDescent="0.25">
      <c r="D123" s="35"/>
    </row>
    <row r="124" spans="4:4" x14ac:dyDescent="0.25">
      <c r="D124" s="35"/>
    </row>
    <row r="125" spans="4:4" x14ac:dyDescent="0.25">
      <c r="D125" s="35"/>
    </row>
    <row r="126" spans="4:4" x14ac:dyDescent="0.25">
      <c r="D126" s="35"/>
    </row>
    <row r="127" spans="4:4" x14ac:dyDescent="0.25">
      <c r="D127" s="35"/>
    </row>
    <row r="128" spans="4:4" x14ac:dyDescent="0.25">
      <c r="D128" s="35"/>
    </row>
    <row r="129" spans="4:4" x14ac:dyDescent="0.25">
      <c r="D129" s="35"/>
    </row>
    <row r="130" spans="4:4" x14ac:dyDescent="0.25">
      <c r="D130" s="35"/>
    </row>
    <row r="131" spans="4:4" x14ac:dyDescent="0.25">
      <c r="D131" s="35"/>
    </row>
    <row r="132" spans="4:4" x14ac:dyDescent="0.25">
      <c r="D132" s="35"/>
    </row>
    <row r="133" spans="4:4" x14ac:dyDescent="0.25">
      <c r="D133" s="35"/>
    </row>
    <row r="134" spans="4:4" x14ac:dyDescent="0.25">
      <c r="D134" s="35"/>
    </row>
    <row r="135" spans="4:4" x14ac:dyDescent="0.25">
      <c r="D135" s="35"/>
    </row>
    <row r="136" spans="4:4" x14ac:dyDescent="0.25">
      <c r="D136" s="35"/>
    </row>
    <row r="152" spans="1:1" x14ac:dyDescent="0.25">
      <c r="A152" s="2"/>
    </row>
    <row r="156" spans="1:1" x14ac:dyDescent="0.25">
      <c r="A156" s="2"/>
    </row>
    <row r="219" spans="1:1" x14ac:dyDescent="0.25">
      <c r="A219" s="2"/>
    </row>
    <row r="267" spans="1:1" x14ac:dyDescent="0.25">
      <c r="A267" s="2"/>
    </row>
    <row r="273" spans="1:1" x14ac:dyDescent="0.25">
      <c r="A273" s="2"/>
    </row>
    <row r="295" spans="1:1" x14ac:dyDescent="0.25">
      <c r="A295" s="2"/>
    </row>
    <row r="303" spans="1:1" x14ac:dyDescent="0.25">
      <c r="A303" s="2"/>
    </row>
    <row r="329" spans="1:1" x14ac:dyDescent="0.25">
      <c r="A329" s="2"/>
    </row>
    <row r="364" spans="1:1" x14ac:dyDescent="0.25">
      <c r="A364" s="2"/>
    </row>
    <row r="371" spans="1:1" x14ac:dyDescent="0.25">
      <c r="A371" s="2"/>
    </row>
    <row r="394" spans="1:1" x14ac:dyDescent="0.25">
      <c r="A394" s="2"/>
    </row>
  </sheetData>
  <autoFilter ref="A1:B21">
    <sortState ref="A2:B21">
      <sortCondition ref="A1:A2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Output (2)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2015-05-10T02:57:35Z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