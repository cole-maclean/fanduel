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10" windowWidth="10320" windowHeight="6165" tabRatio="720" firstSheet="1" activeTab="4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" sheetId="11" r:id="rId8"/>
    <sheet name="Roster" sheetId="10" r:id="rId9"/>
    <sheet name="Best Contests" sheetId="12" r:id="rId10"/>
    <sheet name="Performance Monitoring" sheetId="13" r:id="rId11"/>
    <sheet name="Team Map" sheetId="14" r:id="rId12"/>
    <sheet name="Output" sheetId="17" r:id="rId13"/>
    <sheet name="stadium data" sheetId="22" r:id="rId14"/>
    <sheet name="Sheet1" sheetId="23" r:id="rId15"/>
    <sheet name="Sheet2" sheetId="24" r:id="rId16"/>
  </sheets>
  <definedNames>
    <definedName name="_xlnm._FilterDatabase" localSheetId="4" hidden="1">Backtest_Output!$A$2586:$H$2633</definedName>
    <definedName name="_xlnm._FilterDatabase" localSheetId="12" hidden="1">Output!$A$1:$C$36</definedName>
    <definedName name="_xlnm._FilterDatabase" localSheetId="7" hidden="1">'Player Map'!$E$1:$J$118</definedName>
    <definedName name="_xlnm._FilterDatabase" localSheetId="6" hidden="1">'Player Mapping'!#REF!</definedName>
    <definedName name="_xlnm._FilterDatabase" localSheetId="14" hidden="1">Sheet1!$A$1:$L$18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>Parameters!#REF!</definedName>
    <definedName name="clRWNBA" localSheetId="3">Backtest_Parameters!$B$6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3" r:id="rId17"/>
  </pivotCaches>
  <fileRecoveryPr repairLoad="1"/>
</workbook>
</file>

<file path=xl/calcChain.xml><?xml version="1.0" encoding="utf-8"?>
<calcChain xmlns="http://schemas.openxmlformats.org/spreadsheetml/2006/main">
  <c r="I2" i="21" l="1"/>
  <c r="K2" i="21"/>
  <c r="J2" i="21"/>
  <c r="I74" i="21"/>
  <c r="L2587" i="21"/>
  <c r="K2587" i="21"/>
  <c r="J2587" i="21"/>
  <c r="L14" i="23"/>
  <c r="L12" i="23"/>
  <c r="L9" i="23"/>
  <c r="L18" i="23"/>
  <c r="L6" i="23"/>
  <c r="L15" i="23"/>
  <c r="L10" i="23"/>
  <c r="L4" i="23"/>
  <c r="L5" i="23"/>
  <c r="L8" i="23"/>
  <c r="L2" i="23"/>
  <c r="L11" i="23"/>
  <c r="L3" i="23"/>
  <c r="L17" i="23"/>
  <c r="L13" i="23"/>
  <c r="L7" i="23"/>
  <c r="L16" i="23"/>
  <c r="J2445" i="21" l="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1797" i="21"/>
  <c r="L1797" i="21" l="1"/>
  <c r="K1797" i="21"/>
  <c r="L1653" i="21" l="1"/>
  <c r="K1653" i="21"/>
  <c r="L1510" i="21" l="1"/>
  <c r="K1510" i="21"/>
  <c r="J1510" i="21"/>
  <c r="L1368" i="21" l="1"/>
  <c r="K1368" i="21"/>
  <c r="J1368" i="21"/>
  <c r="L1226" i="21"/>
  <c r="K1226" i="21"/>
  <c r="J1226" i="21"/>
  <c r="K302" i="21" l="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74" i="21"/>
  <c r="I520" i="21"/>
  <c r="K520" i="21"/>
  <c r="J520" i="21"/>
  <c r="J598" i="21"/>
  <c r="J224" i="21" l="1"/>
  <c r="K74" i="21"/>
  <c r="J74" i="21"/>
  <c r="H75" i="21" l="1"/>
  <c r="H70" i="21"/>
  <c r="H71" i="21"/>
  <c r="H72" i="21"/>
  <c r="H73" i="21"/>
  <c r="H67" i="21"/>
  <c r="H68" i="21"/>
  <c r="H69" i="21"/>
  <c r="H65" i="21"/>
  <c r="H66" i="21"/>
  <c r="H61" i="21"/>
  <c r="H62" i="21"/>
  <c r="H63" i="21"/>
  <c r="H64" i="21"/>
  <c r="H60" i="21"/>
  <c r="H55" i="21"/>
  <c r="H56" i="21"/>
  <c r="H57" i="21"/>
  <c r="H58" i="21"/>
  <c r="H59" i="21"/>
  <c r="H52" i="21"/>
  <c r="H53" i="21"/>
  <c r="H54" i="21"/>
  <c r="H49" i="21"/>
  <c r="H50" i="21"/>
  <c r="H51" i="21"/>
  <c r="H47" i="21"/>
  <c r="H48" i="21"/>
  <c r="H46" i="21"/>
  <c r="H45" i="21"/>
  <c r="H44" i="21"/>
  <c r="H43" i="21"/>
  <c r="H40" i="21"/>
  <c r="H41" i="21"/>
  <c r="H42" i="21"/>
  <c r="H39" i="21"/>
  <c r="H35" i="21"/>
  <c r="H36" i="21"/>
  <c r="H37" i="21"/>
  <c r="H38" i="21"/>
  <c r="H33" i="21"/>
  <c r="H34" i="21"/>
  <c r="H31" i="21"/>
  <c r="H32" i="21"/>
  <c r="H29" i="21"/>
  <c r="H30" i="21"/>
  <c r="H26" i="21"/>
  <c r="H27" i="21"/>
  <c r="H28" i="21"/>
  <c r="H24" i="21"/>
  <c r="H25" i="21"/>
  <c r="H22" i="21"/>
  <c r="H23" i="21"/>
  <c r="H19" i="21"/>
  <c r="H20" i="21"/>
  <c r="H21" i="21"/>
  <c r="H17" i="21"/>
  <c r="H18" i="21"/>
  <c r="H13" i="21"/>
  <c r="H14" i="21"/>
  <c r="H15" i="21"/>
  <c r="H16" i="21"/>
  <c r="H11" i="21"/>
  <c r="H12" i="21"/>
  <c r="H9" i="21"/>
  <c r="H10" i="21"/>
  <c r="H6" i="21"/>
  <c r="H7" i="21"/>
  <c r="H8" i="21"/>
  <c r="H5" i="21"/>
  <c r="H2" i="21"/>
  <c r="H3" i="21"/>
  <c r="H4" i="21"/>
  <c r="B8" i="6" l="1"/>
  <c r="B7" i="6" l="1"/>
</calcChain>
</file>

<file path=xl/sharedStrings.xml><?xml version="1.0" encoding="utf-8"?>
<sst xmlns="http://schemas.openxmlformats.org/spreadsheetml/2006/main" count="5890" uniqueCount="3880">
  <si>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</si>
  <si>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</si>
  <si>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</si>
  <si>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</si>
  <si>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</si>
  <si>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</si>
  <si>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</si>
  <si>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</si>
  <si>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</si>
  <si>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</si>
  <si>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</si>
  <si>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</si>
  <si>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</si>
  <si>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</si>
  <si>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</si>
  <si>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</si>
  <si>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</si>
  <si>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</si>
  <si>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</si>
  <si>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</si>
  <si>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</si>
  <si>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</si>
  <si>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</si>
  <si>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</si>
  <si>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</si>
  <si>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</si>
  <si>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</si>
  <si>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</si>
  <si>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</si>
  <si>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</si>
  <si>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</si>
  <si>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</si>
  <si>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</si>
  <si>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</si>
  <si>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</si>
  <si>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</si>
  <si>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</si>
  <si>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</si>
  <si>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</si>
  <si>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</si>
  <si>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</si>
  <si>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</si>
  <si>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</si>
  <si>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</si>
  <si>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</si>
  <si>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</si>
  <si>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</si>
  <si>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</si>
  <si>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</si>
  <si>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</si>
  <si>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</si>
  <si>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</si>
  <si>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</si>
  <si>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</si>
  <si>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</si>
  <si>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</si>
  <si>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</si>
  <si>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</si>
  <si>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</si>
  <si>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</si>
  <si>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</si>
  <si>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</si>
  <si>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</si>
  <si>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</si>
  <si>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</si>
  <si>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</si>
  <si>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</si>
  <si>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</si>
  <si>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</si>
  <si>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</si>
  <si>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</si>
  <si>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</si>
  <si>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</si>
  <si>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</si>
  <si>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</si>
  <si>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</si>
  <si>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</si>
  <si>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</si>
  <si>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</si>
  <si>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</si>
  <si>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</si>
  <si>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</si>
  <si>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</si>
  <si>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</si>
  <si>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</si>
  <si>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</si>
  <si>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</si>
  <si>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</si>
  <si>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</si>
  <si>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</si>
  <si>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</si>
  <si>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</si>
  <si>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</si>
  <si>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</si>
  <si>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</si>
  <si>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</si>
  <si>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</si>
  <si>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</si>
  <si>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</si>
  <si>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</si>
  <si>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</si>
  <si>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</si>
  <si>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</si>
  <si>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</si>
  <si>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</si>
  <si>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</si>
  <si>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</si>
  <si>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</si>
  <si>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</si>
  <si>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</si>
  <si>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</si>
  <si>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</si>
  <si>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</si>
  <si>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</si>
  <si>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</si>
  <si>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</si>
  <si>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</si>
  <si>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</si>
  <si>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</si>
  <si>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</si>
  <si>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</si>
  <si>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</si>
  <si>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</si>
  <si>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</si>
  <si>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</si>
  <si>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</si>
  <si>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</si>
  <si>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</si>
  <si>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</si>
  <si>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</si>
  <si>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</si>
  <si>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</si>
  <si>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</si>
  <si>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</si>
  <si>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</si>
  <si>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</si>
  <si>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</si>
  <si>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</si>
  <si>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</si>
  <si>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</si>
  <si>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</si>
  <si>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</si>
  <si>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</si>
  <si>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</si>
  <si>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</si>
  <si>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</si>
  <si>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</si>
  <si>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</si>
  <si>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</si>
  <si>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</si>
  <si>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</si>
  <si>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</si>
  <si>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</si>
  <si>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</si>
  <si>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</si>
  <si>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</si>
  <si>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</si>
  <si>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</si>
  <si>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</si>
  <si>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</si>
  <si>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</si>
  <si>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</si>
  <si>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</si>
  <si>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</si>
  <si>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</si>
  <si>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</si>
  <si>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</si>
  <si>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</si>
  <si>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</si>
  <si>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</si>
  <si>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</si>
  <si>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</si>
  <si>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</si>
  <si>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</si>
  <si>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</si>
  <si>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</si>
  <si>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</si>
  <si>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</si>
  <si>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</si>
  <si>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</si>
  <si>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</si>
  <si>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</si>
  <si>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</si>
  <si>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</si>
  <si>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</si>
  <si>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</si>
  <si>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</si>
  <si>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</si>
  <si>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</si>
  <si>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</si>
  <si>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</si>
  <si>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</si>
  <si>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</si>
  <si>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</si>
  <si>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</si>
  <si>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</si>
  <si>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</si>
  <si>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</si>
  <si>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</si>
  <si>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</si>
  <si>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</si>
  <si>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</si>
  <si>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</si>
  <si>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</si>
  <si>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</si>
  <si>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</si>
  <si>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</si>
  <si>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</si>
  <si>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</si>
  <si>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</si>
  <si>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</si>
  <si>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</si>
  <si>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</si>
  <si>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</si>
  <si>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</si>
  <si>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</si>
  <si>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</si>
  <si>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</si>
  <si>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</si>
  <si>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</si>
  <si>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</si>
  <si>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</si>
  <si>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</si>
  <si>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</si>
  <si>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</si>
  <si>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</si>
  <si>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</si>
  <si>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</si>
  <si>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</si>
  <si>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</si>
  <si>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</si>
  <si>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</si>
  <si>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</si>
  <si>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</si>
  <si>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</si>
  <si>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</si>
  <si>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</si>
  <si>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</si>
  <si>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</si>
  <si>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</si>
  <si>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</si>
  <si>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</si>
  <si>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</si>
  <si>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</si>
  <si>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</si>
  <si>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</si>
  <si>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</si>
  <si>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</si>
  <si>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</si>
  <si>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</si>
  <si>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</si>
  <si>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</si>
  <si>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</si>
  <si>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</si>
  <si>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</si>
  <si>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</si>
  <si>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</si>
  <si>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</si>
  <si>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</si>
  <si>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</si>
  <si>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</si>
  <si>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</si>
  <si>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</si>
  <si>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</si>
  <si>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</si>
  <si>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</si>
  <si>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</si>
  <si>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</si>
  <si>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</si>
  <si>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</si>
  <si>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</si>
  <si>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</si>
  <si>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</si>
  <si>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</si>
  <si>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</si>
  <si>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</si>
  <si>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</si>
  <si>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</si>
  <si>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</si>
  <si>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</si>
  <si>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</si>
  <si>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</si>
  <si>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</si>
  <si>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</si>
  <si>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</si>
  <si>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</si>
  <si>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</si>
  <si>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</si>
  <si>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</si>
  <si>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</si>
  <si>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</si>
  <si>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</si>
  <si>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</si>
  <si>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</si>
  <si>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</si>
  <si>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</si>
  <si>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</si>
  <si>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</si>
  <si>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</si>
  <si>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</si>
  <si>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</si>
  <si>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</si>
  <si>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</si>
  <si>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</si>
  <si>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</si>
  <si>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</si>
  <si>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</si>
  <si>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</si>
  <si>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</si>
  <si>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</si>
  <si>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</si>
  <si>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</si>
  <si>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</si>
  <si>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</si>
  <si>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</si>
  <si>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</si>
  <si>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</si>
  <si>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</si>
  <si>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</si>
  <si>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</si>
  <si>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</si>
  <si>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</si>
  <si>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</si>
  <si>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</si>
  <si>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</si>
  <si>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</si>
  <si>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</si>
  <si>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</si>
  <si>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</si>
  <si>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</si>
  <si>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</si>
  <si>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</si>
  <si>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</si>
  <si>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</si>
  <si>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</si>
  <si>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</si>
  <si>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</si>
  <si>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</si>
  <si>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</si>
  <si>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</si>
  <si>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</si>
  <si>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</si>
  <si>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</si>
  <si>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</si>
  <si>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</si>
  <si>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</si>
  <si>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</si>
  <si>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</si>
  <si>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</si>
  <si>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</si>
  <si>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</si>
  <si>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</si>
  <si>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</si>
  <si>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</si>
  <si>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</si>
  <si>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</si>
  <si>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</si>
  <si>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</si>
  <si>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</si>
  <si>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</si>
  <si>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</si>
  <si>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</si>
  <si>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</si>
  <si>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</si>
  <si>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</si>
  <si>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</si>
  <si>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</si>
  <si>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</si>
  <si>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</si>
  <si>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</si>
  <si>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</si>
  <si>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</si>
  <si>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</si>
  <si>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</si>
  <si>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</si>
  <si>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</si>
  <si>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</si>
  <si>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</si>
  <si>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</si>
  <si>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</si>
  <si>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</si>
  <si>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</si>
  <si>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</si>
  <si>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</si>
  <si>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</si>
  <si>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</si>
  <si>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</si>
  <si>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</si>
  <si>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</si>
  <si>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</si>
  <si>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</si>
  <si>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</si>
  <si>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</si>
  <si>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</si>
  <si>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</si>
  <si>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</si>
  <si>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</si>
  <si>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</si>
  <si>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</si>
  <si>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</si>
  <si>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</si>
  <si>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</si>
  <si>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</si>
  <si>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</si>
  <si>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</si>
  <si>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</si>
  <si>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</si>
  <si>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</si>
  <si>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</si>
  <si>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</si>
  <si>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</si>
  <si>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</si>
  <si>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</si>
  <si>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</si>
  <si>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</si>
  <si>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</si>
  <si>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</si>
  <si>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</si>
  <si>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</si>
  <si>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</si>
  <si>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</si>
  <si>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</si>
  <si>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</si>
  <si>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</si>
  <si>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</si>
  <si>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</si>
  <si>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</si>
  <si>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</si>
  <si>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</si>
  <si>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</si>
  <si>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</si>
  <si>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</si>
  <si>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</si>
  <si>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</si>
  <si>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</si>
  <si>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</si>
  <si>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</si>
  <si>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</si>
  <si>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</si>
  <si>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</si>
  <si>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</si>
  <si>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</si>
  <si>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</si>
  <si>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</si>
  <si>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</si>
  <si>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</si>
  <si>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</si>
  <si>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</si>
  <si>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</si>
  <si>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</si>
  <si>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</si>
  <si>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</si>
  <si>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</si>
  <si>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</si>
  <si>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</si>
  <si>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</si>
  <si>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</si>
  <si>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</si>
  <si>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</si>
  <si>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</si>
  <si>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</si>
  <si>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</si>
  <si>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</si>
  <si>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</si>
  <si>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</si>
  <si>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</si>
  <si>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</si>
  <si>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</si>
  <si>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</si>
  <si>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</si>
  <si>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</si>
  <si>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</si>
  <si>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</si>
  <si>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</si>
  <si>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</si>
  <si>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</si>
  <si>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</si>
  <si>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</si>
  <si>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</si>
  <si>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</si>
  <si>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</si>
  <si>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</si>
  <si>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</si>
  <si>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</si>
  <si>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</si>
  <si>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</si>
  <si>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</si>
  <si>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</si>
  <si>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</si>
  <si>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</si>
  <si>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</si>
  <si>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</si>
  <si>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</si>
  <si>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</si>
  <si>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</si>
  <si>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</si>
  <si>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</si>
  <si>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</si>
  <si>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</si>
  <si>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</si>
  <si>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</si>
  <si>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</si>
  <si>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</si>
  <si>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</si>
  <si>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</si>
  <si>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</si>
  <si>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</si>
  <si>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</si>
  <si>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</si>
  <si>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</si>
  <si>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</si>
  <si>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</si>
  <si>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</si>
  <si>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</si>
  <si>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</si>
  <si>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</si>
  <si>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</si>
  <si>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</si>
  <si>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</si>
  <si>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</si>
  <si>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</si>
  <si>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</si>
  <si>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</si>
  <si>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</si>
  <si>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</si>
  <si>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</si>
  <si>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</si>
  <si>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</si>
  <si>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</si>
  <si>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</si>
  <si>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</si>
  <si>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</si>
  <si>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</si>
  <si>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</si>
  <si>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</si>
  <si>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</si>
  <si>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</si>
  <si>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</si>
  <si>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</si>
  <si>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</si>
  <si>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</si>
  <si>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</si>
  <si>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</si>
  <si>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</si>
  <si>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</si>
  <si>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</si>
  <si>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</si>
  <si>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</si>
  <si>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</si>
  <si>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</si>
  <si>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</si>
  <si>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</si>
  <si>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</si>
  <si>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</si>
  <si>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</si>
  <si>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</si>
  <si>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</si>
  <si>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</si>
  <si>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</si>
  <si>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</si>
  <si>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</si>
  <si>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</si>
  <si>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</si>
  <si>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</si>
  <si>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</si>
  <si>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</si>
  <si>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</si>
  <si>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</si>
  <si>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</si>
  <si>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</si>
  <si>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</si>
  <si>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</si>
  <si>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</si>
  <si>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</si>
  <si>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</si>
  <si>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</si>
  <si>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</si>
  <si>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</si>
  <si>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</si>
  <si>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</si>
  <si>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</si>
  <si>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</si>
  <si>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</si>
  <si>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</si>
  <si>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</si>
  <si>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</si>
  <si>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</si>
  <si>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</si>
  <si>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</si>
  <si>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</si>
  <si>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</si>
  <si>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</si>
  <si>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</si>
  <si>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</si>
  <si>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</si>
  <si>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</si>
  <si>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</si>
  <si>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</si>
  <si>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</si>
  <si>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</si>
  <si>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</si>
  <si>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</si>
  <si>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</si>
  <si>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</si>
  <si>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</si>
  <si>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</si>
  <si>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</si>
  <si>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</si>
  <si>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</si>
  <si>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</si>
  <si>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</si>
  <si>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</si>
  <si>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</si>
  <si>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</si>
  <si>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</si>
  <si>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</si>
  <si>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</si>
  <si>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</si>
  <si>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</si>
  <si>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</si>
  <si>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</si>
  <si>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</si>
  <si>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</si>
  <si>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</si>
  <si>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</si>
  <si>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</si>
  <si>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</si>
  <si>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</si>
  <si>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</si>
  <si>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</si>
  <si>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</si>
  <si>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</si>
  <si>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</si>
  <si>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</si>
  <si>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</si>
  <si>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</si>
  <si>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</si>
  <si>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</si>
  <si>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</si>
  <si>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</si>
  <si>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</si>
  <si>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</si>
  <si>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</si>
  <si>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</si>
  <si>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</si>
  <si>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</si>
  <si>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</si>
  <si>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</si>
  <si>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</si>
  <si>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</si>
  <si>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</si>
  <si>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</si>
  <si>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</si>
  <si>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</si>
  <si>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</si>
  <si>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</si>
  <si>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</si>
  <si>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</si>
  <si>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</si>
  <si>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</si>
  <si>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</si>
  <si>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</si>
  <si>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</si>
  <si>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</si>
  <si>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</si>
  <si>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</si>
  <si>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</si>
  <si>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</si>
  <si>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</si>
  <si>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</si>
  <si>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</si>
  <si>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</si>
  <si>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</si>
  <si>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</si>
  <si>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</si>
  <si>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</si>
  <si>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</si>
  <si>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</si>
  <si>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</si>
  <si>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</si>
  <si>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</si>
  <si>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</si>
  <si>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</si>
  <si>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</si>
  <si>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</si>
  <si>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</si>
  <si>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</si>
  <si>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</si>
  <si>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</si>
  <si>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</si>
  <si>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</si>
  <si>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</si>
  <si>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</si>
  <si>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</si>
  <si>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</si>
  <si>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</si>
  <si>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</si>
  <si>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</si>
  <si>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</si>
  <si>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</si>
  <si>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</si>
  <si>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</si>
  <si>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</si>
  <si>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</si>
  <si>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</si>
  <si>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</si>
  <si>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</si>
  <si>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</si>
  <si>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</si>
  <si>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</si>
  <si>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</si>
  <si>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</si>
  <si>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</si>
  <si>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</si>
  <si>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</si>
  <si>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</si>
  <si>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</si>
  <si>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</si>
  <si>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</si>
  <si>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</si>
  <si>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</si>
  <si>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</si>
  <si>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</si>
  <si>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</si>
  <si>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</si>
  <si>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</si>
  <si>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</si>
  <si>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</si>
  <si>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</si>
  <si>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</si>
  <si>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</si>
  <si>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</si>
  <si>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</si>
  <si>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</si>
  <si>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</si>
  <si>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</si>
  <si>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</si>
  <si>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</si>
  <si>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</si>
  <si>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</si>
  <si>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</si>
  <si>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</si>
  <si>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</si>
  <si>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</si>
  <si>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</si>
  <si>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</si>
  <si>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</si>
  <si>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</si>
  <si>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</si>
  <si>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</si>
  <si>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</si>
  <si>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</si>
  <si>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</si>
  <si>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</si>
  <si>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</si>
  <si>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</si>
  <si>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</si>
  <si>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</si>
  <si>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</si>
  <si>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</si>
  <si>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</si>
  <si>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</si>
  <si>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</si>
  <si>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</si>
  <si>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</si>
  <si>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</si>
  <si>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</si>
  <si>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</si>
  <si>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</si>
  <si>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</si>
  <si>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</si>
  <si>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</si>
  <si>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</si>
  <si>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</si>
  <si>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</si>
  <si>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</si>
  <si>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</si>
  <si>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</si>
  <si>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</si>
  <si>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</si>
  <si>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</si>
  <si>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</si>
  <si>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</si>
  <si>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</si>
  <si>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</si>
  <si>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</si>
  <si>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</si>
  <si>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</si>
  <si>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</si>
  <si>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</si>
  <si>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</si>
  <si>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</si>
  <si>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</si>
  <si>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</si>
  <si>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</si>
  <si>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</si>
  <si>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</si>
  <si>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</si>
  <si>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</si>
  <si>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</si>
  <si>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</si>
  <si>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</si>
  <si>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</si>
  <si>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</si>
  <si>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</si>
  <si>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</si>
  <si>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</si>
  <si>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</si>
  <si>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</si>
  <si>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</si>
  <si>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</si>
  <si>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</si>
  <si>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</si>
  <si>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</si>
  <si>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</si>
  <si>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</si>
  <si>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</si>
  <si>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</si>
  <si>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</si>
  <si>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</si>
  <si>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</si>
  <si>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</si>
  <si>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</si>
  <si>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</si>
  <si>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</si>
  <si>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</si>
  <si>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</si>
  <si>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</si>
  <si>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</si>
  <si>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</si>
  <si>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</si>
  <si>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</si>
  <si>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</si>
  <si>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</si>
  <si>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</si>
  <si>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</si>
  <si>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</si>
  <si>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</si>
  <si>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</si>
  <si>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</si>
  <si>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</si>
  <si>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</si>
  <si>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</si>
  <si>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</si>
  <si>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</si>
  <si>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</si>
  <si>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</si>
  <si>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</si>
  <si>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</si>
  <si>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</si>
  <si>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</si>
  <si>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</si>
  <si>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</si>
  <si>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</si>
  <si>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</si>
  <si>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</si>
  <si>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</si>
  <si>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</si>
  <si>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</si>
  <si>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</si>
  <si>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</si>
  <si>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</si>
  <si>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</si>
  <si>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</si>
  <si>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</si>
  <si>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</si>
  <si>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</si>
  <si>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</si>
  <si>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</si>
  <si>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</si>
  <si>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</si>
  <si>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</si>
  <si>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</si>
  <si>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</si>
  <si>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</si>
  <si>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</si>
  <si>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</si>
  <si>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</si>
  <si>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</si>
  <si>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</si>
  <si>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</si>
  <si>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</si>
  <si>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</si>
  <si>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</si>
  <si>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</si>
  <si>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</si>
  <si>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</si>
  <si>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</si>
  <si>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</si>
  <si>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</si>
  <si>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</si>
  <si>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</si>
  <si>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</si>
  <si>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</si>
  <si>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</si>
  <si>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</si>
  <si>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</si>
  <si>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</si>
  <si>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</si>
  <si>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</si>
  <si>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</si>
  <si>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</si>
  <si>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</si>
  <si>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</si>
  <si>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</si>
  <si>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</si>
  <si>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</si>
  <si>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</si>
  <si>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</si>
  <si>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</si>
  <si>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</si>
  <si>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</si>
  <si>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</si>
  <si>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</si>
  <si>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</si>
  <si>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</si>
  <si>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</si>
  <si>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</si>
  <si>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</si>
  <si>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</si>
  <si>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</si>
  <si>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</si>
  <si>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</si>
  <si>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</si>
  <si>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</si>
  <si>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</si>
  <si>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</si>
  <si>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</si>
  <si>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</si>
  <si>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</si>
  <si>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</si>
  <si>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</si>
  <si>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</si>
  <si>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</si>
  <si>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</si>
  <si>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</si>
  <si>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</si>
  <si>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</si>
  <si>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</si>
  <si>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</si>
  <si>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</si>
  <si>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</si>
  <si>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</si>
  <si>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</si>
  <si>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</si>
  <si>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</si>
  <si>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</si>
  <si>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</si>
  <si>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</si>
  <si>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</si>
  <si>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</si>
  <si>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</si>
  <si>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</si>
  <si>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</si>
  <si>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</si>
  <si>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</si>
  <si>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</si>
  <si>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</si>
  <si>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</si>
  <si>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</si>
  <si>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</si>
  <si>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</si>
  <si>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</si>
  <si>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</si>
  <si>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</si>
  <si>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</si>
  <si>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</si>
  <si>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</si>
  <si>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</si>
  <si>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</si>
  <si>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</si>
  <si>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</si>
  <si>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</si>
  <si>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</si>
  <si>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</si>
  <si>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</si>
  <si>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</si>
  <si>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</si>
  <si>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</si>
  <si>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</si>
  <si>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</si>
  <si>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</si>
  <si>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</si>
  <si>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</si>
  <si>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</si>
  <si>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</si>
  <si>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</si>
  <si>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</si>
  <si>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</si>
  <si>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</si>
  <si>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</si>
  <si>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</si>
  <si>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</si>
  <si>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</si>
  <si>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</si>
  <si>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</si>
  <si>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</si>
  <si>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</si>
  <si>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</si>
  <si>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</si>
  <si>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</si>
  <si>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</si>
  <si>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</si>
  <si>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</si>
  <si>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</si>
  <si>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</si>
  <si>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</si>
  <si>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</si>
  <si>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</si>
  <si>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</si>
  <si>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</si>
  <si>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</si>
  <si>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</si>
  <si>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</si>
  <si>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</si>
  <si>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</si>
  <si>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</si>
  <si>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</si>
  <si>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</si>
  <si>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</si>
  <si>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</si>
  <si>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</si>
  <si>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</si>
  <si>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</si>
  <si>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</si>
  <si>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</si>
  <si>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</si>
  <si>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</si>
  <si>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</si>
  <si>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</si>
  <si>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</si>
  <si>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</si>
  <si>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</si>
  <si>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</si>
  <si>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</si>
  <si>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</si>
  <si>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</si>
  <si>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</si>
  <si>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</si>
  <si>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</si>
  <si>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</si>
  <si>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</si>
  <si>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</si>
  <si>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</si>
  <si>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</si>
  <si>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</si>
  <si>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</si>
  <si>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</si>
  <si>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</si>
  <si>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</si>
  <si>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</si>
  <si>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</si>
  <si>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</si>
  <si>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</si>
  <si>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</si>
  <si>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</si>
  <si>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</si>
  <si>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</si>
  <si>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</si>
  <si>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</si>
  <si>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</si>
  <si>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</si>
  <si>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</si>
  <si>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</si>
  <si>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</si>
  <si>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</si>
  <si>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</si>
  <si>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</si>
  <si>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</si>
  <si>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</si>
  <si>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</si>
  <si>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</si>
  <si>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</si>
  <si>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</si>
  <si>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</si>
  <si>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</si>
  <si>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</si>
  <si>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</si>
  <si>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</si>
  <si>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</si>
  <si>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</si>
  <si>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</si>
  <si>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</si>
  <si>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</si>
  <si>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</si>
  <si>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</si>
  <si>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</si>
  <si>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</si>
  <si>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</si>
  <si>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</si>
  <si>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</si>
  <si>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</si>
  <si>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</si>
  <si>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</si>
  <si>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</si>
  <si>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</si>
  <si>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</si>
  <si>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</si>
  <si>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</si>
  <si>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</si>
  <si>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</si>
  <si>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</si>
  <si>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</si>
  <si>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</si>
  <si>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</si>
  <si>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</si>
  <si>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</si>
  <si>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</si>
  <si>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</si>
  <si>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</si>
  <si>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</si>
  <si>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</si>
  <si>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</si>
  <si>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</si>
  <si>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</si>
  <si>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</si>
  <si>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</si>
  <si>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</si>
  <si>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</si>
  <si>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</si>
  <si>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</si>
  <si>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</si>
  <si>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</si>
  <si>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</si>
  <si>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</si>
  <si>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</si>
  <si>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</si>
  <si>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</si>
  <si>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</si>
  <si>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</si>
  <si>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</si>
  <si>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</si>
  <si>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</si>
  <si>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</si>
  <si>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</si>
  <si>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</si>
  <si>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</si>
  <si>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</si>
  <si>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</si>
  <si>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</si>
  <si>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</si>
  <si>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</si>
  <si>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</si>
  <si>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</si>
  <si>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</si>
  <si>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</si>
  <si>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</si>
  <si>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</si>
  <si>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</si>
  <si>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</si>
  <si>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</si>
  <si>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</si>
  <si>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</si>
  <si>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</si>
  <si>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</si>
  <si>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</si>
  <si>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</si>
  <si>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</si>
  <si>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</si>
  <si>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</si>
  <si>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</si>
  <si>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</si>
  <si>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</si>
  <si>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</si>
  <si>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</si>
  <si>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</si>
  <si>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</si>
  <si>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</si>
  <si>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</si>
  <si>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</si>
  <si>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</si>
  <si>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</si>
  <si>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</si>
  <si>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</si>
  <si>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</si>
  <si>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</si>
  <si>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</si>
  <si>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</si>
  <si>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</si>
  <si>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</si>
  <si>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</si>
  <si>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</si>
  <si>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</si>
  <si>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</si>
  <si>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</si>
  <si>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</si>
  <si>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</si>
  <si>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</si>
  <si>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</si>
  <si>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</si>
  <si>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</si>
  <si>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</si>
  <si>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</si>
  <si>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</si>
  <si>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</si>
  <si>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</si>
  <si>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</si>
  <si>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</si>
  <si>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</si>
  <si>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</si>
  <si>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</si>
  <si>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</si>
  <si>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</si>
  <si>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</si>
  <si>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</si>
  <si>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</si>
  <si>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</si>
  <si>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</si>
  <si>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</si>
  <si>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</si>
  <si>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</si>
  <si>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</si>
  <si>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</si>
  <si>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</si>
  <si>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</si>
  <si>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</si>
  <si>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</si>
  <si>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</si>
  <si>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</si>
  <si>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</si>
  <si>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</si>
  <si>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</si>
  <si>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</si>
  <si>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</si>
  <si>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</si>
  <si>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</si>
  <si>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</si>
  <si>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</si>
  <si>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</si>
  <si>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</si>
  <si>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</si>
  <si>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</si>
  <si>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</si>
  <si>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</si>
  <si>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</si>
  <si>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</si>
  <si>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</si>
  <si>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</si>
  <si>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</si>
  <si>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</si>
  <si>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</si>
  <si>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</si>
  <si>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</si>
  <si>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</si>
  <si>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</si>
  <si>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</si>
  <si>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</si>
  <si>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</si>
  <si>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</si>
  <si>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</si>
  <si>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</si>
  <si>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</si>
  <si>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</si>
  <si>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</si>
  <si>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</si>
  <si>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</si>
  <si>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</si>
  <si>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</si>
  <si>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</si>
  <si>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</si>
  <si>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</si>
  <si>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</si>
  <si>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</si>
  <si>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</si>
  <si>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</si>
  <si>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</si>
  <si>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</si>
  <si>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</si>
  <si>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</si>
  <si>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</si>
  <si>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</si>
  <si>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</si>
  <si>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</si>
  <si>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</si>
  <si>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</si>
  <si>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</si>
  <si>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</si>
  <si>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</si>
  <si>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</si>
  <si>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</si>
  <si>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</si>
  <si>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</si>
  <si>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</si>
  <si>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</si>
  <si>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</si>
  <si>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</si>
  <si>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</si>
  <si>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</si>
  <si>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</si>
  <si>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</si>
  <si>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</si>
  <si>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</si>
  <si>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</si>
  <si>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</si>
  <si>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</si>
  <si>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</si>
  <si>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</si>
  <si>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</si>
  <si>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</si>
  <si>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</si>
  <si>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</si>
  <si>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</si>
  <si>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</si>
  <si>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</si>
  <si>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</si>
  <si>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</si>
  <si>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</si>
  <si>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</si>
  <si>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</si>
  <si>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</si>
  <si>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</si>
  <si>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</si>
  <si>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</si>
  <si>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</si>
  <si>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</si>
  <si>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</si>
  <si>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</si>
  <si>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</si>
  <si>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</si>
  <si>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</si>
  <si>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</si>
  <si>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</si>
  <si>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</si>
  <si>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</si>
  <si>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</si>
  <si>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</si>
  <si>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</si>
  <si>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</si>
  <si>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</si>
  <si>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</si>
  <si>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</si>
  <si>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</si>
  <si>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</si>
  <si>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</si>
  <si>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</si>
  <si>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</si>
  <si>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</si>
  <si>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</si>
  <si>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</si>
  <si>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</si>
  <si>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</si>
  <si>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</si>
  <si>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</si>
  <si>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</si>
  <si>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</si>
  <si>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</si>
  <si>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</si>
  <si>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</si>
  <si>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</si>
  <si>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</si>
  <si>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</si>
  <si>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</si>
  <si>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</si>
  <si>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</si>
  <si>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</si>
  <si>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</si>
  <si>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</si>
  <si>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</si>
  <si>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</si>
  <si>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</si>
  <si>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</si>
  <si>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</si>
  <si>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</si>
  <si>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</si>
  <si>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</si>
  <si>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</si>
  <si>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</si>
  <si>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</si>
  <si>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</si>
  <si>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</si>
  <si>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</si>
  <si>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</si>
  <si>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</si>
  <si>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</si>
  <si>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</si>
  <si>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</si>
  <si>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</si>
  <si>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</si>
  <si>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</si>
  <si>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</si>
  <si>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</si>
  <si>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</si>
  <si>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</si>
  <si>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</si>
  <si>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</si>
  <si>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</si>
  <si>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</si>
  <si>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</si>
  <si>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</si>
  <si>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</si>
  <si>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</si>
  <si>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</si>
  <si>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</si>
  <si>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</si>
  <si>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</si>
  <si>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</si>
  <si>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</si>
  <si>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</si>
  <si>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</si>
  <si>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</si>
  <si>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</si>
  <si>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</si>
  <si>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</si>
  <si>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</si>
  <si>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</si>
  <si>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</si>
  <si>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</si>
  <si>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</si>
  <si>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</si>
  <si>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</si>
  <si>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</si>
  <si>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</si>
  <si>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</si>
  <si>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</si>
  <si>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</si>
  <si>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</si>
  <si>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</si>
  <si>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</si>
  <si>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</si>
  <si>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</si>
  <si>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</si>
  <si>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</si>
  <si>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</si>
  <si>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</si>
  <si>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</si>
  <si>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</si>
  <si>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</si>
  <si>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</si>
  <si>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</si>
  <si>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</si>
  <si>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</si>
  <si>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</si>
  <si>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</si>
  <si>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</si>
  <si>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</si>
  <si>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</si>
  <si>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</si>
  <si>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</si>
  <si>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</si>
  <si>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</si>
  <si>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</si>
  <si>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</si>
  <si>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</si>
  <si>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</si>
  <si>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</si>
  <si>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</si>
  <si>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</si>
  <si>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</si>
  <si>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</si>
  <si>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</si>
  <si>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</si>
  <si>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</si>
  <si>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</si>
  <si>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</si>
  <si>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</si>
  <si>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</si>
  <si>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</si>
  <si>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</si>
  <si>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</si>
  <si>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</si>
  <si>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</si>
  <si>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</si>
  <si>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</si>
  <si>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</si>
  <si>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</si>
  <si>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</si>
  <si>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</si>
  <si>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</si>
  <si>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</si>
  <si>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</si>
  <si>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</si>
  <si>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</si>
  <si>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</si>
  <si>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</si>
  <si>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</si>
  <si>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</si>
  <si>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</si>
  <si>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</si>
  <si>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</si>
  <si>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</si>
  <si>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</si>
  <si>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</si>
  <si>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</si>
  <si>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</si>
  <si>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</si>
  <si>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</si>
  <si>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</si>
  <si>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</si>
  <si>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</si>
  <si>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</si>
  <si>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</si>
  <si>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</si>
  <si>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</si>
  <si>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</si>
  <si>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</si>
  <si>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</si>
  <si>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</si>
  <si>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</si>
  <si>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</si>
  <si>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</si>
  <si>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</si>
  <si>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</si>
  <si>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</si>
  <si>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</si>
  <si>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</si>
  <si>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</si>
  <si>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</si>
  <si>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</si>
  <si>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</si>
  <si>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</si>
  <si>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</si>
  <si>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</si>
  <si>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</si>
  <si>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</si>
  <si>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</si>
  <si>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</si>
  <si>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</si>
  <si>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</si>
  <si>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</si>
  <si>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</si>
  <si>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</si>
  <si>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</si>
  <si>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</si>
  <si>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</si>
  <si>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</si>
  <si>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</si>
  <si>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</si>
  <si>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</si>
  <si>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</si>
  <si>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</si>
  <si>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</si>
  <si>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</si>
  <si>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</si>
  <si>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Alex Rodriguez_batter</t>
  </si>
  <si>
    <t>Anthony Rizzo_batter</t>
  </si>
  <si>
    <t>Wandy Rodriguez_pitcher</t>
  </si>
  <si>
    <t>Miguel Montero_batter</t>
  </si>
  <si>
    <t>Devon Travis_batter</t>
  </si>
  <si>
    <t>Andrew McCutchen_batter</t>
  </si>
  <si>
    <t>Dexter Fowler_batter</t>
  </si>
  <si>
    <t>Ian Desmond_batter</t>
  </si>
  <si>
    <t>Michael Brantley_batter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</si>
  <si>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</si>
  <si>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</si>
  <si>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</si>
  <si>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</si>
  <si>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</si>
  <si>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</si>
  <si>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</si>
  <si>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</si>
  <si>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</si>
  <si>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</si>
  <si>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</si>
  <si>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</si>
  <si>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</si>
  <si>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</si>
  <si>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</si>
  <si>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</si>
  <si>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</si>
  <si>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</si>
  <si>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</si>
  <si>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</si>
  <si>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</si>
  <si>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</si>
  <si>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</si>
  <si>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</si>
  <si>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</si>
  <si>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</si>
  <si>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</si>
  <si>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</si>
  <si>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</si>
  <si>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</si>
  <si>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</si>
  <si>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</si>
  <si>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</si>
  <si>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</si>
  <si>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</si>
  <si>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</si>
  <si>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</si>
  <si>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</si>
  <si>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</si>
  <si>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</si>
  <si>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</si>
  <si>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</si>
  <si>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</si>
  <si>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</si>
  <si>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</si>
  <si>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</si>
  <si>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</si>
  <si>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</si>
  <si>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</si>
  <si>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</si>
  <si>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</si>
  <si>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</si>
  <si>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</si>
  <si>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</si>
  <si>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</si>
  <si>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</si>
  <si>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</si>
  <si>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</si>
  <si>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</si>
  <si>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</si>
  <si>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</si>
  <si>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</si>
  <si>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</si>
  <si>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</si>
  <si>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</si>
  <si>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</si>
  <si>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</si>
  <si>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</si>
  <si>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</si>
  <si>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</si>
  <si>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</si>
  <si>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</si>
  <si>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</si>
  <si>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</si>
  <si>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</si>
  <si>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</si>
  <si>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</si>
  <si>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</si>
  <si>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</si>
  <si>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</si>
  <si>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</si>
  <si>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</si>
  <si>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</si>
  <si>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</si>
  <si>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</si>
  <si>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</si>
  <si>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</si>
  <si>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</si>
  <si>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</si>
  <si>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</si>
  <si>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</si>
  <si>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</si>
  <si>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</si>
  <si>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</si>
  <si>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</si>
  <si>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</si>
  <si>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</si>
  <si>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</si>
  <si>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</si>
  <si>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</si>
  <si>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</si>
  <si>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</si>
  <si>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</si>
  <si>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</si>
  <si>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</si>
  <si>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</si>
  <si>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</si>
  <si>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</si>
  <si>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</si>
  <si>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</si>
  <si>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</si>
  <si>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</si>
  <si>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</si>
  <si>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</si>
  <si>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</si>
  <si>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</si>
  <si>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</si>
  <si>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</si>
  <si>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</si>
  <si>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</si>
  <si>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</si>
  <si>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</si>
  <si>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</si>
  <si>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</si>
  <si>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</si>
  <si>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</si>
  <si>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</si>
  <si>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</si>
  <si>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</si>
  <si>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</si>
  <si>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</si>
  <si>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</si>
  <si>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</si>
  <si>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</si>
  <si>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</si>
  <si>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</si>
  <si>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</si>
  <si>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</si>
  <si>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</si>
  <si>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</si>
  <si>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</si>
  <si>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</si>
  <si>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</si>
  <si>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</si>
  <si>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</si>
  <si>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</si>
  <si>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</si>
  <si>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</si>
  <si>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</si>
  <si>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</si>
  <si>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</si>
  <si>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</si>
  <si>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</si>
  <si>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</si>
  <si>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</si>
  <si>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</si>
  <si>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</si>
  <si>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</si>
  <si>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</si>
  <si>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</si>
  <si>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</si>
  <si>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</si>
  <si>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</si>
  <si>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</si>
  <si>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</si>
  <si>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</si>
  <si>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</si>
  <si>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</si>
  <si>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</si>
  <si>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</si>
  <si>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</si>
  <si>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</si>
  <si>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</si>
  <si>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</si>
  <si>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</si>
  <si>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</si>
  <si>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</si>
  <si>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</si>
  <si>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</si>
  <si>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</si>
  <si>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</si>
  <si>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</si>
  <si>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</si>
  <si>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</si>
  <si>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</si>
  <si>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</si>
  <si>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</si>
  <si>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</si>
  <si>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</si>
  <si>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</si>
  <si>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</si>
  <si>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</si>
  <si>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</si>
  <si>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</si>
  <si>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</si>
  <si>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</si>
  <si>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</si>
  <si>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</si>
  <si>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</si>
  <si>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</si>
  <si>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</si>
  <si>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</si>
  <si>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</si>
  <si>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</si>
  <si>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</si>
  <si>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</si>
  <si>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</si>
  <si>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</si>
  <si>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</si>
  <si>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</si>
  <si>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</si>
  <si>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</si>
  <si>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</si>
  <si>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</si>
  <si>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</si>
  <si>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</si>
  <si>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</si>
  <si>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</si>
  <si>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</si>
  <si>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</si>
  <si>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</si>
  <si>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</si>
  <si>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</si>
  <si>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</si>
  <si>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</si>
  <si>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</si>
  <si>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</si>
  <si>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</si>
  <si>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</si>
  <si>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</si>
  <si>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</si>
  <si>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</si>
  <si>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</si>
  <si>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</si>
  <si>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</si>
  <si>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</si>
  <si>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</si>
  <si>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</si>
  <si>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</si>
  <si>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</si>
  <si>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</si>
  <si>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</si>
  <si>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</si>
  <si>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</si>
  <si>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</si>
  <si>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</si>
  <si>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</si>
  <si>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</si>
  <si>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</si>
  <si>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</si>
  <si>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</si>
  <si>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</si>
  <si>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</si>
  <si>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</si>
  <si>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</si>
  <si>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</si>
  <si>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</si>
  <si>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</si>
  <si>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</si>
  <si>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</si>
  <si>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</si>
  <si>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</si>
  <si>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</si>
  <si>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</si>
  <si>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</si>
  <si>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</si>
  <si>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</si>
  <si>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</si>
  <si>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</si>
  <si>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</si>
  <si>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</si>
  <si>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</si>
  <si>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</si>
  <si>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</si>
  <si>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</si>
  <si>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</si>
  <si>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</si>
  <si>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</si>
  <si>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</si>
  <si>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</si>
  <si>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</si>
  <si>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</si>
  <si>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</si>
  <si>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</si>
  <si>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</si>
  <si>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</si>
  <si>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</si>
  <si>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</si>
  <si>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</si>
  <si>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</si>
  <si>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</si>
  <si>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</si>
  <si>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</si>
  <si>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</si>
  <si>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</si>
  <si>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</si>
  <si>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</si>
  <si>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</si>
  <si>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</si>
  <si>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</si>
  <si>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</si>
  <si>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</si>
  <si>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</si>
  <si>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</si>
  <si>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</si>
  <si>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</si>
  <si>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</si>
  <si>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</si>
  <si>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</si>
  <si>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</si>
  <si>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</si>
  <si>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</si>
  <si>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</si>
  <si>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</si>
  <si>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</si>
  <si>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</si>
  <si>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</si>
  <si>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</si>
  <si>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</si>
  <si>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</si>
  <si>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</si>
  <si>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</si>
  <si>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</si>
  <si>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</si>
  <si>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</si>
  <si>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</si>
  <si>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</si>
  <si>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</si>
  <si>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</si>
  <si>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</si>
  <si>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</si>
  <si>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</si>
  <si>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</si>
  <si>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</si>
  <si>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</si>
  <si>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</si>
  <si>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</si>
  <si>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</si>
  <si>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</si>
  <si>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</si>
  <si>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</si>
  <si>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</si>
  <si>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</si>
  <si>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</si>
  <si>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</si>
  <si>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</si>
  <si>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</si>
  <si>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</si>
  <si>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</si>
  <si>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</si>
  <si>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</si>
  <si>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</si>
  <si>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</si>
  <si>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</si>
  <si>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</si>
  <si>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</si>
  <si>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</si>
  <si>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</si>
  <si>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</si>
  <si>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</si>
  <si>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</si>
  <si>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</si>
  <si>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</si>
  <si>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</si>
  <si>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</si>
  <si>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</si>
  <si>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</si>
  <si>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</si>
  <si>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</si>
  <si>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</si>
  <si>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</si>
  <si>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</si>
  <si>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</si>
  <si>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</si>
  <si>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</si>
  <si>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</si>
  <si>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</si>
  <si>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</si>
  <si>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</si>
  <si>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</si>
  <si>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</si>
  <si>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</si>
  <si>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</si>
  <si>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</si>
  <si>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</si>
  <si>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</si>
  <si>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</si>
  <si>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</si>
  <si>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</si>
  <si>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</si>
  <si>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</si>
  <si>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</si>
  <si>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</si>
  <si>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</si>
  <si>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</si>
  <si>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</si>
  <si>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</si>
  <si>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</si>
  <si>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</si>
  <si>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</si>
  <si>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</si>
  <si>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</si>
  <si>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</si>
  <si>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</si>
  <si>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</si>
  <si>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</si>
  <si>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</si>
  <si>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</si>
  <si>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</si>
  <si>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</si>
  <si>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</si>
  <si>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</si>
  <si>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</si>
  <si>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</si>
  <si>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</si>
  <si>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</si>
  <si>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</si>
  <si>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</si>
  <si>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</si>
  <si>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</si>
  <si>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</si>
  <si>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</si>
  <si>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</si>
  <si>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</si>
  <si>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</si>
  <si>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</si>
  <si>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</si>
  <si>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</si>
  <si>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</si>
  <si>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</si>
  <si>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</si>
  <si>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</si>
  <si>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</si>
  <si>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</si>
  <si>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</si>
  <si>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</si>
  <si>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</si>
  <si>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</si>
  <si>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</si>
  <si>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</si>
  <si>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</si>
  <si>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</si>
  <si>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</si>
  <si>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</si>
  <si>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</si>
  <si>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</si>
  <si>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</si>
  <si>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</si>
  <si>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</si>
  <si>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</si>
  <si>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</si>
  <si>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</si>
  <si>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</si>
  <si>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</si>
  <si>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</si>
  <si>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</si>
  <si>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</si>
  <si>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</si>
  <si>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</si>
  <si>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</si>
  <si>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</si>
  <si>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</si>
  <si>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</si>
  <si>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</si>
  <si>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</si>
  <si>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</si>
  <si>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</si>
  <si>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</si>
  <si>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</si>
  <si>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</si>
  <si>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</si>
  <si>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</si>
  <si>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</si>
  <si>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</si>
  <si>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</si>
  <si>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</si>
  <si>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</si>
  <si>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</si>
  <si>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</si>
  <si>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</si>
  <si>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</si>
  <si>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</si>
  <si>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</si>
  <si>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</si>
  <si>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</si>
  <si>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</si>
  <si>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</si>
  <si>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</si>
  <si>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</si>
  <si>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</si>
  <si>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</si>
  <si>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</si>
  <si>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</si>
  <si>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</si>
  <si>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</si>
  <si>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</si>
  <si>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</si>
  <si>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</si>
  <si>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</si>
  <si>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</si>
  <si>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</si>
  <si>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</si>
  <si>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</si>
  <si>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</si>
  <si>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</si>
  <si>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</si>
  <si>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</si>
  <si>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</si>
  <si>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</si>
  <si>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</si>
  <si>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</si>
  <si>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</si>
  <si>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</si>
  <si>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</si>
  <si>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</si>
  <si>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</si>
  <si>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</si>
  <si>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</si>
  <si>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</si>
  <si>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</si>
  <si>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</si>
  <si>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</si>
  <si>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</si>
  <si>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</si>
  <si>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</si>
  <si>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</si>
  <si>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</si>
  <si>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</si>
  <si>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</si>
  <si>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</si>
  <si>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</si>
  <si>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</si>
  <si>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</si>
  <si>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</si>
  <si>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</si>
  <si>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</si>
  <si>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</si>
  <si>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</si>
  <si>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</si>
  <si>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</si>
  <si>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</si>
  <si>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</si>
  <si>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</si>
  <si>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</si>
  <si>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</si>
  <si>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</si>
  <si>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</si>
  <si>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</si>
  <si>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</si>
  <si>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</si>
  <si>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</si>
  <si>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</si>
  <si>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</si>
  <si>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</si>
  <si>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</si>
  <si>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</si>
  <si>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</si>
  <si>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</si>
  <si>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</si>
  <si>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</si>
  <si>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</si>
  <si>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</si>
  <si>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</si>
  <si>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</si>
  <si>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</si>
  <si>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</si>
  <si>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</si>
  <si>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</si>
  <si>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</si>
  <si>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</si>
  <si>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</si>
  <si>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</si>
  <si>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</si>
  <si>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</si>
  <si>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</si>
  <si>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</si>
  <si>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</si>
  <si>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</si>
  <si>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</si>
  <si>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</si>
  <si>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</si>
  <si>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</si>
  <si>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</si>
  <si>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</si>
  <si>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</si>
  <si>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</si>
  <si>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</si>
  <si>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</si>
  <si>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</si>
  <si>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</si>
  <si>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</si>
  <si>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</si>
  <si>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</si>
  <si>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</si>
  <si>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</si>
  <si>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</si>
  <si>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</si>
  <si>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</si>
  <si>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</si>
  <si>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</si>
  <si>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</si>
  <si>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</si>
  <si>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</si>
  <si>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</si>
  <si>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</si>
  <si>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</si>
  <si>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</si>
  <si>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</si>
  <si>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</si>
  <si>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</si>
  <si>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</si>
  <si>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</si>
  <si>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</si>
  <si>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</si>
  <si>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</si>
  <si>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</si>
  <si>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</si>
  <si>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</si>
  <si>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</si>
  <si>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</si>
  <si>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</si>
  <si>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</si>
  <si>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</si>
  <si>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</si>
  <si>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</si>
  <si>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</si>
  <si>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</si>
  <si>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</si>
  <si>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</si>
  <si>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</si>
  <si>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</si>
  <si>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</si>
  <si>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</si>
  <si>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</si>
  <si>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</si>
  <si>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</si>
  <si>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</si>
  <si>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</si>
  <si>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</si>
  <si>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</si>
  <si>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</si>
  <si>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</si>
  <si>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</si>
  <si>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</si>
  <si>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</si>
  <si>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</si>
  <si>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</si>
  <si>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</si>
  <si>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</si>
  <si>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</si>
  <si>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</si>
  <si>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</si>
  <si>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</si>
  <si>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</si>
  <si>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</si>
  <si>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</si>
  <si>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</si>
  <si>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</si>
  <si>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</si>
  <si>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</si>
  <si>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</si>
  <si>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</si>
  <si>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</si>
  <si>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</si>
  <si>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</si>
  <si>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</si>
  <si>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</si>
  <si>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</si>
  <si>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</si>
  <si>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</si>
  <si>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</si>
  <si>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</si>
  <si>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</si>
  <si>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</si>
  <si>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</si>
  <si>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</si>
  <si>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</si>
  <si>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</si>
  <si>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</si>
  <si>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</si>
  <si>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</si>
  <si>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</si>
  <si>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</si>
  <si>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</si>
  <si>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</si>
  <si>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</si>
  <si>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</si>
  <si>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</si>
  <si>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</si>
  <si>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</si>
  <si>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</si>
  <si>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</si>
  <si>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</si>
  <si>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</si>
  <si>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</si>
  <si>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</si>
  <si>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</si>
  <si>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</si>
  <si>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</si>
  <si>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</si>
  <si>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</si>
  <si>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</si>
  <si>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</si>
  <si>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</si>
  <si>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</si>
  <si>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</si>
  <si>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</si>
  <si>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</si>
  <si>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</si>
  <si>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</si>
  <si>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</si>
  <si>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</si>
  <si>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</si>
  <si>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</si>
  <si>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</si>
  <si>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</si>
  <si>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</si>
  <si>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</si>
  <si>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</si>
  <si>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</si>
  <si>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</si>
  <si>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</si>
  <si>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</si>
  <si>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</si>
  <si>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</si>
  <si>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</si>
  <si>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</si>
  <si>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</si>
  <si>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</si>
  <si>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</si>
  <si>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</si>
  <si>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</si>
  <si>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</si>
  <si>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</si>
  <si>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</si>
  <si>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</si>
  <si>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</si>
  <si>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</si>
  <si>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</si>
  <si>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</si>
  <si>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</si>
  <si>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</si>
  <si>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</si>
  <si>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</si>
  <si>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</si>
  <si>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</si>
  <si>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</si>
  <si>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</si>
  <si>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</si>
  <si>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</si>
  <si>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</si>
  <si>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</si>
  <si>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</si>
  <si>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</si>
  <si>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</si>
  <si>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</si>
  <si>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</si>
  <si>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</si>
  <si>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</si>
  <si>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</si>
  <si>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</si>
  <si>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</si>
  <si>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</si>
  <si>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</si>
  <si>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</si>
  <si>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</si>
  <si>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</si>
  <si>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</si>
  <si>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</si>
  <si>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</si>
  <si>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</si>
  <si>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</si>
  <si>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</si>
  <si>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</si>
  <si>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</si>
  <si>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</si>
  <si>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</si>
  <si>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</si>
  <si>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</si>
  <si>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</si>
  <si>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</si>
  <si>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</si>
  <si>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</si>
  <si>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</si>
  <si>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</si>
  <si>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</si>
  <si>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</si>
  <si>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</si>
  <si>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</si>
  <si>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</si>
  <si>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</si>
  <si>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</si>
  <si>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</si>
  <si>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</si>
  <si>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</si>
  <si>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</si>
  <si>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</si>
  <si>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</si>
  <si>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</si>
  <si>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</si>
  <si>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</si>
  <si>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</si>
  <si>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</si>
  <si>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</si>
  <si>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</si>
  <si>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</si>
  <si>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</si>
  <si>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</si>
  <si>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</si>
  <si>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</si>
  <si>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</si>
  <si>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</si>
  <si>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</si>
  <si>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</si>
  <si>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</si>
  <si>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</si>
  <si>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</si>
  <si>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</si>
  <si>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</si>
  <si>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</si>
  <si>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</si>
  <si>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</si>
  <si>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</si>
  <si>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</si>
  <si>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</si>
  <si>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</si>
  <si>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</si>
  <si>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</si>
  <si>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</si>
  <si>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</si>
  <si>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</si>
  <si>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</si>
  <si>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</si>
  <si>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</si>
  <si>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</si>
  <si>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</si>
  <si>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</si>
  <si>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</si>
  <si>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</si>
  <si>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</si>
  <si>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</si>
  <si>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</si>
  <si>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</si>
  <si>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</si>
  <si>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</si>
  <si>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</si>
  <si>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</si>
  <si>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</si>
  <si>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</si>
  <si>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</si>
  <si>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</si>
  <si>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</si>
  <si>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</si>
  <si>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</si>
  <si>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</si>
  <si>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</si>
  <si>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</si>
  <si>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</si>
  <si>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</si>
  <si>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</si>
  <si>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</si>
  <si>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</si>
  <si>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</si>
  <si>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</si>
  <si>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</si>
  <si>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</si>
  <si>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</si>
  <si>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</si>
  <si>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</si>
  <si>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</si>
  <si>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</si>
  <si>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</si>
  <si>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</si>
  <si>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</si>
  <si>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</si>
  <si>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</si>
  <si>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</si>
  <si>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</si>
  <si>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</si>
  <si>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</si>
  <si>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</si>
  <si>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</si>
  <si>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</si>
  <si>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</si>
  <si>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</si>
  <si>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</si>
  <si>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</si>
  <si>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</si>
  <si>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</si>
  <si>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</si>
  <si>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</si>
  <si>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</si>
  <si>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</si>
  <si>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</si>
  <si>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</si>
  <si>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</si>
  <si>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</si>
  <si>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</si>
  <si>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</si>
  <si>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</si>
  <si>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</si>
  <si>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</si>
  <si>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</si>
  <si>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</si>
  <si>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</si>
  <si>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</si>
  <si>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</si>
  <si>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</si>
  <si>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</si>
  <si>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</si>
  <si>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</si>
  <si>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</si>
  <si>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</si>
  <si>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</si>
  <si>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</si>
  <si>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</si>
  <si>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</si>
  <si>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</si>
  <si>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</si>
  <si>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</si>
  <si>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</si>
  <si>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</si>
  <si>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</si>
  <si>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</si>
  <si>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</si>
  <si>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</si>
  <si>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</si>
  <si>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</si>
  <si>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</si>
  <si>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</si>
  <si>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</si>
  <si>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</si>
  <si>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</si>
  <si>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</si>
  <si>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</si>
  <si>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</si>
  <si>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</si>
  <si>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</si>
  <si>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</si>
  <si>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</si>
  <si>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</si>
  <si>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</si>
  <si>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</si>
  <si>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</si>
  <si>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</si>
  <si>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</si>
  <si>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</si>
  <si>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</si>
  <si>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</si>
  <si>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</si>
  <si>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</si>
  <si>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</si>
  <si>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</si>
  <si>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</si>
  <si>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</si>
  <si>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</si>
  <si>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</si>
  <si>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</si>
  <si>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</si>
  <si>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</si>
  <si>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</si>
  <si>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</si>
  <si>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</si>
  <si>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</si>
  <si>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</si>
  <si>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</si>
  <si>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</si>
  <si>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</si>
  <si>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</si>
  <si>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</si>
  <si>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</si>
  <si>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</si>
  <si>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</si>
  <si>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</si>
  <si>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</si>
  <si>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</si>
  <si>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</si>
  <si>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</si>
  <si>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</si>
  <si>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</si>
  <si>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</si>
  <si>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</si>
  <si>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</si>
  <si>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</si>
  <si>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</si>
  <si>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</si>
  <si>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</si>
  <si>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</si>
  <si>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</si>
  <si>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</si>
  <si>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</si>
  <si>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</si>
  <si>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</si>
  <si>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</si>
  <si>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</si>
  <si>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</si>
  <si>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</si>
  <si>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</si>
  <si>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</si>
  <si>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</si>
  <si>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</si>
  <si>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</si>
  <si>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</si>
  <si>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</si>
  <si>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</si>
  <si>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</si>
  <si>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</si>
  <si>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</si>
  <si>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</si>
  <si>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</si>
  <si>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</si>
  <si>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</si>
  <si>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</si>
  <si>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</si>
  <si>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</si>
  <si>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</si>
  <si>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</si>
  <si>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</si>
  <si>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</si>
  <si>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</si>
  <si>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</si>
  <si>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</si>
  <si>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</si>
  <si>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</si>
  <si>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</si>
  <si>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</si>
  <si>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</si>
  <si>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</si>
  <si>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</si>
  <si>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</si>
  <si>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</si>
  <si>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</si>
  <si>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</si>
  <si>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</si>
  <si>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</si>
  <si>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</si>
  <si>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</si>
  <si>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</si>
  <si>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</si>
  <si>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</si>
  <si>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</si>
  <si>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</si>
  <si>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</si>
  <si>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</si>
  <si>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</si>
  <si>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</si>
  <si>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</si>
  <si>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</si>
  <si>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</si>
  <si>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</si>
  <si>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</si>
  <si>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</si>
  <si>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</si>
  <si>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</si>
  <si>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</si>
  <si>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</si>
  <si>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</si>
  <si>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</si>
  <si>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</si>
  <si>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</si>
  <si>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</si>
  <si>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</si>
  <si>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</si>
  <si>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</si>
  <si>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</si>
  <si>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</si>
  <si>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</si>
  <si>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</si>
  <si>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</si>
  <si>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</si>
  <si>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</si>
  <si>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</si>
  <si>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</si>
  <si>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</si>
  <si>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</si>
  <si>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</si>
  <si>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</si>
  <si>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</si>
  <si>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</si>
  <si>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</si>
  <si>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</si>
  <si>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</si>
  <si>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</si>
  <si>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</si>
  <si>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</si>
  <si>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</si>
  <si>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</si>
  <si>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</si>
  <si>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</si>
  <si>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</si>
  <si>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</si>
  <si>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</si>
  <si>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</si>
  <si>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</si>
  <si>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</si>
  <si>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</si>
  <si>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</si>
  <si>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</si>
  <si>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</si>
  <si>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</si>
  <si>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</si>
  <si>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</si>
  <si>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</si>
  <si>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</si>
  <si>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</si>
  <si>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</si>
  <si>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</si>
  <si>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</si>
  <si>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</si>
  <si>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</si>
  <si>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</si>
  <si>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</si>
  <si>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</si>
  <si>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</si>
  <si>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</si>
  <si>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</si>
  <si>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</si>
  <si>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</si>
  <si>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</si>
  <si>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</si>
  <si>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</si>
  <si>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</si>
  <si>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</si>
  <si>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</si>
  <si>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</si>
  <si>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</si>
  <si>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</si>
  <si>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</si>
  <si>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</si>
  <si>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</si>
  <si>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</si>
  <si>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</si>
  <si>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</si>
  <si>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</si>
  <si>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</si>
  <si>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</si>
  <si>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</si>
  <si>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</si>
  <si>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</si>
  <si>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</si>
  <si>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</si>
  <si>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</si>
  <si>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</si>
  <si>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</si>
  <si>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</si>
  <si>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</si>
  <si>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</si>
  <si>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</si>
  <si>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</si>
  <si>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</si>
  <si>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</si>
  <si>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</si>
  <si>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</si>
  <si>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</si>
  <si>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</si>
  <si>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</si>
  <si>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</si>
  <si>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</si>
  <si>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</si>
  <si>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</si>
  <si>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</si>
  <si>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</si>
  <si>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</si>
  <si>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</si>
  <si>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</si>
  <si>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</si>
  <si>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</si>
  <si>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</si>
  <si>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</si>
  <si>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</si>
  <si>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</si>
  <si>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</si>
  <si>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</si>
  <si>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</si>
  <si>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</si>
  <si>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</si>
  <si>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</si>
  <si>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</si>
  <si>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</si>
  <si>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</si>
  <si>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</si>
  <si>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</si>
  <si>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</si>
  <si>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</si>
  <si>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</si>
  <si>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</si>
  <si>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</si>
  <si>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</si>
  <si>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</si>
  <si>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</si>
  <si>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</si>
  <si>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</si>
  <si>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</si>
  <si>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</si>
  <si>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</si>
  <si>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</si>
  <si>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</si>
  <si>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</si>
  <si>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</si>
  <si>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</si>
  <si>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</si>
  <si>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</si>
  <si>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</si>
  <si>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</si>
  <si>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</si>
  <si>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</si>
  <si>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</si>
  <si>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</si>
  <si>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</si>
  <si>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</si>
  <si>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</si>
  <si>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</si>
  <si>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</si>
  <si>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</si>
  <si>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</si>
  <si>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</si>
  <si>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</si>
  <si>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</si>
  <si>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</si>
  <si>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</si>
  <si>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</si>
  <si>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</si>
  <si>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</si>
  <si>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</si>
  <si>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</si>
  <si>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</si>
  <si>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</si>
  <si>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</si>
  <si>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</si>
  <si>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</si>
  <si>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</si>
  <si>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</si>
  <si>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</si>
  <si>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</si>
  <si>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</si>
  <si>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</si>
  <si>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</si>
  <si>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</si>
  <si>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</si>
  <si>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</si>
  <si>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</si>
  <si>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</si>
  <si>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</si>
  <si>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</si>
  <si>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</si>
  <si>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</si>
  <si>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</si>
  <si>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</si>
  <si>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</si>
  <si>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</si>
  <si>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</si>
  <si>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</si>
  <si>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</si>
  <si>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</si>
  <si>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</si>
  <si>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</si>
  <si>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</si>
  <si>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</si>
  <si>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</si>
  <si>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</si>
  <si>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</si>
  <si>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</si>
  <si>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</si>
  <si>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</si>
  <si>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</si>
  <si>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</si>
  <si>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</si>
  <si>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</si>
  <si>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</si>
  <si>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</si>
  <si>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</si>
  <si>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</si>
  <si>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</si>
  <si>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</si>
  <si>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</si>
  <si>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</si>
  <si>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</si>
  <si>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</si>
  <si>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</si>
  <si>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</si>
  <si>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</si>
  <si>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</si>
  <si>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</si>
  <si>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</si>
  <si>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</si>
  <si>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</si>
  <si>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</si>
  <si>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</si>
  <si>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</si>
  <si>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</si>
  <si>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</si>
  <si>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</si>
  <si>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</si>
  <si>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</si>
  <si>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</si>
  <si>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</si>
  <si>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</si>
  <si>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</si>
  <si>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</si>
  <si>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</si>
  <si>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</si>
  <si>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</si>
  <si>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</si>
  <si>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</si>
  <si>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</si>
  <si>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</si>
  <si>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</si>
  <si>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</si>
  <si>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</si>
  <si>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</si>
  <si>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</si>
  <si>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</si>
  <si>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</si>
  <si>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</si>
  <si>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</si>
  <si>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</si>
  <si>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</si>
  <si>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</si>
  <si>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</si>
  <si>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</si>
  <si>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</si>
  <si>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</si>
  <si>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</si>
  <si>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</si>
  <si>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</si>
  <si>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</si>
  <si>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</si>
  <si>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</si>
  <si>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</si>
  <si>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</si>
  <si>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</si>
  <si>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</si>
  <si>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</si>
  <si>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</si>
  <si>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</si>
  <si>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</si>
  <si>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</si>
  <si>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</si>
  <si>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</si>
  <si>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</si>
  <si>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</si>
  <si>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</si>
  <si>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</si>
  <si>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</si>
  <si>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</si>
  <si>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</si>
  <si>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</si>
  <si>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</si>
  <si>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</si>
  <si>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</si>
  <si>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</si>
  <si>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</si>
  <si>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</si>
  <si>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</si>
  <si>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</si>
  <si>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</si>
  <si>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</si>
  <si>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</si>
  <si>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</si>
  <si>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</si>
  <si>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</si>
  <si>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</si>
  <si>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</si>
  <si>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</si>
  <si>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</si>
  <si>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</si>
  <si>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</si>
  <si>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</si>
  <si>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</si>
  <si>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</si>
  <si>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</si>
  <si>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</si>
  <si>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</si>
  <si>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</si>
  <si>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</si>
  <si>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</si>
  <si>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</si>
  <si>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</si>
  <si>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</si>
  <si>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</si>
  <si>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</si>
  <si>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</si>
  <si>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</si>
  <si>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</si>
  <si>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</si>
  <si>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</si>
  <si>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</si>
  <si>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</si>
  <si>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</si>
  <si>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</si>
  <si>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</si>
  <si>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</si>
  <si>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</si>
  <si>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</si>
  <si>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</si>
  <si>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</si>
  <si>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</si>
  <si>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</si>
  <si>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</si>
  <si>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</si>
  <si>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</si>
  <si>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</si>
  <si>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</si>
  <si>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</si>
  <si>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</si>
  <si>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</si>
  <si>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</si>
  <si>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</si>
  <si>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</si>
  <si>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</si>
  <si>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</si>
  <si>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</si>
  <si>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</si>
  <si>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</si>
  <si>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</si>
  <si>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</si>
  <si>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</si>
  <si>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</si>
  <si>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</si>
  <si>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</si>
  <si>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</si>
  <si>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</si>
  <si>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</si>
  <si>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</si>
  <si>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</si>
  <si>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</si>
  <si>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</si>
  <si>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</si>
  <si>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</si>
  <si>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</si>
  <si>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</si>
  <si>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</si>
  <si>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</si>
  <si>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</si>
  <si>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</si>
  <si>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</si>
  <si>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</si>
  <si>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</si>
  <si>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</si>
  <si>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</si>
  <si>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</si>
  <si>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</si>
  <si>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</si>
  <si>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</si>
  <si>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</si>
  <si>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</si>
  <si>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</si>
  <si>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</si>
  <si>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</si>
  <si>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[]</t>
  </si>
  <si>
    <t>['Matt Holliday']</t>
  </si>
  <si>
    <t>['Jose Altuve', 'Danny Santana']</t>
  </si>
  <si>
    <t>['Hanley Ramirez']</t>
  </si>
  <si>
    <t>['Kris Bryant']</t>
  </si>
  <si>
    <t>['Dioner Navarro', 'Jake Marisnick']</t>
  </si>
  <si>
    <t>['Mike Bolsinger', 'Carlos Gomez']</t>
  </si>
  <si>
    <t>['Aaron Hill']</t>
  </si>
  <si>
    <t>['Robinson Cano', 'Erick Aybar']</t>
  </si>
  <si>
    <t>['Alex Guerrero']</t>
  </si>
  <si>
    <t>['Jarrod Saltalamacchia']</t>
  </si>
  <si>
    <t>['Corey Dickerson']</t>
  </si>
  <si>
    <t>['Byron Buxton']</t>
  </si>
  <si>
    <t>['Mark Teixeira', 'Jimmy Rollins', 'Alex Guerrero']</t>
  </si>
  <si>
    <t>['Jarrod Saltalamacchia', 'Mark Teixeira', 'Jake Lamb', 'Carlos Gonzalez']</t>
  </si>
  <si>
    <t>['Edwin Encarnacion', 'Danny Santana']</t>
  </si>
  <si>
    <t>Missing Players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</si>
  <si>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</si>
  <si>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</si>
  <si>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</si>
  <si>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</si>
  <si>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</si>
  <si>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</si>
  <si>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['Ryan Lavarnway']</t>
  </si>
  <si>
    <t>['Mike Fiers']</t>
  </si>
  <si>
    <t>['Giancarlo Stanton']</t>
  </si>
  <si>
    <t>['Blake Swihart', 'Marcell Ozuna']</t>
  </si>
  <si>
    <t>['Alex Gordon']</t>
  </si>
  <si>
    <t>FIFTY_FIFTY</t>
  </si>
  <si>
    <t>Contest Size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</si>
  <si>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</si>
  <si>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</si>
  <si>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</si>
  <si>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</si>
  <si>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</si>
  <si>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</si>
  <si>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</si>
  <si>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</si>
  <si>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</si>
  <si>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</si>
  <si>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</si>
  <si>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</si>
  <si>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</si>
  <si>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</si>
  <si>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</si>
  <si>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</si>
  <si>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</si>
  <si>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</si>
  <si>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</si>
  <si>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</si>
  <si>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</si>
  <si>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</si>
  <si>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</si>
  <si>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</si>
  <si>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</si>
  <si>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</si>
  <si>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</si>
  <si>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</si>
  <si>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</si>
  <si>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</si>
  <si>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</si>
  <si>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</si>
  <si>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</si>
  <si>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</si>
  <si>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</si>
  <si>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</si>
  <si>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</si>
  <si>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</si>
  <si>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</si>
  <si>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</si>
  <si>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</si>
  <si>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</si>
  <si>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</si>
  <si>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</si>
  <si>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</si>
  <si>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</si>
  <si>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</si>
  <si>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</si>
  <si>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</si>
  <si>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</si>
  <si>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</si>
  <si>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</si>
  <si>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</si>
  <si>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</si>
  <si>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</si>
  <si>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</si>
  <si>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</si>
  <si>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</si>
  <si>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</si>
  <si>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</si>
  <si>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</si>
  <si>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</si>
  <si>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</si>
  <si>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</si>
  <si>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</si>
  <si>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</si>
  <si>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</si>
  <si>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</si>
  <si>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</si>
  <si>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</si>
  <si>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</si>
  <si>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</si>
  <si>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</si>
  <si>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</si>
  <si>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</si>
  <si>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</si>
  <si>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</si>
  <si>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</si>
  <si>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</si>
  <si>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</si>
  <si>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</si>
  <si>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</si>
  <si>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</si>
  <si>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</si>
  <si>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</si>
  <si>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</si>
  <si>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</si>
  <si>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</si>
  <si>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</si>
  <si>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</si>
  <si>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</si>
  <si>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</si>
  <si>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</si>
  <si>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</si>
  <si>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</si>
  <si>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</si>
  <si>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</si>
  <si>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</si>
  <si>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</si>
  <si>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</si>
  <si>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</si>
  <si>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</si>
  <si>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</si>
  <si>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</si>
  <si>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</si>
  <si>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</si>
  <si>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</si>
  <si>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</si>
  <si>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</si>
  <si>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</si>
  <si>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</si>
  <si>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</si>
  <si>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</si>
  <si>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</si>
  <si>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</si>
  <si>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</si>
  <si>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</si>
  <si>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</si>
  <si>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</si>
  <si>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</si>
  <si>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</si>
  <si>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</si>
  <si>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</si>
  <si>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</si>
  <si>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</si>
  <si>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</si>
  <si>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</si>
  <si>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</si>
  <si>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</si>
  <si>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</si>
  <si>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</si>
  <si>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</si>
  <si>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July 17/July 18 you would have historized yahoo lineups from DFS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</si>
  <si>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</si>
  <si>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</si>
  <si>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</si>
  <si>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</si>
  <si>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</si>
  <si>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</si>
  <si>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</si>
  <si>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</si>
  <si>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</si>
  <si>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</si>
  <si>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</si>
  <si>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</si>
  <si>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</si>
  <si>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</si>
  <si>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</si>
  <si>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</si>
  <si>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</si>
  <si>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</si>
  <si>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</si>
  <si>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</si>
  <si>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</si>
  <si>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</si>
  <si>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</si>
  <si>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</si>
  <si>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</si>
  <si>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</si>
  <si>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</si>
  <si>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</si>
  <si>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</si>
  <si>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</si>
  <si>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</si>
  <si>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</si>
  <si>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</si>
  <si>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</si>
  <si>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</si>
  <si>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</si>
  <si>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</si>
  <si>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</si>
  <si>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</si>
  <si>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</si>
  <si>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</si>
  <si>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</si>
  <si>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</si>
  <si>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</si>
  <si>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</si>
  <si>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</si>
  <si>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</si>
  <si>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</si>
  <si>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</si>
  <si>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</si>
  <si>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</si>
  <si>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</si>
  <si>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</si>
  <si>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</si>
  <si>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</si>
  <si>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</si>
  <si>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</si>
  <si>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</si>
  <si>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</si>
  <si>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</si>
  <si>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</si>
  <si>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</si>
  <si>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</si>
  <si>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</si>
  <si>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</si>
  <si>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</si>
  <si>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</si>
  <si>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</si>
  <si>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</si>
  <si>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</si>
  <si>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</si>
  <si>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</si>
  <si>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</si>
  <si>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</si>
  <si>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</si>
  <si>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</si>
  <si>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</si>
  <si>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</si>
  <si>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</si>
  <si>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</si>
  <si>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</si>
  <si>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</si>
  <si>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</si>
  <si>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</si>
  <si>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</si>
  <si>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</si>
  <si>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</si>
  <si>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</si>
  <si>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</si>
  <si>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</si>
  <si>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</si>
  <si>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</si>
  <si>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</si>
  <si>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</si>
  <si>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</si>
  <si>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</si>
  <si>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</si>
  <si>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</si>
  <si>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</si>
  <si>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</si>
  <si>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</si>
  <si>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</si>
  <si>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</si>
  <si>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</si>
  <si>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</si>
  <si>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</si>
  <si>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</si>
  <si>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</si>
  <si>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</si>
  <si>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</si>
  <si>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</si>
  <si>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</si>
  <si>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</si>
  <si>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</si>
  <si>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</si>
  <si>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</si>
  <si>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</si>
  <si>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</si>
  <si>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</si>
  <si>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</si>
  <si>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</si>
  <si>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</si>
  <si>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</si>
  <si>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</si>
  <si>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</si>
  <si>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</si>
  <si>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</si>
  <si>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</si>
  <si>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</si>
  <si>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</si>
  <si>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</si>
  <si>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</si>
  <si>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</si>
  <si>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</si>
  <si>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</si>
  <si>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</si>
  <si>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</si>
  <si>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</si>
  <si>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</si>
  <si>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</si>
  <si>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</si>
  <si>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</si>
  <si>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</si>
  <si>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</si>
  <si>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</si>
  <si>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</si>
  <si>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</si>
  <si>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</si>
  <si>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</si>
  <si>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</si>
  <si>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</si>
  <si>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</si>
  <si>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</si>
  <si>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</si>
  <si>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</si>
  <si>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</si>
  <si>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</si>
  <si>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</si>
  <si>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</si>
  <si>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</si>
  <si>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</si>
  <si>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</si>
  <si>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</si>
  <si>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</si>
  <si>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</si>
  <si>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</si>
  <si>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</si>
  <si>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</si>
  <si>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</si>
  <si>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</si>
  <si>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</si>
  <si>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</si>
  <si>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</si>
  <si>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</si>
  <si>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</si>
  <si>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</si>
  <si>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</si>
  <si>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</si>
  <si>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</si>
  <si>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</si>
  <si>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</si>
  <si>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</si>
  <si>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</si>
  <si>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</si>
  <si>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</si>
  <si>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</si>
  <si>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</si>
  <si>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</si>
  <si>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</si>
  <si>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</si>
  <si>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</si>
  <si>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</si>
  <si>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</si>
  <si>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</si>
  <si>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</si>
  <si>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</si>
  <si>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</si>
  <si>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</si>
  <si>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</si>
  <si>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</si>
  <si>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</si>
  <si>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</si>
  <si>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</si>
  <si>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</si>
  <si>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</si>
  <si>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</si>
  <si>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</si>
  <si>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</si>
  <si>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</si>
  <si>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</si>
  <si>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</si>
  <si>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</si>
  <si>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</si>
  <si>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</si>
  <si>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</si>
  <si>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</si>
  <si>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</si>
  <si>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</si>
  <si>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</si>
  <si>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</si>
  <si>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</si>
  <si>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</si>
  <si>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</si>
  <si>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</si>
  <si>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</si>
  <si>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</si>
  <si>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</si>
  <si>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</si>
  <si>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</si>
  <si>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</si>
  <si>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</si>
  <si>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</si>
  <si>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</si>
  <si>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</si>
  <si>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</si>
  <si>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</si>
  <si>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</si>
  <si>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</si>
  <si>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</si>
  <si>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</si>
  <si>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</si>
  <si>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</si>
  <si>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</si>
  <si>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</si>
  <si>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</si>
  <si>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</si>
  <si>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</si>
  <si>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</si>
  <si>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</si>
  <si>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</si>
  <si>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</si>
  <si>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</si>
  <si>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</si>
  <si>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</si>
  <si>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</si>
  <si>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</si>
  <si>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</si>
  <si>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</si>
  <si>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</si>
  <si>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</si>
  <si>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</si>
  <si>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</si>
  <si>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</si>
  <si>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</si>
  <si>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</si>
  <si>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</si>
  <si>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</si>
  <si>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</si>
  <si>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</si>
  <si>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</si>
  <si>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</si>
  <si>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</si>
  <si>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</si>
  <si>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</si>
  <si>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</si>
  <si>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</si>
  <si>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</si>
  <si>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</si>
  <si>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</si>
  <si>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</si>
  <si>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</si>
  <si>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</si>
  <si>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</si>
  <si>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</si>
  <si>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</si>
  <si>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</si>
  <si>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</si>
  <si>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</si>
  <si>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</si>
  <si>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</si>
  <si>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</si>
  <si>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</si>
  <si>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</si>
  <si>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</si>
  <si>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</si>
  <si>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</si>
  <si>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</si>
  <si>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</si>
  <si>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</si>
  <si>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</si>
  <si>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</si>
  <si>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</si>
  <si>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</si>
  <si>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</si>
  <si>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</si>
  <si>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</si>
  <si>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</si>
  <si>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</si>
  <si>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</si>
  <si>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</si>
  <si>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</si>
  <si>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</si>
  <si>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</si>
  <si>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</si>
  <si>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</si>
  <si>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</si>
  <si>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</si>
  <si>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</si>
  <si>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</si>
  <si>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</si>
  <si>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</si>
  <si>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</si>
  <si>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</si>
  <si>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</si>
  <si>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</si>
  <si>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</si>
  <si>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</si>
  <si>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</si>
  <si>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</si>
  <si>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</si>
  <si>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</si>
  <si>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</si>
  <si>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</si>
  <si>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</si>
  <si>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</si>
  <si>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</si>
  <si>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</si>
  <si>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</si>
  <si>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</si>
  <si>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</si>
  <si>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</si>
  <si>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</si>
  <si>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</si>
  <si>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</si>
  <si>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</si>
  <si>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</si>
  <si>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</si>
  <si>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</si>
  <si>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</si>
  <si>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</si>
  <si>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</si>
  <si>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</si>
  <si>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</si>
  <si>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</si>
  <si>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</si>
  <si>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</si>
  <si>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</si>
  <si>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</si>
  <si>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</si>
  <si>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</si>
  <si>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</si>
  <si>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</si>
  <si>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</si>
  <si>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</si>
  <si>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</si>
  <si>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</si>
  <si>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</si>
  <si>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</si>
  <si>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</si>
  <si>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</si>
  <si>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</si>
  <si>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</si>
  <si>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</si>
  <si>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</si>
  <si>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</si>
  <si>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</si>
  <si>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</si>
  <si>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</si>
  <si>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</si>
  <si>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</si>
  <si>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</si>
  <si>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</si>
  <si>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</si>
  <si>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</si>
  <si>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</si>
  <si>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</si>
  <si>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</si>
  <si>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</si>
  <si>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</si>
  <si>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</si>
  <si>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</si>
  <si>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</si>
  <si>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</si>
  <si>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</si>
  <si>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</si>
  <si>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</si>
  <si>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</si>
  <si>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</si>
  <si>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</si>
  <si>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</si>
  <si>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</si>
  <si>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</si>
  <si>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</si>
  <si>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</si>
  <si>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</si>
  <si>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</si>
  <si>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</si>
  <si>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</si>
  <si>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</si>
  <si>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</si>
  <si>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</si>
  <si>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</si>
  <si>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</si>
  <si>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</si>
  <si>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</si>
  <si>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</si>
  <si>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</si>
  <si>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</si>
  <si>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</si>
  <si>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</si>
  <si>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</si>
  <si>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</si>
  <si>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</si>
  <si>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</si>
  <si>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</si>
  <si>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</si>
  <si>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</si>
  <si>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</si>
  <si>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</si>
  <si>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</si>
  <si>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</si>
  <si>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</si>
  <si>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</si>
  <si>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</si>
  <si>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</si>
  <si>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</si>
  <si>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</si>
  <si>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</si>
  <si>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</si>
  <si>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</si>
  <si>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</si>
  <si>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</si>
  <si>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</si>
  <si>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</si>
  <si>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</si>
  <si>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</si>
  <si>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</si>
  <si>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</si>
  <si>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</si>
  <si>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</si>
  <si>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</si>
  <si>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</si>
  <si>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</si>
  <si>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</si>
  <si>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</si>
  <si>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</si>
  <si>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</si>
  <si>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</si>
  <si>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</si>
  <si>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</si>
  <si>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</si>
  <si>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</si>
  <si>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</si>
  <si>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</si>
  <si>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</si>
  <si>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</si>
  <si>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</si>
  <si>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</si>
  <si>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</si>
  <si>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</si>
  <si>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</si>
  <si>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</si>
  <si>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</si>
  <si>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</si>
  <si>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</si>
  <si>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</si>
  <si>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</si>
  <si>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</si>
  <si>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</si>
  <si>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</si>
  <si>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</si>
  <si>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</si>
  <si>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</si>
  <si>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</si>
  <si>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</si>
  <si>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</si>
  <si>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</si>
  <si>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</si>
  <si>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</si>
  <si>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</si>
  <si>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</si>
  <si>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</si>
  <si>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</si>
  <si>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</si>
  <si>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</si>
  <si>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</si>
  <si>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</si>
  <si>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</si>
  <si>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</si>
  <si>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</si>
  <si>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</si>
  <si>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</si>
  <si>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</si>
  <si>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</si>
  <si>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</si>
  <si>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</si>
  <si>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</si>
  <si>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</si>
  <si>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</si>
  <si>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</si>
  <si>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</si>
  <si>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</si>
  <si>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</si>
  <si>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</si>
  <si>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</si>
  <si>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</si>
  <si>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</si>
  <si>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</si>
  <si>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</si>
  <si>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</si>
  <si>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</si>
  <si>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</si>
  <si>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</si>
  <si>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</si>
  <si>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</si>
  <si>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</si>
  <si>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</si>
  <si>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</si>
  <si>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</si>
  <si>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</si>
  <si>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</si>
  <si>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</si>
  <si>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</si>
  <si>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</si>
  <si>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</si>
  <si>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</si>
  <si>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</si>
  <si>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</si>
  <si>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</si>
  <si>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</si>
  <si>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</si>
  <si>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</si>
  <si>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</si>
  <si>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</si>
  <si>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</si>
  <si>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</si>
  <si>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</si>
  <si>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</si>
  <si>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</si>
  <si>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</si>
  <si>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</si>
  <si>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</si>
  <si>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</si>
  <si>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</si>
  <si>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</si>
  <si>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</si>
  <si>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</si>
  <si>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</si>
  <si>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</si>
  <si>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</si>
  <si>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</si>
  <si>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</si>
  <si>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</si>
  <si>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</si>
  <si>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</si>
  <si>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</si>
  <si>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</si>
  <si>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</si>
  <si>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</si>
  <si>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</si>
  <si>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</si>
  <si>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</si>
  <si>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</si>
  <si>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</si>
  <si>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</si>
  <si>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</si>
  <si>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</si>
  <si>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</si>
  <si>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</si>
  <si>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</si>
  <si>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</si>
  <si>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</si>
  <si>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</si>
  <si>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</si>
  <si>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</si>
  <si>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</si>
  <si>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</si>
  <si>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</si>
  <si>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</si>
  <si>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</si>
  <si>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</si>
  <si>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</si>
  <si>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</si>
  <si>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</si>
  <si>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</si>
  <si>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</si>
  <si>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</si>
  <si>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</si>
  <si>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</si>
  <si>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</si>
  <si>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</si>
  <si>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</si>
  <si>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</si>
  <si>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</si>
  <si>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</si>
  <si>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</si>
  <si>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</si>
  <si>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</si>
  <si>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</si>
  <si>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</si>
  <si>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</si>
  <si>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</si>
  <si>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</si>
  <si>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</si>
  <si>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</si>
  <si>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</si>
  <si>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</si>
  <si>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</si>
  <si>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</si>
  <si>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</si>
  <si>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</si>
  <si>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</si>
  <si>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</si>
  <si>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</si>
  <si>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</si>
  <si>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</si>
  <si>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</si>
  <si>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</si>
  <si>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</si>
  <si>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</si>
  <si>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</si>
  <si>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</si>
  <si>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</si>
  <si>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</si>
  <si>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</si>
  <si>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Title</t>
  </si>
  <si>
    <t>Start Time</t>
  </si>
  <si>
    <t>MLB 50\/50 League (Late)</t>
  </si>
  <si>
    <t>4:05&amp;nbsp;pm</t>
  </si>
  <si>
    <t>{'MLB': [279, 1755, 3541], 'CBB': [0, 0, 0], 'NHL': [3, 0, 153], 'NFL': [0, 42, 0], 'CFB': [0, 0, 0], 'NBA': [6, 593, 278], 'Total': [288, 2390, 3972]}</t>
  </si>
  <si>
    <t>https://www.fanduel.com/games/12734/contests/12734-13969276/enter</t>
  </si>
  <si>
    <t>https://www.fanduel.com/games/12734/contests/12734-13970219/enter</t>
  </si>
  <si>
    <t>https://www.fanduel.com/games/12734/contests/12734-13969769/enter</t>
  </si>
  <si>
    <t>https://www.fanduel.com/games/12734/contests/12734-13970098/enter</t>
  </si>
  <si>
    <t>https://www.fanduel.com/games/12734/contests/12734-13970220/enter</t>
  </si>
  <si>
    <t>https://www.fanduel.com/games/12734/contests/12734-13969239/enter</t>
  </si>
  <si>
    <t>17</t>
  </si>
  <si>
    <t>https://www.fanduel.com/games/12734/contests/12734-13968707/enter</t>
  </si>
  <si>
    <t>https://www.fanduel.com/games/12734/contests/12734-13968710/enter</t>
  </si>
  <si>
    <t>{'MLB': [2971, 269, 9979, 4709, 6571, 146, 7614, 594, 10407, 279, 1755, 32, 6, 3541, 185, 913], 'CBB': [60, 13, 0, 0, 0, 0, 0, 0, 74, 0, 0, 0, 0, 0, 0, 20], 'NHL': [1888, 0, 7885, 0, 0, 0, 508, 0, 48, 3, 0, 0, 0, 153, 1, 53], 'NFL': [757, 51, 0, 620, 507, 0, 660, 0, 6493, 0, 42, 0, 0, 0, 35, 402], 'CFB': [238, 0, 0, 0, 0, 0, 762, 0, 596, 0, 0, 0, 0, 0, 0, 2], 'NBA': [2616, 0, 0, 33803, 18977, 127, 8339, 0, 17714, 6, 593, 0, 0, 278, 626, 3874], 'Total': [8530, 333, 17864, 39132, 26055, 273, 17883, 594, 35332, 288, 2390, 32, 6, 3972, 847, 5264]}</t>
  </si>
  <si>
    <t>https://www.fanduel.com/games/12734/contests/12734-13968711/enter</t>
  </si>
  <si>
    <t>{'MLB': [9979, 1357, 2971, 4709, 160, 6571, 146, 660, 1, 1613, 7614, 13766, 10407, 77, 1688, 287, 279, 85, 6036, 1755, 246, 760, 180, 32, 201, 163, 671, 750, 0, 162, 837, 598, 88, 799, 3308, 160, 509, 4, 429, 30, 3560, 277, 3541, 4699, 471], 'CBB': [0, 116, 60, 0, 0, 0, 0, 7, 0, 7, 0, 2514, 74, 55, 0, 0, 0, 0, 19, 0, 0, 51, 0, 0, 0, 0, 17, 1, 1, 0, 0, 0, 0, 0, 771, 0, 7, 1, 0, 0, 27, 0, 0, 107, 0], 'NHL': [7885, 1800, 1888, 0, 0, 0, 0, 29, 0, 0, 508, 16054, 48, 72, 0, 0, 3, 0, 5912, 0, 382, 17, 0, 0, 2, 30, 151, 1062, 1, 0, 0, 0, 0, 113, 1550, 357, 111, 0, 0, 0, 16, 407, 153, 0, 0], 'NFL': [0, 205, 757, 620, 0, 507, 0, 13, 0, 3835, 660, 8849, 6493, 75, 1063, 0, 0, 0, 2040, 42, 176, 87, 11, 0, 134, 2, 129, 261, 0, 0, 0, 0, 4, 210, 427, 85, 0, 21, 1, 0, 0, 82, 0, 513, 8], 'CFB': [0, 0, 238, 0, 0, 0, 0, 2, 0, 4, 762, 82, 596, 49, 170, 0, 0, 0, 53, 0, 0, 55, 0, 0, 0, 0, 82, 0, 0, 0, 0, 0, 0, 0, 602, 1, 0, 16, 0, 0, 0, 3, 0, 27, 0], 'NBA': [0, 4228, 2616, 33803, 0, 18977, 127, 764, 0, 4079, 8339, 30711, 17714, 689, 1238, 0, 6, 7, 6675, 593, 552, 802, 74, 0, 162, 299, 645, 2816, 24, 0, 0, 0, 26, 1223, 2319, 1779, 246, 91, 239, 0, 1571, 1334, 278, 3353, 181], 'Total': [17864, 7706, 8530, 39132, 160, 26055, 273, 1475, 1, 9538, 17883, 71976, 35332, 1017, 4159, 287, 288, 92, 20735, 2390, 1356, 1772, 265, 32, 499, 494, 1695, 4890, 26, 162, 837, 598, 118, 2345, 8977, 2382, 873, 133, 669, 30, 5174, 2103, 3972, 8699, 660]}</t>
  </si>
  <si>
    <t>https://www.fanduel.com/games/12734/contests/12734-13968718/enter</t>
  </si>
  <si>
    <t>{'MLB': [2971, 9979, 4709, 6571, 146, 7614, 18, 10407, 583, 279, 1755, 32, 3541, 185], 'CBB': [60, 0, 0, 0, 0, 0, 0, 74, 0, 0, 0, 0, 0, 0], 'NHL': [1888, 7885, 0, 0, 0, 508, 0, 48, 0, 3, 0, 0, 153, 1], 'NFL': [757, 0, 620, 507, 0, 660, 14, 6493, 30, 0, 42, 0, 0, 35], 'CFB': [238, 0, 0, 0, 0, 762, 0, 596, 0, 0, 0, 0, 0, 0], 'NBA': [2616, 0, 33803, 18977, 127, 8339, 59, 17714, 299, 6, 593, 0, 278, 626], 'Total': [8530, 17864, 39132, 26055, 273, 17883, 91, 35332, 912, 288, 2390, 32, 3972, 847]}</t>
  </si>
  <si>
    <t>https://www.fanduel.com/games/12734/contests/12734-13968709/enter</t>
  </si>
  <si>
    <t>{'MLB': [1357, 4709, 2971, 6571, 9979, 146, 660, 1613, 7614, 13766, 10, 10407, 1688, 287, 279, 85, 6036, 1755, 160, 180, 32, 201, 94, 163, 750, 162, 233, 837, 0, 799, 3308, 160, 509, 4, 429, 3560, 277, 3541, 4699, 471, 29, 34, 761, 20, 185], 'CBB': [116, 0, 60, 0, 0, 0, 7, 7, 0, 2514, 0, 74, 0, 0, 0, 0, 19, 0, 0, 0, 0, 0, 0, 0, 1, 0, 0, 0, 0, 0, 771, 0, 7, 1, 0, 27, 0, 0, 107, 0, 0, 0, 0, 0, 0], 'NHL': [1800, 0, 1888, 0, 7885, 0, 29, 0, 508, 16054, 0, 48, 0, 0, 3, 0, 5912, 0, 0, 0, 0, 2, 0, 30, 1062, 0, 42, 0, 0, 113, 1550, 357, 111, 0, 0, 16, 407, 153, 0, 0, 0, 0, 0, 0, 1], 'NFL': [205, 620, 757, 507, 0, 0, 13, 3835, 660, 8849, 0, 6493, 1063, 0, 0, 0, 2040, 42, 0, 11, 0, 134, 7, 2, 261, 0, 25, 0, 0, 210, 427, 85, 0, 21, 1, 0, 82, 0, 513, 8, 0, 18, 0, 0, 35], 'CFB': [0, 0, 238, 0, 0, 0, 2, 4, 762, 82, 0, 596, 170, 0, 0, 0, 53, 0, 0, 0, 0, 0, 0, 0, 0, 0, 0, 0, 0, 0, 602, 1, 0, 16, 0, 0, 3, 0, 27, 0, 0, 0, 0, 0, 0], 'NBA': [4228, 33803, 2616, 18977, 0, 127, 764, 4079, 8339, 30711, 0, 17714, 1238, 0, 6, 7, 6675, 593, 0, 74, 0, 162, 45, 299, 2816, 0, 0, 0, 3, 1223, 2319, 1779, 246, 91, 239, 1571, 1334, 278, 3353, 181, 0, 157, 0, 0, 626], 'Total': [7706, 39132, 8530, 26055, 17864, 273, 1475, 9538, 17883, 71976, 10, 35332, 4159, 287, 288, 92, 20735, 2390, 160, 265, 32, 499, 146, 494, 4890, 162, 300, 837, 3, 2345, 8977, 2382, 873, 133, 669, 5174, 2103, 3972, 8699, 660, 29, 209, 761, 20, 847]}</t>
  </si>
  <si>
    <t>https://www.fanduel.com/games/12734/contests/12734-13968721/enter</t>
  </si>
  <si>
    <t>https://www.fanduel.com/games/12734/contests/12734-13970073/enter</t>
  </si>
  <si>
    <t>https://www.fanduel.com/games/12734/contests/12734-13970358/enter</t>
  </si>
  <si>
    <t>{'MLB': [2971, 9979, 4709, 6571, 146, 0, 7614, 27, 10407, 279, 1755, 32, 9, 4630, 3541, 761, 185], 'CBB': [60, 0, 0, 0, 0, 0, 0, 0, 74, 0, 0, 0, 0, 433, 0, 0, 0], 'NHL': [1888, 7885, 0, 0, 0, 0, 508, 8, 48, 3, 0, 0, 0, 2158, 153, 0, 1], 'NFL': [757, 0, 620, 507, 0, 0, 660, 2, 6493, 0, 42, 0, 1, 142, 0, 0, 35], 'CFB': [238, 0, 0, 0, 0, 0, 762, 0, 596, 0, 0, 0, 0, 0, 0, 0, 0], 'NBA': [2616, 0, 33803, 18977, 127, 0, 8339, 23, 17714, 6, 593, 0, 0, 3937, 278, 0, 626], 'Total': [8530, 17864, 39132, 26055, 273, 0, 17883, 60, 35332, 288, 2390, 32, 10, 11300, 3972, 761, 847]}</t>
  </si>
  <si>
    <t>https://www.fanduel.com/games/12734/contests/12734-13968712/enter</t>
  </si>
  <si>
    <t>https://www.fanduel.com/games/12734/contests/12734-13970359/enter</t>
  </si>
  <si>
    <t>{'MLB': [2083, 2, 93], 'CBB': [304, 0, 0], 'NHL': [0, 0, 1], 'NFL': [278, 3, 0], 'CFB': [369, 0, 0], 'NBA': [486, 0, 4], 'Total': [3520, 5, 98]}</t>
  </si>
  <si>
    <t>{'MLB': [141, 4699, 74, 10407, 132, 785, 1064, 447, 41, 7, 913, 799, 7614, 264, 12, 271, 2083, 1, 1247, 6571], 'CBB': [10, 107, 0, 74, 0, 201, 0, 0, 0, 0, 20, 0, 0, 1, 0, 5, 304, 0, 554, 0], 'NHL': [315, 0, 0, 48, 0, 105, 3, 0, 66, 0, 53, 113, 508, 5, 0, 10, 0, 0, 483, 0], 'NFL': [0, 513, 0, 6493, 0, 152, 0, 25, 16, 0, 402, 210, 660, 0, 0, 21, 278, 0, 297, 507], 'CFB': [0, 27, 0, 596, 0, 137, 0, 0, 0, 0, 2, 0, 762, 1, 0, 0, 369, 0, 355, 0], 'NBA': [1141, 3353, 0, 17714, 71, 607, 146, 27, 1437, 0, 3874, 1223, 8339, 51, 0, 127, 486, 12, 341, 18977], 'Total': [1607, 8699, 74, 35332, 203, 1987, 1213, 499, 1560, 7, 5264, 2345, 17883, 322, 12, 434, 3520, 13, 3277, 26055]}</t>
  </si>
  <si>
    <t>{'MLB': [279, 6571, 6036, 175, 73, 12, 1755, 201, 94, 162, 837, 799, 160, 429, 4709, 3541, 4699, 0, 761, 3308, 185, 93, 785, 913, 135, 113, 10407, 2083, 61, 722], 'CBB': [0, 0, 19, 0, 0, 0, 0, 0, 0, 0, 0, 0, 0, 0, 0, 0, 107, 0, 0, 771, 0, 0, 201, 20, 0, 0, 74, 304, 0, 46], 'NHL': [3, 0, 5912, 50, 0, 0, 0, 2, 0, 0, 0, 113, 357, 0, 0, 153, 0, 0, 0, 1550, 1, 11, 105, 53, 0, 0, 48, 0, 0, 508], 'NFL': [0, 507, 2040, 203, 0, 0, 42, 134, 7, 0, 0, 210, 85, 1, 620, 0, 513, 0, 0, 427, 35, 176, 152, 402, 0, 0, 6493, 278, 0, 0], 'CFB': [0, 0, 53, 0, 0, 0, 0, 0, 0, 0, 0, 0, 1, 0, 0, 0, 27, 0, 0, 602, 0, 56, 137, 2, 0, 0, 596, 369, 0, 0], 'NBA': [6, 18977, 6675, 3, 1, 0, 593, 162, 45, 0, 0, 1223, 1779, 239, 33803, 278, 3353, 0, 0, 2319, 626, 15, 607, 3874, 24, 0, 17714, 486, 0, 1105], 'Total': [288, 26055, 20735, 431, 74, 12, 2390, 499, 146, 162, 837, 2345, 2382, 669, 39132, 3972, 8699, 0, 761, 8977, 847, 351, 1987, 5264, 159, 113, 35332, 3520, 61, 2381]}</t>
  </si>
  <si>
    <t>{'MLB': [1247, 6571], 'CBB': [554, 0], 'NHL': [483, 0], 'NFL': [297, 507], 'CFB': [355, 0], 'NBA': [341, 18977], 'Total': [3277, 26055]}</t>
  </si>
  <si>
    <t>https://www.fanduel.com/games/12734/contests/12734-13970528/enter</t>
  </si>
  <si>
    <t>{'MLB': [27, 1202, 799, 160, 141, 4699, 74, 10407, 4709, 3308, 86, 761, 785, 25, 913, 41, 160, 460, 113, 7614, 264, 271, 12, 3, 16, 35, 2083, 7, 516, 24, 1247, 86, 70, 61, 6571], 'CBB': [2, 1021, 0, 0, 10, 107, 0, 74, 0, 771, 0, 0, 201, 0, 20, 0, 0, 26, 0, 0, 1, 5, 0, 0, 0, 0, 304, 0, 4, 0, 554, 0, 0, 0, 0], 'NHL': [35, 383, 113, 357, 315, 0, 0, 48, 0, 1550, 0, 0, 105, 2, 53, 66, 0, 76, 0, 508, 5, 10, 0, 0, 0, 98, 0, 0, 5, 0, 483, 10, 0, 0, 0], 'NFL': [31, 88, 210, 85, 0, 513, 0, 6493, 620, 427, 0, 0, 152, 2, 402, 16, 7, 12, 0, 660, 0, 21, 0, 0, 19, 5, 278, 0, 229, 114, 297, 0, 0, 0, 507], 'CFB': [7, 221, 0, 1, 0, 27, 0, 596, 0, 602, 0, 0, 137, 0, 2, 0, 0, 1, 0, 762, 1, 0, 0, 0, 0, 0, 369, 0, 88, 0, 355, 0, 0, 0, 0], 'NBA': [20, 1191, 1223, 1779, 1141, 3353, 0, 17714, 33803, 2319, 0, 0, 607, 177, 3874, 1437, 23, 252, 0, 8339, 51, 127, 0, 0, 20, 171, 486, 0, 426, 0, 341, 0, 0, 0, 18977], 'Total': [122, 4106, 2345, 2382, 1607, 8699, 74, 35332, 39132, 8977, 86, 761, 1987, 206, 5264, 1560, 190, 827, 113, 17883, 322, 434, 12, 3, 55, 309, 3520, 7, 1268, 138, 3277, 96, 70, 61, 26055]}</t>
  </si>
  <si>
    <t>{'MLB': [3541, 785, 29, 2083, 722], 'CBB': [0, 201, 0, 304, 46], 'NHL': [153, 105, 0, 0, 508], 'NFL': [0, 152, 6, 278, 0], 'CFB': [0, 137, 0, 369, 0], 'NBA': [278, 607, 0, 486, 1105], 'Total': [3972, 1987, 35, 3520, 2381]}</t>
  </si>
  <si>
    <t>{'MLB': [1688, 287, 279, 6571, 6036, 1755, 201, 94, 80, 799, 160, 837, 4699, 3541, 4709, 471, 3308, 761, 185, 93, 785, 913, 750, 135, 10407, 93, 2083, 61, 722], 'CBB': [0, 0, 0, 0, 19, 0, 0, 0, 0, 0, 0, 0, 107, 0, 0, 0, 771, 0, 0, 0, 201, 20, 1, 0, 74, 4, 304, 0, 46], 'NHL': [0, 0, 3, 0, 5912, 0, 2, 0, 0, 113, 357, 0, 0, 153, 0, 0, 1550, 0, 1, 11, 105, 53, 1062, 0, 48, 20, 0, 0, 508], 'NFL': [1063, 0, 0, 507, 2040, 42, 134, 7, 19, 210, 85, 0, 513, 0, 620, 8, 427, 0, 35, 176, 152, 402, 261, 0, 6493, 42, 278, 0, 0], 'CFB': [170, 0, 0, 0, 53, 0, 0, 0, 0, 0, 1, 0, 27, 0, 0, 0, 602, 0, 0, 56, 137, 2, 0, 0, 596, 0, 369, 0, 0], 'NBA': [1238, 0, 6, 18977, 6675, 593, 162, 45, 235, 1223, 1779, 0, 3353, 278, 33803, 181, 2319, 0, 626, 15, 607, 3874, 2816, 24, 17714, 2, 486, 0, 1105], 'Total': [4159, 287, 288, 26055, 20735, 2390, 499, 146, 334, 2345, 2382, 837, 8699, 3972, 39132, 660, 8977, 761, 847, 351, 1987, 5264, 4890, 159, 35332, 161, 3520, 61, 2381]}</t>
  </si>
  <si>
    <t>{'MLB': [2971, 9979, 4709, 6571, 146, 7614, 10407, 583, 279, 24, 1755, 32, 3541, 605, 761, 185, 12, 1, 61], 'CBB': [60, 0, 0, 0, 0, 0, 74, 0, 0, 0, 0, 0, 0, 3, 0, 0, 0, 0, 0], 'NHL': [1888, 7885, 0, 0, 0, 508, 48, 0, 3, 0, 0, 0, 153, 130, 0, 1, 0, 0, 0], 'NFL': [757, 0, 620, 507, 0, 660, 6493, 30, 0, 16, 42, 0, 0, 83, 0, 35, 0, 7, 0], 'CFB': [238, 0, 0, 0, 0, 762, 596, 0, 0, 0, 0, 0, 0, 0, 0, 0, 0, 0, 0], 'NBA': [2616, 0, 33803, 18977, 127, 8339, 17714, 299, 6, 14, 593, 0, 278, 645, 0, 626, 0, 42, 0], 'Total': [8530, 17864, 39132, 26055, 273, 17883, 35332, 912, 288, 54, 2390, 32, 3972, 1466, 761, 847, 12, 50, 61]}</t>
  </si>
  <si>
    <t>{'MLB': [2971, 269, 9979, 4709, 6571, 146, 7614, 10407, 287, 279, 23489, 1755, 32, 23, 598, 3541, 185, 93, 61], 'CBB': [60, 13, 0, 0, 0, 0, 0, 74, 0, 0, 0, 0, 0, 0, 0, 0, 0, 0, 0], 'NHL': [1888, 0, 7885, 0, 0, 0, 508, 48, 0, 3, 26321, 0, 0, 0, 0, 153, 1, 11, 0], 'NFL': [757, 51, 0, 620, 507, 0, 660, 6493, 0, 0, 26952, 42, 0, 0, 0, 0, 35, 176, 0], 'CFB': [238, 0, 0, 0, 0, 0, 762, 596, 0, 0, 6619, 0, 0, 0, 0, 0, 0, 56, 0], 'NBA': [2616, 0, 0, 33803, 18977, 127, 8339, 17714, 0, 6, 50430, 593, 0, 0, 0, 278, 626, 15, 0], 'Total': [8530, 333, 17864, 39132, 26055, 273, 17883, 35332, 287, 288, 133811, 2390, 32, 23, 598, 3972, 847, 351, 61]}</t>
  </si>
  <si>
    <t>84</t>
  </si>
  <si>
    <t>{'MLB': [799, 3541, 2083, 722], 'CBB': [0, 0, 304, 46], 'NHL': [113, 153, 0, 508], 'NFL': [210, 0, 278, 0], 'CFB': [0, 0, 369, 0], 'NBA': [1223, 278, 486, 1105], 'Total': [2345, 3972, 3520, 2381]}</t>
  </si>
  <si>
    <t>{'MLB': [785, 1064, 41, 12, 2083, 1247, 6571, 704], 'CBB': [201, 0, 0, 0, 304, 554, 0, 31], 'NHL': [105, 3, 66, 0, 0, 483, 0, 23], 'NFL': [152, 0, 16, 0, 278, 297, 507, 118], 'CFB': [137, 0, 0, 0, 369, 355, 0, 0], 'NBA': [607, 146, 1437, 0, 486, 341, 18977, 582], 'Total': [1987, 1213, 1560, 12, 3520, 3277, 26055, 1458]}</t>
  </si>
  <si>
    <t>Clayton Kershaw, Matt B Wieters, Joey L Votto, Scooter L Gennett, Derek L Dietrich, Alcides R Escobar, Hanley R Ramirez, Starling R Marte, Mark R Trumbo</t>
  </si>
  <si>
    <t>FD Median/Pitcher Strikeouts (fixed plate-appearances, model 2) (2014/2015 Season)</t>
  </si>
  <si>
    <t>{'Michael Brantley_batter': {'Salary': 3900.0, 'projected_FD_points': 3.2613597424788918, 'confidence': 0.036531906790671864, 'FD_Position': 'OF'}, 'Neil Walker_batter': {'Salary': 2700.0, 'projected_FD_points': 2.2344480723706934, 'confidence': -0.068784096140955375, 'FD_Position': '2B'}, 'Matt Wieters_batter': {'Salary': 2900.0, 'projected_FD_points': 3.1276206071293613, 'confidence': -7.492948756096192, 'FD_Position': 'C'}, 'Adam Warren_pitcher': {'Salary': 6700.0, 'projected_FD_points': 15.765908111207512, 'confidence': 0, 'FD_Position': 'P'}, 'Marcus Semien_batter': {'Salary': 2600.0, 'projected_FD_points': 2.3517544334788592, 'confidence': -0.73717585660599783, 'FD_Position': 'SS'}, 'Jose Abreu_batter': {'Salary': 3600.0, 'projected_FD_points': 3.0853086406529489, 'confidence': -0.085686531549295175, 'FD_Position': '1B'}, 'Starling Marte_batter': {'Salary': 3500.0, 'projected_FD_points': 2.9591891762200402, 'confidence': -0.22732678727357536, 'FD_Position': 'OF'}, 'Nolan Arenado_batter': {'Salary': 4200.0, 'projected_FD_points': 2.9435903547095701, 'confidence': -0.047649590629626148, 'FD_Position': '3B'}, 'Andrew McCutchen_batter': {'Salary': 4800.0, 'projected_FD_points': 3.4791666666666665, 'confidence': -1.1079943550903466, 'FD_Position': 'OF'}}</t>
  </si>
  <si>
    <t>{'Joey Butler_batter': {'Salary': 3200.0, 'projected_FD_points': 3.1067743967333463, 'confidence': -0.12680482891988998, 'FD_Position': 'OF'}, 'Adam Warren_pitcher': {'Salary': 6700.0, 'projected_FD_points': 15.765908111207512, 'confidence': 0, 'FD_Position': 'P'}, 'Robinson Cano_batter': {'Salary': 2500.0, 'projected_FD_points': 2.39021164021164, 'confidence': -0.14801604598214424, 'FD_Position': '2B'}, 'Brian McCann_batter': {'Salary': 3500.0, 'projected_FD_points': 2.1737883023047306, 'confidence': -0.016100999175595598, 'FD_Position': 'C'},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'Miguel Cabrera_batter': {'Salary': 4900.0, 'projected_FD_points': 3.3679628621966864, 'confidence': 0.032111557504620136, 'FD_Position': '1B'}, 'Alexei Ramirez_batter': {'Salary': 2200.0, 'projected_FD_points': 2.0555555555555554, 'confidence': -0.016090857001992198, 'FD_Position': 'SS'}, 'Andrew McCutchen_batter': {'Salary': 4800.0, 'projected_FD_points': 3.4791666666666665, 'confidence': -1.1079943550903466, 'FD_Position': 'OF'}}</t>
  </si>
  <si>
    <t>{'Hanser Alberto_batter': {'Salary': 2600.0, 'projected_FD_points': 2.3333333333333335, 'confidence': 0, 'FD_Position': '2B'}, 'Joey Gallo_batter': {'Salary': 3300.0, 'projected_FD_points': 6.333333333333333, 'confidence': 0, 'FD_Position': '3B'}, 'David Ortiz_batter': {'Salary': 2500.0, 'projected_FD_points': 2.4717392460636343, 'confidence': -0.025420639476804396, 'FD_Position': '1B'}, 'Marcus Semien_batter': {'Salary': 2600.0, 'projected_FD_points': 2.3517544334788592, 'confidence': -0.73717585660599783, 'FD_Position': 'SS'}, 'Michael Brantley_batter': {'Salary': 3900.0, 'projected_FD_points': 3.2613597424788918, 'confidence': 0.036531906790671864, 'FD_Position': 'OF'}, 'Danny Salazar_pitcher': {'Salary': 9100.0, 'projected_FD_points': 13.19006944020375, 'confidence': -5.2263486802568195, 'FD_Position': 'P'}, 'Giancarlo Stanton_batter': {'Salary': 5300.0, 'projected_FD_points': 3.5625931188726523, 'confidence': -0.019318957326730501, 'FD_Position': 'OF'}, 'Steve Pearce_batter': {'Salary': 2600.0, 'projected_FD_points': 2.5953744321103751, 'confidence': 0.017605367017205498, 'FD_Position': 'OF'}, 'Michael McKenry_batter': {'Salary': 3000.0, 'projected_FD_points': 2.7619140625000003, 'confidence': -0.51613653480052113,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</si>
  <si>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2.7916666666666665, 'confidence': -0.32855012159902697, 'FD_Position': 'OF'}, 'Jacob deGrom_pitcher': {'Salary': 10400.0, 'projected_FD_points': 14.993918031294825, 'confidence': -1.3150666293421018, 'FD_Position': 'P'}}</t>
  </si>
  <si>
    <t>{'Russell Martin_batter': {'Salary': 3000.0, 'projected_FD_points': 2.4810344827586208, 'confidence': -0.12278916403867046, 'FD_Position': 'C'}, 'Neil Walker_batter': {'Salary': 2800.0, 'projected_FD_points': 2.3160613505837886, 'confidence': -0.017033495662392539, 'FD_Position': '2B'}, 'Jose Bautista_batter': {'Salary': 4900.0, 'projected_FD_points': 3.4245927687570425, 'confidence': -0.051154707155253609, 'FD_Position': 'OF'}, 'David Hale_pitcher': {'Salary': 5900.0, 'projected_FD_points': 16.875500401644928, 'confidence': 0, 'FD_Position': 'P'}, 'Maikel Franco_batter': {'Salary': 2900.0, 'projected_FD_points': 2.6891987466427927, 'confidence': -2.3852035236623728, 'FD_Position': '3B'}, 'Troy Tulowitzki_batter': {'Salary': 4800.0, 'projected_FD_points': 3.1966968196357293, 'confidence': 0.082796050015124245, 'FD_Position': 'SS'}, 'Giancarlo Stanton_batter': {'Salary': 4900.0, 'projected_FD_points': 3.5813177269487881, 'confidence': -0.074343639728505106, 'FD_Position': 'OF'}, 'Jose Abreu_batter': {'Salary': 3500.0, 'projected_FD_points': 3.0650115898533405, 'confidence': -0.010664927019084391, 'FD_Position': '1B'}, 'Melky Cabrera_batter': {'Salary': 2200.0, 'projected_FD_points': 2.4796335816986166, 'confidence': -0.015309201132348349, 'FD_Position': 'OF'}}</t>
  </si>
  <si>
    <t>{'Michael Brantley_batter': {'Salary': 3800.0, 'projected_FD_points': 3.3061298670399566, 'confidence': -0.13677129740142258, 'FD_Position': 'OF'}, 'Joey Gallo_batter': {'Salary': 3200.0, 'projected_FD_points': 4.25, 'confidence': 0, 'FD_Position': '3B'}, 'Mike Foltynewicz_pitcher': {'Salary': 7300.0, 'projected_FD_points': 19.042347588749823, 'confidence': 0, 'FD_Position': 'P'}, 'Robinson Cano_batter': {'Salary': 2300.0, 'projected_FD_points': 2.3144736842105265, 'confidence': -0.0057163155419608369, 'FD_Position': '2B'}, 'Dexter Fowler_batter': {'Salary': 3300.0, 'projected_FD_points': 3.6554755048231073, 'confidence': -0.35933833461556253, 'FD_Position': 'OF'}, 'Troy Tulowitzki_batter': {'Salary': 4700.0, 'projected_FD_points': 3.4350437524333501, 'confidence': -0.54957276287482215, 'FD_Position': 'SS'}, 'Jose Abreu_batter': {'Salary': 3400.0, 'projected_FD_points': 3.0866769916067414, 'confidence': 0.070807082110356578, 'FD_Position': '1B'}, 'Nelson Cruz_batter': {'Salary': 3700.0, 'projected_FD_points': 3.1188036175086946, 'confidence': -0.030914965769921476, 'FD_Position': 'OF'}, 'Matt Wieters_batter': {'Salary': 3100.0, 'projected_FD_points': 2.998759329839606, 'confidence': -0.38900492971865375, 'FD_Position': 'C'}}</t>
  </si>
  <si>
    <t>{'Joey Gallo_batter': {'Salary': 3200.0, 'projected_FD_points': 3.9583333333333335, 'confidence': 0, 'FD_Position': '3B'}, 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'Carlos Correa_batter': {'Salary': 2700.0, 'projected_FD_points': 8.5, 'confidence': 0, 'FD_Position': 'SS'},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14.234633502051651, 'confidence': -0.20347754336362378, 'FD_Position': 'P'}, 'Jose Abreu_batter': {'Salary': 3400.0, 'projected_FD_points': 3.1611497433685152, 'confidence': 0.077643526579746491, 'FD_Position': '1B'}, 'Michael Cuddyer_batter': {'Salary': 2600.0, 'projected_FD_points': 2.6362853040118104, 'confidence': -0.08878015964310948,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</si>
  <si>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7.8700199027322828, 'confidence': -0.087624026538124511, 'FD_Position': 'P'}, 'Maikel Franco_batter': {'Salary': 3100.0, 'projected_FD_points': 2.9155575179210134, 'confidence': -0.36802948398394175,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2.9991426420489931, 'confidence': -0.12252721102530062, 'FD_Position': '1B'}}</t>
  </si>
  <si>
    <t>{'Anthony Rizzo_batter': {'Salary': 4400.0, 'projected_FD_points': 3.3107344632768361, 'confidence': -0.0029861194505316213, 'FD_Position': '1B'}, 'Chris Rusin_pitcher': {'Salary': 5500.0, 'projected_FD_points': 17.0, 'confidence': 0, 'FD_Position': 'P'}, 'Joey Butler_batter': {'Salary': 3100.0, 'projected_FD_points': 3.0867091416254597, 'confidence': -0.076960745723142043,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'Mike Trout_batter': {'Salary': 5000.0, 'projected_FD_points': 3.3756831288205196, 'confidence': 0.0036720192249868333, 'FD_Position': 'OF'}, 'Troy Tulowitzki_batter': {'Salary': 4500.0, 'projected_FD_points': 3.2354340784775379, 'confidence': 0.038869880743293783, 'FD_Position': 'SS'}, 'Addison Russell_batter': {'Salary': 2400.0, 'projected_FD_points': 2.0743243243243241, 'confidence': -3.851721913272514,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</si>
  <si>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'Anthony Rendon_batter': {'Salary': 3500.0, 'projected_FD_points': 2.8578767123287672, 'confidence': -0.0013556343799054904, 'FD_Position': '3B'}, 'Bryce Harper_batter': {'Salary': 5600.0, 'projected_FD_points': 2.6354083246271234, 'confidence': 0.031317075274333361, 'FD_Position': 'OF'}, 'Dexter Fowler_batter': {'Salary': 3200.0, 'projected_FD_points': 3.7634747202600565, 'confidence': -0.05857344001464182, 'FD_Position': 'OF'}, 'Tanner Roark_pitcher': {'Salary': 5800.0, 'projected_FD_points': 9.2205435653404759, 'confidence': -1.3772477656496243, 'FD_Position': 'P'},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</si>
  <si>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'Jimmy Paredes_batter': {'Salary': 2500.0, 'projected_FD_points': 2.288357472669353, 'confidence': -1.0465952650536505, 'FD_Position': '2B'}, 'Ben Revere_batter': {'Salary': 3000.0, 'projected_FD_points': 2.9249984960103252, 'confidence': -0.11164637981715742, 'FD_Position': 'OF'}, 'Kyle Kubitza_batter': {'Salary': 3000.0, 'projected_FD_points': 3.5, 'confidence': 0, 'FD_Position': '3B'}, 'Anthony Rizzo_batter': {'Salary': 4400.0, 'projected_FD_points': 3.3617387583943747, 'confidence': -0.0085779168486177504, 'FD_Position': '1B'}, 'Josh Phegley_batter': {'Salary': 2400.0, 'projected_FD_points': 3.2029597407028314, 'confidence': 0.0025922570499926634, 'FD_Position': 'C'}, 'Dexter Fowler_batter': {'Salary': 3300.0, 'projected_FD_points': 3.715170186335405, 'confidence': 0.064248037953653081, 'FD_Position': 'OF'}, 'Michael Pineda_pitcher': {'Salary': 9800.0, 'projected_FD_points': 17.168808196258979, 'confidence': -0.39487588335024437, 'FD_Position': 'P'}, 'Carlos Correa_batter': {'Salary': 3000.0, 'projected_FD_points': 4.875, 'confidence': 0, 'FD_Position': 'SS'}}</t>
  </si>
  <si>
    <t>{'Joey Gallo_batter': {'Salary': 3200.0, 'projected_FD_points': 3.6071428571428572, 'confidence': 0, 'FD_Position': '3B'}, 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'Brian Dozier_batter': {'Salary': 3900.0, 'projected_FD_points': 2.9401041666666665, 'confidence': -0.12988362639783602, 'FD_Position': '2B'}, 'Carlos Correa_batter': {'Salary': 3000.0, 'projected_FD_points': 4.875, 'confidence': 0, 'FD_Position': 'SS'}, 'Josh Phegley_batter': {'Salary': 2400.0, 'projected_FD_points': 3.2029597407028314, 'confidence': 0.0025922570499926634, 'FD_Position': 'C'}, 'Michael Pineda_pitcher': {'Salary': 9800.0, 'projected_FD_points': 17.168808196258979, 'confidence': -0.39487588335024437, 'FD_Position': 'P'}, 'Jose Abreu_batter': {'Salary': 3800.0, 'projected_FD_points': 3.1043219984729262, 'confidence': -0.0007489546164538563, 'FD_Position': '1B'}, 'Melky Cabrera_batter': {'Salary': 2200.0, 'projected_FD_points': 2.5104791408248617, 'confidence': -0.10273988788549504, 'FD_Position': 'OF'}}</t>
  </si>
  <si>
    <t>{'Russell Martin_batter': {'Salary': 2900.0, 'projected_FD_points': 2.675695166212984, 'confidence': -0.51243557479168134, 'FD_Position': 'C'}, 'Alex Rodriguez_batter': {'Salary': 3300.0, 'projected_FD_points': 4.0024999999999995, 'confidence': 0, 'FD_Position': '3B'}, 'Devon Travis_batter': {'Salary': 2800.0, 'projected_FD_points': 3.8947368421052628, 'confidence': 0, 'FD_Position': '2B'}, 'Paulo Orlando_batter': {'Salary': 3000.0, 'projected_FD_points': 5.875, 'confidence': 0, 'FD_Position': 'OF'}, 'Mark Canha_batter': {'Salary': 3000.0, 'projected_FD_points': 3.7857142857142856, 'confidence': 0, 'FD_Position': 'OF'}, 'Tim Beckham_batter': {'Salary': 2200.0, 'projected_FD_points': 4.3339031339031342, 'confidence': 0, 'FD_Position': 'SS'}, 'Jimmy Nelson_pitcher': {'Salary': 6800.0, 'projected_FD_points': 13.892271991643485, 'confidence': 0.38522116280817731, 'FD_Position': 'P'}, 'Paul Goldschmidt_batter': {'Salary': 5000.0, 'projected_FD_points': 3.5713921901528014, 'confidence': -1.0979555881651017, 'FD_Position': '1B'}, 'Giancarlo Stanton_batter': {'Salary': 4900.0, 'projected_FD_points': 3.5336820860505074, 'confidence': 0.0077178063578183798,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</si>
  <si>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13.960018117239095, 'confidence': -0.39301191733798468,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</si>
  <si>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{'Sonny Gray_pitcher': {'Salary': 9400.0, 'projected_FD_points': 12.804494724694305, 'confidence': -0.046342789190840561, 'FD_Position': 'P'}, 'Lonnie Chisenhall_batter': {'Salary': 2700.0, 'projected_FD_points': 2.0764925373134329, 'confidence': -0.27337210882085428, 'FD_Position': '3B'}, 'Brian Dozier_batter': {'Salary': 3100.0, 'projected_FD_points': 2.5808876701004095, 'confidence': -1.3379904749324876, 'FD_Position': '2B'}, 'Chris Iannetta_batter': {'Salary': 2500.0, 'projected_FD_points': 2.0352637037184764, 'confidence': -0.05321352032577864, 'FD_Position': 'C'}, 'Paulo Orlando_batter': {'Salary': 3000.0, 'projected_FD_points': 5.875, 'confidence': 0, 'FD_Position': 'OF'}, 'Mark Canha_batter': {'Salary': 3000.0, 'projected_FD_points': 3.7857142857142856, 'confidence': 0, 'FD_Position': 'OF'}, 'Matt Holliday_batter': {'Salary': 3500.0, 'projected_FD_points': 2.7662460440052064, 'confidence': -0.036724846980556558, 'FD_Position': 'OF'}, 'Daniel Santana_batter': {'Salary': 3300.0, 'projected_FD_points': 3.0014999527867872, 'confidence': -0.12606377995427187, 'FD_Position': 'SS'}, 'Joey Votto_batter': {'Salary': 4300.0, 'projected_FD_points': 3.0758764074314318, 'confidence': -1.9967058444925438, 'FD_Position': '1B'}}</t>
  </si>
  <si>
    <t>{'Robinson Chirinos_batter': {'Salary': 2600.0, 'projected_FD_points': 2.1863496137563283, 'confidence': -0.069977598272911168, 'FD_Position': 'C'}, 'Alex Rodriguez_batter': {'Salary': 3300.0, 'projected_FD_points': 4.4755172413793112, 'confidence': 0, 'FD_Position': '3B'}, 'Paulo Orlando_batter': {'Salary': 3000.0, 'projected_FD_points': 5.333333333333333, 'confidence': 0, 'FD_Position': 'OF'}, 'Prince Fielder_batter': {'Salary': 3600.0, 'projected_FD_points': 3.2213389726000994, 'confidence': -0.29787656199334012, 'FD_Position': '1B'}, 'Chris Heston_pitcher': {'Salary': 5000.0, 'projected_FD_points': 13.766894826607526, 'confidence': 0, 'FD_Position': 'P'}, 'Mike Trout_batter': {'Salary': 5700.0, 'projected_FD_points': 3.4227087211219485, 'confidence': 0.051427745375531742, 'FD_Position': 'OF'}, 'Troy Tulowitzki_batter': {'Salary': 4800.0, 'projected_FD_points': 3.3661993012655889, 'confidence': -0.43418475588217942, 'FD_Position': 'SS'}, 'Michael Cuddyer_batter': {'Salary': 3300.0, 'projected_FD_points': 2.9378501130985417, 'confidence': -0.27124040685632322, 'FD_Position': 'OF'}, 'Ben Zobrist_batter': {'Salary': 3700.0, 'projected_FD_points': 2.4589285714285714, 'confidence': -0.11335757678200697, 'FD_Position': '2B'}}</t>
  </si>
  <si>
    <t>{'Kris Bryant_batter': {'Salary': 3500.0, 'projected_FD_points': 5.75, 'confidence': 0, 'FD_Position': '3B'}, 'Eddie Butler_pitcher': {'Salary': 6700.0, 'projected_FD_points': 14.674224639754112, 'confidence': 0, 'FD_Position': 'P'}, 'Mark Canha_batter': {'Salary': 2900.0, 'projected_FD_points': 4.6500000000000021, 'confidence': 0, 'FD_Position': 'OF'}, 'Paul Goldschmidt_batter': {'Salary': 5200.0, 'projected_FD_points': 3.5949074074074074, 'confidence': -0.11833874093524388, 'FD_Position': '1B'}, 'Josh Phegley_batter': {'Salary': 2200.0, 'projected_FD_points': 3.7038272562710111, 'confidence': 0.17816047098921683, 'FD_Position': 'C'}, 'Dexter Fowler_batter': {'Salary': 3800.0, 'projected_FD_points': 3.346514801124898, 'confidence': 0.10170299359759583, 'FD_Position': 'OF'}, 'Devon Travis_batter': {'Salary': 2800.0, 'projected_FD_points': 3.6749999999999998, 'confidence': -1.2269822485207098, 'FD_Position': '2B'}, 'Jose Iglesias_batter': {'Salary': 3000.0, 'projected_FD_points': 3.0833333333333335, 'confidence': 0.0, 'FD_Position': 'SS'}, 'Andrew McCutchen_batter': {'Salary': 4600.0, 'projected_FD_points': 3.3456615501080749, 'confidence': -0.014600931836257436, 'FD_Position': 'OF'}}</t>
  </si>
  <si>
    <t>{'Mark Canha_batter': {'Salary': 2900.0, 'projected_FD_points': 4.6500000000000021, 'confidence': 0, 'FD_Position': 'OF'}, 'Kris Bryant_batter': {'Salary': 3500.0, 'projected_FD_points': 5.75, 'confidence': 0, 'FD_Position': '3B'}, 'Devon Travis_batter': {'Salary': 2800.0, 'projected_FD_points': 3.6749999999999998, 'confidence': -1.2269822485207098, 'FD_Position': '2B'}, 'Paulo Orlando_batter': {'Salary': 3000.0, 'projected_FD_points': 3.0625, 'confidence': 0, 'FD_Position': 'OF'}, 'Matt Harvey_pitcher': {'Salary': 10500.0, 'projected_FD_points': 15.0, 'confidence': 0, 'FD_Position': 'P'}, 'Josh Phegley_batter': {'Salary': 2200.0, 'projected_FD_points': 3.7038272562710111, 'confidence': 0.17816047098921683, 'FD_Position': 'C'}, 'Dexter Fowler_batter': {'Salary': 3800.0, 'projected_FD_points': 3.346514801124898, 'confidence': 0.10170299359759583, 'FD_Position': 'OF'}, 'Carlos Santana_batter': {'Salary': 3300.0, 'projected_FD_points': 2.7517241379310344, 'confidence': -0.44570811706493774, 'FD_Position': '1B'}, 'Jose Iglesias_batter': {'Salary': 3000.0, 'projected_FD_points': 3.0833333333333335, 'confidence': 0.0, 'FD_Position': 'SS'}}</t>
  </si>
  <si>
    <t>{'Shin-Soo Choo_batter': {'Salary': 2800.0, 'projected_FD_points': 2.156779661016949, 'confidence': -0.63822970285217329, 'FD_Position': 'OF'}, 'Eddie Butler_pitcher': {'Salary': 6700.0, 'projected_FD_points': 14.674224639754112, 'confidence': 0, 'FD_Position': 'P'}, 'Robinson Cano_batter': {'Salary': 3800.0, 'projected_FD_points': 2.6059602649006623, 'confidence': -0.22032479566817065, 'FD_Position': '2B'}, 'Paul Goldschmidt_batter': {'Salary': 5200.0, 'projected_FD_points': 3.5949074074074074, 'confidence': -0.11833874093524388, 'FD_Position': '1B'}, 'Kyle Seager_batter': {'Salary': 3400.0, 'projected_FD_points': 2.7492400637282834, 'confidence': -0.1250419892870378, 'FD_Position': '3B'}, 'A.J. Pollock_batter': {'Salary': 3500.0, 'projected_FD_points': 3.0178707021139162, 'confidence': -1.0764656662895158, 'FD_Position': 'OF'}, 'Austin Jackson_batter': {'Salary': 2500.0, 'projected_FD_points': 1.9392783077561182, 'confidence': -0.069621221765977515, 'FD_Position': 'OF'}, 'Troy Tulowitzki_batter': {'Salary': 4900.0, 'projected_FD_points': 3.2780819769825058, 'confidence': -0.27348627532802872, 'FD_Position': 'SS'}, 'Michael McKenry_batter': {'Salary': 2200.0, 'projected_FD_points': 2.5331159215907491, 'confidence': -0.1857162343037686, 'FD_Position': 'C'}}</t>
  </si>
  <si>
    <t>{'Alex Rodriguez_batter': {'Salary': 3700.0, 'projected_FD_points': 4.5, 'confidence': -0.21777777777777785, 'FD_Position': '3B'}, 'Kendall Graveman_pitcher': {'Salary': 5500.0, 'projected_FD_points': 12.1, 'confidence': 0, 'FD_Position': 'P'}, 'Paulo Orlando_batter': {'Salary': 3000.0, 'projected_FD_points': 3.2999999999999998, 'confidence': 0, 'FD_Position': 'OF'}, 'Mark Canha_batter': {'Salary': 2900.0, 'projected_FD_points': 3.2222222222222223, 'confidence': 0, 'FD_Position': 'OF'}, 'Kris Negron_batter': {'Salary': 2400.0, 'projected_FD_points': 2.2797652806723838, 'confidence': 0.055321537884052474, 'FD_Position': '2B'}, 'Dexter Fowler_batter': {'Salary': 3800.0, 'projected_FD_points': 3.3863775466671724, 'confidence': 0.054106329317821444, 'FD_Position': 'OF'}, 'Troy Tulowitzki_batter': {'Salary': 5300.0, 'projected_FD_points': 3.4097779454020789, 'confidence': 0.06040813968020009, 'FD_Position': 'SS'}, 'Victor Martinez_batter': {'Salary': 3900.0, 'projected_FD_points': 2.9390232555400475, 'confidence': -0.0074758242570680533, 'FD_Position': 'C'}, 'Jose Abreu_batter': {'Salary': 4400.0, 'projected_FD_points': 3.2943506962228151, 'confidence': 0.019663225034470377, 'FD_Position': '1B'}}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</si>
  <si>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'Paulo Orlando_batter': {'Salary': 3000.0, 'projected_FD_points': 3.2999999999999998, 'confidence': 0, 'FD_Position': 'OF'}, 'Mike Moustakas_batter': {'Salary': 3100.0, 'projected_FD_points': 2.3880939030581105, 'confidence': 0.016311130076559377, 'FD_Position': '3B'}, 'Jorge De La Rosa_pitcher': {'Salary': 6800.0, 'projected_FD_points': 12.081393026763731, 'confidence': -0.40814636521548997, 'FD_Position': 'P'}, 'Kurt Suzuki_batter': {'Salary': 2600.0, 'projected_FD_points': 1.7756503682808338, 'confidence': -0.13280760980038409, 'FD_Position': 'C'}, 'Troy Tulowitzki_batter': {'Salary': 5300.0, 'projected_FD_points': 3.4097779454020789, 'confidence': 0.06040813968020009,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</si>
  <si>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{'Anthony Rizzo_batter': {'Salary': 4300.0, 'projected_FD_points': 3.2125767287190001, 'confidence': -0.073463645553391688, 'FD_Position': '1B'}, 'Alex Rodriguez_batter': {'Salary': 3800.0, 'projected_FD_points': 4.6066666666666674, 'confidence': -2.5490858729548473, 'FD_Position': '3B'}, 'Brian Dozier_batter': {'Salary': 3000.0, 'projected_FD_points': 2.6512590065374675, 'confidence': -0.0014185229899614793, 'FD_Position': '2B'}, 'Paulo Orlando_batter': {'Salary': 3000.0, 'projected_FD_points': 2.9583333333333335, 'confidence': 0, 'FD_Position': 'OF'}, 'Tim Beckham_batter': {'Salary': 2300.0, 'projected_FD_points': 2.5, 'confidence': 0.0, 'FD_Position': 'SS'}, 'Josh Phegley_batter': {'Salary': 2200.0, 'projected_FD_points': 3.3743899782135083, 'confidence': -2.9195123661358973, 'FD_Position': 'C'}, 'Dexter Fowler_batter': {'Salary': 3800.0, 'projected_FD_points': 3.6966882337849114, 'confidence': -0.24920666374843536, 'FD_Position': 'OF'}, 'Michael Cuddyer_batter': {'Salary': 3400.0, 'projected_FD_points': 3.0206837371923116, 'confidence': 0.026567031841875033, 'FD_Position': 'OF'}, 'Collin McHugh_pitcher': {'Salary': 8900.0, 'projected_FD_points': 13.736504979954464, 'confidence': -0.4011983081576036, 'FD_Position': 'P'}}</t>
  </si>
  <si>
    <t>{'Michael Brantley_batter': {'Salary': 3800.0, 'projected_FD_points': 2.9906267238418387, 'confidence': 0.0017408280482074101, 'FD_Position': 'OF'}, 'Paulo Orlando_batter': {'Salary': 3000.0, 'projected_FD_points': 2.9583333333333335,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3.2986090360503253, 'confidence': -0.17581680589029847, 'FD_Position': 'SS'}, 'Jose Abreu_batter': {'Salary': 4400.0, 'projected_FD_points': 3.0833333333333335, 'confidence': -0.13929001643525596, 'FD_Position': '1B'}, 'Tyler Matzek_pitcher': {'Salary': 6100.0, 'projected_FD_points': 9.8488173736586582, 'confidence': -1.5353124797040669, 'FD_Position': 'P'}}</t>
  </si>
  <si>
    <t>{'Jimmy Paredes_batter': {'Salary': 3200.0, 'projected_FD_points': 2.9802183866768419, 'confidence': 0.33327036074981464, 'FD_Position': '2B'}, 'Trevor Plouffe_batter': {'Salary': 2500.0, 'projected_FD_points': 2.3677117717049208, 'confidence': -0.36948818633045866, 'FD_Position': '3B'}, 'Todd Cunningham_batter': {'Salary': 2200.0, 'projected_FD_points': 4.666666666666667, 'confidence': 0, 'FD_Position': 'OF'}, 'Josh Phegley_batter': {'Salary': 2400.0, 'projected_FD_points': 3.0303048239123997, 'confidence': 0.34542681800368125, 'FD_Position': 'C'},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3.2973900235842608, 'confidence': -0.4346474368889548, 'FD_Position': 'SS'}, 'Giancarlo Stanton_batter': {'Salary': 4500.0, 'projected_FD_points': 3.6196969696969696, 'confidence': -0.17407760788149984, 'FD_Position': 'OF'}, 'Tyson Ross_pitcher': {'Salary': 8900.0, 'projected_FD_points': 13.893144450024627, 'confidence': -0.063043110266889357, 'FD_Position': 'P'}}</t>
  </si>
  <si>
    <t>{'Jimmy Paredes_batter': {'Salary': 3200.0, 'projected_FD_points': 2.9802183866768419, 'confidence': 0.33327036074981464, 'FD_Position': '2B'}, 'Trevor Plouffe_batter': {'Salary': 2500.0, 'projected_FD_points': 2.3677117717049208, 'confidence': -0.36948818633045866, 'FD_Position': '3B'}, 'Devin Mesoraco_batter': {'Salary': 2200.0, 'projected_FD_points': 2.4619477560901206, 'confidence': -0.12451843401328055, 'FD_Position': 'C'}, 'Todd Cunningham_batter': {'Salary': 2200.0, 'projected_FD_points': 4.666666666666667, 'confidence': 0, 'FD_Position': 'OF'},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3.2973900235842608, 'confidence': -0.4346474368889548, 'FD_Position': 'SS'}, 'Giancarlo Stanton_batter': {'Salary': 4500.0, 'projected_FD_points': 3.6196969696969696, 'confidence': -0.17407760788149984, 'FD_Position': 'OF'}, 'Tyson Ross_pitcher': {'Salary': 8900.0, 'projected_FD_points': 13.893144450024627, 'confidence': -0.063043110266889357, 'FD_Position': 'P'}}</t>
  </si>
  <si>
    <t>{'Carlos Corporan_batter': {'Salary': 2200.0, 'projected_FD_points': 2.0684602204877032, 'confidence': -0.12304416598982093, 'FD_Position': 'C'}, 'Lucas Duda_batter': {'Salary': 3100.0, 'projected_FD_points': 2.9408406499054922, 'confidence': -0.083260580777638094, 'FD_Position': '1B'}, 'Maikel Franco_batter': {'Salary': 2700.0, 'projected_FD_points': 2.7264821822768837, 'confidence': -7.7784005385848012, 'FD_Position': '3B'}, 'Dexter Fowler_batter': {'Salary': 3500.0, 'projected_FD_points': 3.6582098444199214, 'confidence': -0.059467503704932811, 'FD_Position': 'OF'}, 'Danny Salazar_pitcher': {'Salary': 8900.0, 'projected_FD_points': 14.625225760369119, 'confidence': -0.39549487557571972, 'FD_Position': 'P'}, 'Troy Tulowitzki_batter': {'Salary': 4500.0, 'projected_FD_points': 3.2598201598137164, 'confidence': -0.22072239297159291, 'FD_Position': 'SS'},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2.6360759493670884, 'confidence': -0.0013480071110842928, 'FD_Position': 'OF'}}</t>
  </si>
  <si>
    <t>{'Yoenis Cespedes_batter': {'Salary': 2700.0, 'projected_FD_points': 2.7601156069364161, 'confidence': -1.3249681831014599, 'FD_Position': 'OF'}, 'Madison Bumgarner_pitcher': {'Salary': 10100.0, 'projected_FD_points': 14.906681407437542, 'confidence': -0.107793863387319, 'FD_Position': 'P'}, 'Lucas Duda_batter': {'Salary': 3100.0, 'projected_FD_points': 2.9408406499054922, 'confidence': -0.083260580777638094, 'FD_Position': '1B'}, 'Maikel Franco_batter': {'Salary': 2700.0, 'projected_FD_points': 2.7264821822768837, 'confidence': -7.7784005385848012, 'FD_Position': '3B'}, 'Buster Posey_batter': {'Salary': 3700.0, 'projected_FD_points': 2.4354395604395602, 'confidence': -0.03678786307636317, 'FD_Position': 'C'}, 'Christian Yelich_batter': {'Salary': 2700.0, 'projected_FD_points': 2.4664429530201342, 'confidence': -0.036517751141142307, 'FD_Position': 'OF'}, 'Troy Tulowitzki_batter': {'Salary': 4500.0, 'projected_FD_points': 3.2598201598137164, 'confidence': -0.22072239297159291, 'FD_Position': 'SS'}, 'Michael Cuddyer_batter': {'Salary': 2400.0, 'projected_FD_points': 2.6360759493670884, 'confidence': -0.0013480071110842928, 'FD_Position': 'OF'}, 'Chase Utley_batter': {'Salary': 3100.0, 'projected_FD_points': 2.7554378244605706, 'confidence': -0.12128945055516649, 'FD_Position': '2B'}}</t>
  </si>
  <si>
    <t>{'Odubel Herrera_batter': {'Salary': 3000.0, 'projected_FD_points': 2.2825045759609512, 'confidence': -4.000810022176549, 'FD_Position': 'OF'}, 'Madison Bumgarner_pitcher': {'Salary': 10100.0, 'projected_FD_points': 14.906681407437542, 'confidence': -0.107793863387319, 'FD_Position': 'P'}, 'Hunter Pence_batter': {'Salary': 3400.0, 'projected_FD_points': 2.6021341463414633, 'confidence': -0.018739236838886786, 'FD_Position': 'OF'}, 'Charlie Blackmon_batter': {'Salary': 3800.0, 'projected_FD_points': 2.5219298245614037, 'confidence': -0.023319982808913675,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'Troy Tulowitzki_batter': {'Salary': 4500.0, 'projected_FD_points': 3.2598201598137164, 'confidence': -0.22072239297159291,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</si>
  <si>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'Kris Bryant_batter': {'Salary': 4000.0, 'projected_FD_points': 2.9631668816877892, 'confidence': -0.12608516257462821, 'FD_Position': '3B'}, 'Melky Cabrera_batter': {'Salary': 2500.0, 'projected_FD_points': 2.5806962025316458, 'confidence': -0.8257334039277433, 'FD_Position': 'OF'}, 'Chris Iannetta_batter': {'Salary': 2700.0, 'projected_FD_points': 2.2922445297682383, 'confidence': 0.069544214327730836, 'FD_Position': 'C'}, 'Dexter Fowler_batter': {'Salary': 3500.0, 'projected_FD_points': 3.6582098444199214, 'confidence': -0.059467503704932811, 'FD_Position': 'OF'}, 'Danny Salazar_pitcher': {'Salary': 8900.0, 'projected_FD_points': 14.625225760369119, 'confidence': -0.39549487557571972, 'FD_Position': 'P'}, 'Jose Abreu_batter': {'Salary': 3600.0, 'projected_FD_points': 3.302279057311194, 'confidence': -0.034896960255680787, 'FD_Position': '1B'},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</si>
  <si>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3.6103392758972745, 'confidence': -1.4695256848538296, 'FD_Position': '3B'}, 'Russell Martin_batter': {'Salary': 3500.0, 'projected_FD_points': 2.7509503283125087, 'confidence': -0.017393206478565792, 'FD_Position': 'C'}, 'Todd Cunningham_batter': {'Salary': 2200.0, 'projected_FD_points': 3.2999999999999998, 'confidence': 0, 'FD_Position': 'OF'}, 'Miguel Cabrera_batter': {'Salary': 5100.0, 'projected_FD_points': 3.7773862109690275, 'confidence': -0.072913810375381027, 'FD_Position': '1B'}, 'Noah Syndergaard_pitcher': {'Salary': 7700.0, 'projected_FD_points': 14.0, 'confidence': 0, 'FD_Position': 'P'}, 'Dexter Fowler_batter': {'Salary': 3600.0, 'projected_FD_points': 3.6021932126192793, 'confidence': -0.022073734589829197, 'FD_Position': 'OF'}, 'Brandon Crawford_batter': {'Salary': 3400.0, 'projected_FD_points': 2.6146156873104713, 'confidence': -0.36548255208826341, 'FD_Position': 'SS'}, 'Chase Utley_batter': {'Salary': 2900.0, 'projected_FD_points': 2.8282414904537063, 'confidence': -0.15566691848098002, 'FD_Position': '2B'}, 'Michael Cuddyer_batter': {'Salary': 2300.0, 'projected_FD_points': 2.7033431775581236, 'confidence': -0.30879404837646196, 'FD_Position': 'OF'}}</t>
  </si>
  <si>
    <t>{'Brian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2.6863636363636365, 'confidence': -0.026261104927265855, 'FD_Position': 'OF'}, 'Matt Holliday_batter': {'Salary': 3500.0, 'projected_FD_points': 2.6895604395604398, 'confidence': -0.0040542450781639872,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'Lance Lynn_pitcher': {'Salary': 8800.0, 'projected_FD_points': 12.11889202137481, 'confidence': -0.11528593297989276, 'FD_Position': 'P'}, 'Alexei Ramirez_batter': {'Salary': 2300.0, 'projected_FD_points': 2.0980113636363638, 'confidence': -0.0061572945303354221,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</si>
  <si>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'Anthony Rizzo_batter': {'Salary': 4200.0, 'projected_FD_points': 3.2778264806975899, 'confidence': -0.0011089647205857478, 'FD_Position': '1B'}, 'Hunter Pence_batter': {'Salary': 3300.0, 'projected_FD_points': 2.7590361445783134, 'confidence': -0.17005532475266372, 'FD_Position': 'OF'}, 'David Hale_pitcher': {'Salary': 5900.0, 'projected_FD_points': 49.927577886842222, 'confidence': 0, 'FD_Position': 'P'}, 'Dexter Fowler_batter': {'Salary': 3600.0, 'projected_FD_points': 3.5949415813784986, 'confidence': -0.24844347591054272, 'FD_Position': 'OF'}, 'Brock Holt_batter': {'Salary': 2200.0, 'projected_FD_points': 2.2416666666666667, 'confidence': -0.37989038128821795, 'FD_Position': '3B'}, 'Troy Tulowitzki_batter': {'Salary': 4500.0, 'projected_FD_points': 3.1738312986515798, 'confidence': -0.1539980328134074, 'FD_Position': 'SS'},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</si>
  <si>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{'Kris Bryant_batter': {'Salary': 4100.0, 'projected_FD_points': 2.7916188398235553, 'confidence': -0.56295236265249615, 'FD_Position': '3B'}, 'Matt Kemp_batter': {'Salary': 2500.0, 'projected_FD_points': 2.4781052584975352, 'confidence': -0.10055350597700774, 'FD_Position': 'OF'}, 'David Hale_pitcher': {'Salary': 5900.0, 'projected_FD_points': 49.927577886842222, 'confidence': 0, 'FD_Position': 'P'}, 'Justin Turner_batter': {'Salary': 2600.0, 'projected_FD_points': 2.125, 'confidence': -0.29648652865910763, 'FD_Position': '2B'}, 'A.J. Pollock_batter': {'Salary': 4000.0, 'projected_FD_points': 2.8892617225731829, 'confidence': 0.03963269173581041, 'FD_Position': 'OF'},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'Troy Tulowitzki_batter': {'Salary': 4500.0, 'projected_FD_points': 3.1738312986515798, 'confidence': -0.1539980328134074, 'FD_Position': 'SS'},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</si>
  <si>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14.840238342897337, 'confidence': -0.0058622346387244839, 'FD_Position': 'P'}}</t>
  </si>
  <si>
    <t>{'Kris Bryant_batter': {'Salary': 4000.0, 'projected_FD_points': 3.6573947822925192, 'confidence': -1.2921509361086323, 'FD_Position': '3B'}, 'Jimmy Paredes_batter': {'Salary': 3300.0, 'projected_FD_points': 3.1450025523226133, 'confidence': -5.5781434883138159, 'FD_Position': '2B'}, 'Anthony Rizzo_batter': {'Salary': 4100.0, 'projected_FD_points': 3.2730061349693251, 'confidence': -0.021080251484686396, 'FD_Position': '1B'}, 'Russell Martin_batter': {'Salary': 3400.0, 'projected_FD_points': 2.7624383599362528, 'confidence': -0.076424894834600021, 'FD_Position': 'C'}, 'Dexter Fowler_batter': {'Salary': 3800.0, 'projected_FD_points': 3.3472643952472838, 'confidence': -0.10184753802554503, 'FD_Position': 'OF'}, 'Troy Tulowitzki_batter': {'Salary': 4400.0, 'projected_FD_points': 3.0257330153340343, 'confidence': 0.091549104058240016, 'FD_Position': 'SS'}, 'Michael Cuddyer_batter': {'Salary': 2300.0, 'projected_FD_points': 2.6866764921239885, 'confidence': -0.12707222669683493, 'FD_Position': 'OF'}, 'Raisel Iglesias_pitcher': {'Salary': 6600.0, 'projected_FD_points': 16.0, 'confidence': 0, 'FD_Position': 'P'}, 'Rusney Castillo_batter': {'Salary': 2900.0, 'projected_FD_points': 3.2999999999999998, 'confidence': 0.0, 'FD_Position': 'OF'}}</t>
  </si>
  <si>
    <t>{'Jimmy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'Maikel Franco_batter': {'Salary': 2600.0, 'projected_FD_points': 2.6939320388349515, 'confidence': -0.21083790064800478, 'FD_Position': '3B'}, 'Mike Trout_batter': {'Salary': 5400.0, 'projected_FD_points': 3.5157727377112069, 'confidence': 0.00019225769352160249, 'FD_Position': 'OF'}, 'Giancarlo Stanton_batter': {'Salary': 4400.0, 'projected_FD_points': 3.4378698224852071, 'confidence': -0.0048658100534997306, 'FD_Position': 'OF'}, 'Raisel Iglesias_pitcher': {'Salary': 6600.0, 'projected_FD_points': 16.0, 'confidence': 0, 'FD_Position': 'P'}, 'Jose Abreu_batter': {'Salary': 3300.0, 'projected_FD_points': 3.0502598569726875, 'confidence': 0.018736168889773586, 'FD_Position': '1B'}, 'Rusney Castillo_batter': {'Salary': 2900.0, 'projected_FD_points': 3.2999999999999998, 'confidence': 0.0, 'FD_Position': 'OF'}}</t>
  </si>
  <si>
    <t>{'Kris Bryant_batter': {'Salary': 4000.0, 'projected_FD_points': 3.6573947822925192, 'confidence': -1.2921509361086323,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2.6116071428571428, 'confidence': -0.013755636027335871, 'FD_Position': 'OF'}, 'Howie Kendrick_batter': {'Salary': 3000.0, 'projected_FD_points': 2.0853634035512347, 'confidence': 0.026031745587140054, 'FD_Position': '2B'}, 'James Shields_pitcher': {'Salary': 9200.0, 'projected_FD_points': 13.270423190559763, 'confidence': -0.77841847565795641,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</si>
  <si>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{'Joe Kelly_pitcher': {'Salary': 7100.0, 'projected_FD_points': 14.726283262619628, 'confidence': -3.6922947388424561, 'FD_Position': 'P'}, 'Kris Bryant_batter': {'Salary': 3800.0, 'projected_FD_points': 3.4375, 'confidence': 0, 'FD_Position': '3B'}, 'Odubel Herrera_batter': {'Salary': 3000.0, 'projected_FD_points': 3.8538461538461535, 'confidence': 0.94067500659575265, 'FD_Position': 'OF'}, 'Brian Dozier_batter': {'Salary': 3000.0, 'projected_FD_points': 2.5172574944820556, 'confidence': -0.019577417694552679, 'FD_Position': '2B'}, 'Kevin Plawecki_batter': {'Salary': 2500.0, 'projected_FD_points': 3.5, 'confidence': 0, 'FD_Position': 'C'}, 'Paulo Orlando_batter': {'Salary': 3000.0, 'projected_FD_points': 3.0361111111111105, 'confidence': 0, 'FD_Position': 'OF'}, 'Prince Fielder_batter': {'Salary': 3600.0, 'projected_FD_points': 3.0693729807347134, 'confidence': -0.1350162950515037, 'FD_Position': '1B'}, 'Dexter Fowler_batter': {'Salary': 3700.0, 'projected_FD_points': 3.5280036055808117, 'confidence': -0.042805406224515341, 'FD_Position': 'OF'}, 'Troy Tulowitzki_batter': {'Salary': 5300.0, 'projected_FD_points': 3.4084308893589146, 'confidence': 0.038285983666291767, 'FD_Position': 'SS'}}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</si>
  <si>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14.57513015548593, 'confidence': 0.11778345921357281,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</si>
  <si>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15.154005015623294, 'confidence': -0.41169409592199435, 'FD_Position': 'P'}, 'Paulo Orlando_batter': {'Salary': 3000.0, 'projected_FD_points': 3.0361111111111105,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3.4084308893589146, 'confidence': 0.038285983666291767, 'FD_Position': 'SS'}, 'Michael McKenry_batter': {'Salary': 2200.0, 'projected_FD_points': 2.069751148186334, 'confidence': 0.012069334563028278, 'FD_Position': 'C'}}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</si>
  <si>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3.0293342142152313, 'confidence': -0.12812382011703582,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13.73296848554631, 'confidence': 0.22573880616724451,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</si>
  <si>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'Marcus Semien_batter': {'Salary': 2900.0, 'projected_FD_points': 2.3039459093451615, 'confidence': -0.036471013133754449, 'FD_Position': 'SS'}, 'Brett Lawrie_batter': {'Salary': 2700.0, 'projected_FD_points': 2.1883720477233988, 'confidence': -1.3348110938835092, 'FD_Position': '3B'}, 'Dalton Pompey_batter': {'Salary': 3200.0, 'projected_FD_points': 2.5268885482811472, 'confidence': 0.064125562054843432, 'FD_Position': 'OF'}, 'Jose Abreu_batter': {'Salary': 4400.0, 'projected_FD_points': 3.4488313710663205, 'confidence': -0.16303448537750054, 'FD_Position': '1B'}, 'Chris Sale_pitcher': {'Salary': 10200.0, 'projected_FD_points': 16.148103693290413, 'confidence': 0.047610773477567592, 'FD_Position': 'P'}}</t>
  </si>
  <si>
    <t>{'Kris Bryant_batter': {'Salary': 3900.0, 'projected_FD_points': 4.458333333333333, 'confidence': 0, 'FD_Position': '3B'}, 'J.D. Martinez_batter': {'Salary': 3900.0, 'projected_FD_points': 3.3224256908219938, 'confidence': -0.099058708345657331, 'FD_Position': 'OF'}, 'David Ortiz_batter': {'Salary': 3600.0, 'projected_FD_points': 2.8409603181715379, 'confidence': -0.029967535831445957, 'FD_Position': '1B'}, 'Paulo Orlando_batter': {'Salary': 3000.0, 'projected_FD_points': 3.1505813953488371,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13.697745026188258, 'confidence': -5.5144697095763, 'FD_Position': 'P'}}</t>
  </si>
  <si>
    <t>{'Albert Pujols_batter': {'Salary': 3500.0, 'projected_FD_points': 2.7084602644481124, 'confidence': -0.1267194334365338, 'FD_Position': '1B'}, 'Scott Kazmir_pitcher': {'Salary': 9100.0, 'projected_FD_points': 13.745006845656466, 'confidence': -0.35535987936939151, 'FD_Position': 'P'}, 'Neil Walker_batter': {'Salary': 3100.0, 'projected_FD_points': 2.5090579710144927, 'confidence': -0.057805239273045261, 'FD_Position': '2B'},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'3B'}, 'Chris Carter_batter': {'Salary': 2700.0, 'projected_FD_points': 2.3041958041958042, 'confidence': -0.018886617356916657, 'FD_Position': 'OF'}, 'Andrew McCutchen_batter': {'Salary': 4300.0, 'projected_FD_points': 3.2755686128345123, 'confidence': -0.0025936669541641866, 'FD_Position': 'OF'}}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</si>
  <si>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'Eddie Butler_pitcher': {'Salary': 6600.0, 'projected_FD_points': 11.573540462969934, 'confidence': 0, 'FD_Position': 'P'}, 'Paulo Orlando_batter': {'Salary': 3000.0, 'projected_FD_points': 3.1505813953488371, 'confidence': 0, 'FD_Position': 'OF'}, 'Matt Holliday_batter': {'Salary': 3500.0, 'projected_FD_points': 2.6836575430245335, 'confidence': -0.012482885682699507,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Carpenter_batter': {'Salary': 4400.0, 'projected_FD_points': 2.7966836547319534, 'confidence': -0.38079235506785425, 'FD_Position': '3B'}}</t>
  </si>
  <si>
    <t>{'Justin Upton_batter': {'Salary': 3500.0, 'projected_FD_points': 2.7625688843244327, 'confidence': -0.079130044403609157, 'FD_Position': 'OF'}, 'Jimmy Paredes_batter': {'Salary': 2600.0, 'projected_FD_points': 2.5185114503816788, 'confidence': 0.070241246422027559, 'FD_Position': '2B'}, 'David Ortiz_batter': {'Salary': 3200.0, 'projected_FD_points': 2.961267605633803, 'confidence': -0.075250429068267621, 'FD_Position': '1B'}, 'Brandon McCarthy_pitcher': {'Salary': 7800.0, 'projected_FD_points': 13.063964802352098, 'confidence': -0.25580329931486112, 'FD_Position': 'P'}, 'Matt Holliday_batter': {'Salary': 3200.0, 'projected_FD_points': 2.7515432098765431, 'confidence': -0.30903397083141115, 'FD_Position': 'OF'},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'Troy Tulowitzki_batter': {'Salary': 4700.0, 'projected_FD_points': 3.0931936807912095, 'confidence': -0.083265959655961064, 'FD_Position': 'SS'}, 'Andrew McCutchen_batter': {'Salary': 4100.0, 'projected_FD_points': 3.1407583469070572, 'confidence': -0.08285666193423058, 'FD_Position': 'OF'}}</t>
  </si>
  <si>
    <t>{'Matt Harvey_pitcher': {'Salary': 10100.0, 'projected_FD_points': 14.826321133208205, 'confidence': 0,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'Jayson Werth_batter': {'Salary': 2900.0, 'projected_FD_points': 2.7200989302303222, 'confidence': -0.1336130376760678, 'FD_Position': 'OF'}, 'Jose Altuve_batter': {'Salary': 3800.0, 'projected_FD_points': 2.5315314264753166, 'confidence': 0.026229737697856192, 'FD_Position': '2B'}, 'Marcell Ozuna_batter': {'Salary': 2900.0, 'projected_FD_points': 2.4478419348371858, 'confidence': 0.021611383495103276, 'FD_Position': 'OF'}, 'Michael Cuddyer_batter': {'Salary': 3000.0, 'projected_FD_points': 2.7172510734001225, 'confidence': 0.0045003747729499555, 'FD_Position': 'OF'}, 'Asdrubal Cabrera_batter': {'Salary': 2200.0, 'projected_FD_points': 2.0226187955666841, 'confidence': 0.0030919526694288546, 'FD_Position': 'SS'}, 'Jason Castro_batter': {'Salary': 2200.0, 'projected_FD_points': 2.1598980421748393, 'confidence': -0.19380698536219798, 'FD_Position': 'C'}}</t>
  </si>
  <si>
    <t>{'Kris Bryant_batter': {'Salary': 3600.0, 'projected_FD_points': 4.4642857142857144, 'confidence': 0, 'FD_Position': '3B'}, 'Anthony Rizzo_batter': {'Salary': 4200.0, 'projected_FD_points': 3.3257664497895165, 'confidence': -0.084915883005421966, 'FD_Position': '1B'}, 'Kevin Plawecki_batter': {'Salary': 2200.0, 'projected_FD_points': 4.083333333333333, 'confidence': 0, 'FD_Position': 'C'}, 'Devon Travis_batter': {'Salary': 3300.0, 'projected_FD_points': 6.9090860786397457, 'confidence': 0.98604904992372522, 'FD_Position': '2B'}, 'Paulo Orlando_batter': {'Salary': 3000.0, 'projected_FD_points': 3.0935483870967744, 'confidence': 0.1108975242202116, 'FD_Position': 'OF'}, 'Michael Saunders_batter': {'Salary': 2700.0, 'projected_FD_points': 2.9604695288430234, 'confidence': -0.21093320104738544,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13.859610188258053, 'confidence': 0.37315278232283333, 'FD_Position': 'P'}}</t>
  </si>
  <si>
    <t>{'Kevin Plawecki_batter': {'Salary': 2200.0, 'projected_FD_points': 4.083333333333333, 'confidence': 0, 'FD_Position': 'C'}, 'Robinson Cano_batter': {'Salary': 3700.0, 'projected_FD_points': 2.6517500545775698, 'confidence': 0.003473941048712903, 'FD_Position': '2B'}, 'Francisco Liriano_pitcher': {'Salary': 8000.0, 'projected_FD_points': 12.073015097340761, 'confidence': -2.1835650126189066, 'FD_Position': 'P'}, 'Paul Goldschmidt_batter': {'Salary': 4700.0, 'projected_FD_points': 3.2866340388216053, 'confidence': -0.04425472986841239, 'FD_Position': '1B'}, 'A.J. Pollock_batter': {'Salary': 3100.0, 'projected_FD_points': 2.9232268640505255, 'confidence': -0.66926123205754173, 'FD_Position': 'OF'},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'Andrew McCutchen_batter': {'Salary': 4000.0, 'projected_FD_points': 3.1499283996937644, 'confidence': -0.029691295130338968, 'FD_Position': 'OF'}}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</si>
</sst>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77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4" fontId="0" fillId="0" borderId="0" xfId="0" applyNumberFormat="1" applyAlignment="1">
      <alignment vertical="top" wrapText="1"/>
    </xf>
    <xf numFmtId="0" fontId="10" fillId="0" borderId="0" xfId="0" applyFont="1" applyAlignment="1">
      <alignment vertical="top" wrapText="1"/>
    </xf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4" fontId="10" fillId="0" borderId="0" xfId="0" applyNumberFormat="1" applyFont="1" applyAlignment="1">
      <alignment vertical="top" wrapText="1"/>
    </xf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24" fillId="0" borderId="0" xfId="1" applyFont="1"/>
    <xf numFmtId="0" fontId="24" fillId="0" borderId="0" xfId="0" applyFont="1"/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612288"/>
        <c:axId val="219613824"/>
      </c:barChart>
      <c:catAx>
        <c:axId val="219612288"/>
        <c:scaling>
          <c:orientation val="minMax"/>
        </c:scaling>
        <c:delete val="0"/>
        <c:axPos val="b"/>
        <c:majorTickMark val="out"/>
        <c:minorTickMark val="none"/>
        <c:tickLblPos val="nextTo"/>
        <c:crossAx val="219613824"/>
        <c:crosses val="autoZero"/>
        <c:auto val="1"/>
        <c:lblAlgn val="ctr"/>
        <c:lblOffset val="100"/>
        <c:noMultiLvlLbl val="0"/>
      </c:catAx>
      <c:valAx>
        <c:axId val="21961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6122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42112"/>
        <c:axId val="219643904"/>
      </c:areaChart>
      <c:catAx>
        <c:axId val="219642112"/>
        <c:scaling>
          <c:orientation val="minMax"/>
        </c:scaling>
        <c:delete val="0"/>
        <c:axPos val="b"/>
        <c:majorTickMark val="out"/>
        <c:minorTickMark val="none"/>
        <c:tickLblPos val="nextTo"/>
        <c:crossAx val="219643904"/>
        <c:crosses val="autoZero"/>
        <c:auto val="1"/>
        <c:lblAlgn val="ctr"/>
        <c:lblOffset val="100"/>
        <c:noMultiLvlLbl val="0"/>
      </c:catAx>
      <c:valAx>
        <c:axId val="2196439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9642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17856"/>
        <c:axId val="219819392"/>
      </c:scatterChart>
      <c:valAx>
        <c:axId val="219817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9819392"/>
        <c:crosses val="autoZero"/>
        <c:crossBetween val="midCat"/>
      </c:valAx>
      <c:valAx>
        <c:axId val="21981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8178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58432"/>
        <c:axId val="219859968"/>
      </c:scatterChart>
      <c:valAx>
        <c:axId val="219858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9859968"/>
        <c:crosses val="autoZero"/>
        <c:crossBetween val="midCat"/>
      </c:valAx>
      <c:valAx>
        <c:axId val="21985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8584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www.fanduel.com/games/12734/contests/12734-13970098/enter" TargetMode="External"/><Relationship Id="rId1" Type="http://schemas.openxmlformats.org/officeDocument/2006/relationships/hyperlink" Target="https://www.fanduel.com/games/12734/contests/12734-13968718/en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9</v>
      </c>
    </row>
    <row r="4" spans="1:2" x14ac:dyDescent="0.25">
      <c r="A4" t="s">
        <v>1</v>
      </c>
      <c r="B4" t="s">
        <v>3012</v>
      </c>
    </row>
    <row r="5" spans="1:2" x14ac:dyDescent="0.25">
      <c r="A5" t="s">
        <v>2</v>
      </c>
      <c r="B5" t="s">
        <v>3013</v>
      </c>
    </row>
    <row r="6" spans="1:2" x14ac:dyDescent="0.25">
      <c r="A6" t="s">
        <v>5</v>
      </c>
      <c r="B6" t="s">
        <v>2989</v>
      </c>
    </row>
    <row r="7" spans="1:2" x14ac:dyDescent="0.25">
      <c r="A7" t="s">
        <v>6</v>
      </c>
      <c r="B7" t="s">
        <v>2990</v>
      </c>
    </row>
    <row r="8" spans="1:2" x14ac:dyDescent="0.25">
      <c r="A8" t="s">
        <v>7</v>
      </c>
      <c r="B8" t="s">
        <v>2542</v>
      </c>
    </row>
    <row r="9" spans="1:2" x14ac:dyDescent="0.25">
      <c r="A9" t="s">
        <v>8</v>
      </c>
      <c r="B9" t="s">
        <v>2543</v>
      </c>
    </row>
    <row r="10" spans="1:2" x14ac:dyDescent="0.25">
      <c r="A10" t="s">
        <v>9</v>
      </c>
      <c r="B10" t="s">
        <v>749</v>
      </c>
    </row>
    <row r="11" spans="1:2" x14ac:dyDescent="0.25">
      <c r="A11" t="s">
        <v>10</v>
      </c>
      <c r="B11" t="s">
        <v>750</v>
      </c>
    </row>
    <row r="12" spans="1:2" x14ac:dyDescent="0.25">
      <c r="A12" t="s">
        <v>11</v>
      </c>
      <c r="B12" t="s">
        <v>707</v>
      </c>
    </row>
    <row r="13" spans="1:2" x14ac:dyDescent="0.25">
      <c r="A13" t="s">
        <v>12</v>
      </c>
      <c r="B13" t="s">
        <v>708</v>
      </c>
    </row>
    <row r="14" spans="1:2" x14ac:dyDescent="0.25">
      <c r="A14" t="s">
        <v>699</v>
      </c>
      <c r="B14" t="s">
        <v>1459</v>
      </c>
    </row>
    <row r="15" spans="1:2" x14ac:dyDescent="0.25">
      <c r="A15" t="s">
        <v>700</v>
      </c>
      <c r="B15" t="s">
        <v>1506</v>
      </c>
    </row>
    <row r="16" spans="1:2" x14ac:dyDescent="0.25">
      <c r="A16" t="s">
        <v>705</v>
      </c>
      <c r="B16" t="s">
        <v>221</v>
      </c>
    </row>
    <row r="17" spans="1:2" x14ac:dyDescent="0.25">
      <c r="A17" t="s">
        <v>706</v>
      </c>
      <c r="B17" t="s">
        <v>1505</v>
      </c>
    </row>
    <row r="18" spans="1:2" x14ac:dyDescent="0.25">
      <c r="A18" t="s">
        <v>709</v>
      </c>
      <c r="B18" t="s">
        <v>1762</v>
      </c>
    </row>
    <row r="19" spans="1:2" x14ac:dyDescent="0.25">
      <c r="A19" t="s">
        <v>710</v>
      </c>
      <c r="B19" t="s">
        <v>1763</v>
      </c>
    </row>
    <row r="20" spans="1:2" x14ac:dyDescent="0.25">
      <c r="A20" t="s">
        <v>711</v>
      </c>
      <c r="B20" t="s">
        <v>1424</v>
      </c>
    </row>
    <row r="21" spans="1:2" x14ac:dyDescent="0.25">
      <c r="A21" t="s">
        <v>712</v>
      </c>
      <c r="B21" t="s">
        <v>1425</v>
      </c>
    </row>
    <row r="22" spans="1:2" x14ac:dyDescent="0.25">
      <c r="A22" t="s">
        <v>713</v>
      </c>
      <c r="B22" t="s">
        <v>206</v>
      </c>
    </row>
    <row r="23" spans="1:2" x14ac:dyDescent="0.25">
      <c r="A23" t="s">
        <v>714</v>
      </c>
      <c r="B23" t="s">
        <v>207</v>
      </c>
    </row>
    <row r="24" spans="1:2" x14ac:dyDescent="0.25">
      <c r="A24" t="s">
        <v>747</v>
      </c>
      <c r="B24" t="s">
        <v>206</v>
      </c>
    </row>
    <row r="25" spans="1:2" x14ac:dyDescent="0.25">
      <c r="A25" t="s">
        <v>748</v>
      </c>
      <c r="B25" t="s">
        <v>207</v>
      </c>
    </row>
    <row r="26" spans="1:2" x14ac:dyDescent="0.25">
      <c r="A26" t="s">
        <v>751</v>
      </c>
      <c r="B26" t="s">
        <v>206</v>
      </c>
    </row>
    <row r="27" spans="1:2" x14ac:dyDescent="0.25">
      <c r="A27" t="s">
        <v>752</v>
      </c>
      <c r="B27" t="s">
        <v>207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1684</v>
      </c>
      <c r="B32" t="s">
        <v>206</v>
      </c>
    </row>
    <row r="33" spans="1:2" x14ac:dyDescent="0.25">
      <c r="A33" t="s">
        <v>1685</v>
      </c>
      <c r="B33" t="s">
        <v>207</v>
      </c>
    </row>
    <row r="34" spans="1:2" x14ac:dyDescent="0.25">
      <c r="A34" t="s">
        <v>1764</v>
      </c>
      <c r="B34" t="s">
        <v>206</v>
      </c>
    </row>
    <row r="35" spans="1:2" x14ac:dyDescent="0.25">
      <c r="A35" t="s">
        <v>1765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A14" sqref="A1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6" t="s">
        <v>730</v>
      </c>
      <c r="I1" s="76"/>
      <c r="J1" s="76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6" t="s">
        <v>701</v>
      </c>
      <c r="B3" s="76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1754</v>
      </c>
      <c r="B5" s="30"/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3829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1542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1543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1544</v>
      </c>
      <c r="B11" s="30"/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3"/>
      <c r="I14" s="19"/>
      <c r="K14" s="19"/>
      <c r="L14" s="1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3" t="s">
        <v>2558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70"/>
      <c r="N19" s="19"/>
      <c r="O19" s="19"/>
      <c r="P19" s="20"/>
      <c r="Q19" s="20"/>
      <c r="R19" s="20"/>
    </row>
    <row r="20" spans="1:18" x14ac:dyDescent="0.25">
      <c r="A20" s="19"/>
      <c r="B20" s="42" t="s">
        <v>2557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70"/>
      <c r="N20" s="19"/>
      <c r="O20" s="19"/>
      <c r="P20" s="20"/>
      <c r="Q20" s="20"/>
      <c r="R20" s="20"/>
    </row>
    <row r="21" spans="1:18" x14ac:dyDescent="0.25">
      <c r="B21" s="42" t="s">
        <v>1549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2" t="s">
        <v>1550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2" t="s">
        <v>1755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2"/>
      <c r="C24" s="30"/>
      <c r="L24" s="19"/>
      <c r="N24" s="20"/>
      <c r="O24" s="20"/>
      <c r="R24" s="20"/>
    </row>
    <row r="25" spans="1:18" x14ac:dyDescent="0.25">
      <c r="B25" s="41"/>
      <c r="C25" s="30"/>
      <c r="L25" s="19"/>
      <c r="M25" s="19"/>
      <c r="N25" s="20"/>
      <c r="O25" s="20"/>
      <c r="R25" s="20"/>
    </row>
    <row r="26" spans="1:18" x14ac:dyDescent="0.25">
      <c r="B26" s="41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1766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1766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637"/>
  <sheetViews>
    <sheetView tabSelected="1" topLeftCell="A1789" zoomScale="70" zoomScaleNormal="70" workbookViewId="0">
      <selection activeCell="A2595" sqref="A2595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</cols>
  <sheetData>
    <row r="1" spans="1:12" ht="18.75" customHeight="1" x14ac:dyDescent="0.25">
      <c r="A1" s="37" t="s">
        <v>1983</v>
      </c>
      <c r="B1" s="38" t="s">
        <v>311</v>
      </c>
      <c r="C1" s="38" t="s">
        <v>1545</v>
      </c>
      <c r="D1" s="38" t="s">
        <v>1527</v>
      </c>
      <c r="E1" s="38" t="s">
        <v>1546</v>
      </c>
      <c r="F1" s="38" t="s">
        <v>1547</v>
      </c>
      <c r="G1" s="40" t="s">
        <v>1861</v>
      </c>
      <c r="H1" s="38" t="s">
        <v>1862</v>
      </c>
      <c r="I1" s="65" t="s">
        <v>1989</v>
      </c>
      <c r="J1" s="66" t="s">
        <v>1990</v>
      </c>
      <c r="K1" s="67" t="s">
        <v>1991</v>
      </c>
      <c r="L1" s="38"/>
    </row>
    <row r="2" spans="1:12" x14ac:dyDescent="0.25">
      <c r="A2" s="30" t="s">
        <v>1750</v>
      </c>
      <c r="B2" s="35">
        <v>42111</v>
      </c>
      <c r="C2" s="28">
        <v>244</v>
      </c>
      <c r="D2" s="30">
        <v>59.5</v>
      </c>
      <c r="E2" s="30">
        <v>45.672461368100002</v>
      </c>
      <c r="F2" s="30">
        <v>-1.15953948441</v>
      </c>
      <c r="G2" s="30">
        <v>1.75</v>
      </c>
      <c r="H2" s="30">
        <f t="shared" ref="H2:H33" si="0">D2-G2</f>
        <v>57.75</v>
      </c>
      <c r="I2" s="68">
        <f>AVERAGE(D2:D75)</f>
        <v>31.865540540540529</v>
      </c>
      <c r="J2" s="68">
        <f>_xlfn.STDEV.P(D2:D75)</f>
        <v>11.714030411929132</v>
      </c>
      <c r="K2" s="68">
        <f>MEDIAN(D2:D75)</f>
        <v>30.625</v>
      </c>
    </row>
    <row r="3" spans="1:12" ht="18.75" customHeight="1" x14ac:dyDescent="0.25">
      <c r="A3" s="30" t="s">
        <v>1751</v>
      </c>
      <c r="B3" s="35">
        <v>42111</v>
      </c>
      <c r="C3" s="28">
        <v>55</v>
      </c>
      <c r="D3" s="30">
        <v>46</v>
      </c>
      <c r="E3" s="30">
        <v>34.789040689899998</v>
      </c>
      <c r="F3" s="30">
        <v>-5.3221676207600002</v>
      </c>
      <c r="G3" s="58">
        <v>1.75</v>
      </c>
      <c r="H3" s="30">
        <f t="shared" si="0"/>
        <v>44.25</v>
      </c>
      <c r="I3" s="8"/>
      <c r="J3" s="30"/>
      <c r="K3" s="30"/>
    </row>
    <row r="4" spans="1:12" x14ac:dyDescent="0.25">
      <c r="A4" s="30" t="s">
        <v>1752</v>
      </c>
      <c r="B4" s="35">
        <v>42111</v>
      </c>
      <c r="C4" s="28">
        <v>78</v>
      </c>
      <c r="D4" s="30">
        <v>29.25</v>
      </c>
      <c r="E4" s="30">
        <v>35.599015454000003</v>
      </c>
      <c r="F4" s="30">
        <v>-1.19180542895</v>
      </c>
      <c r="G4" s="30">
        <v>13</v>
      </c>
      <c r="H4" s="30">
        <f t="shared" si="0"/>
        <v>16.25</v>
      </c>
      <c r="I4" s="8"/>
      <c r="J4" s="30"/>
      <c r="K4" s="30"/>
    </row>
    <row r="5" spans="1:12" x14ac:dyDescent="0.25">
      <c r="A5" s="30" t="s">
        <v>1749</v>
      </c>
      <c r="B5" s="35">
        <v>42112</v>
      </c>
      <c r="C5" s="28">
        <v>150</v>
      </c>
      <c r="D5" s="30">
        <v>40.25</v>
      </c>
      <c r="E5" s="30">
        <v>37.1580939822</v>
      </c>
      <c r="F5" s="30">
        <v>-5.7221609402100002</v>
      </c>
      <c r="G5" s="30">
        <v>22</v>
      </c>
      <c r="H5" s="30">
        <f t="shared" si="0"/>
        <v>18.25</v>
      </c>
      <c r="I5" s="8"/>
      <c r="J5" s="30"/>
      <c r="K5" s="30"/>
    </row>
    <row r="6" spans="1:12" x14ac:dyDescent="0.25">
      <c r="A6" s="30" t="s">
        <v>1758</v>
      </c>
      <c r="B6" s="35">
        <v>42113</v>
      </c>
      <c r="C6" s="28">
        <v>284</v>
      </c>
      <c r="D6" s="30">
        <v>21.75</v>
      </c>
      <c r="E6" s="30">
        <v>41.166681425299998</v>
      </c>
      <c r="F6" s="30">
        <v>-9.6379958382299993</v>
      </c>
      <c r="G6" s="30">
        <v>4</v>
      </c>
      <c r="H6" s="30">
        <f t="shared" si="0"/>
        <v>17.75</v>
      </c>
      <c r="I6" s="8"/>
      <c r="J6" s="30"/>
      <c r="K6" s="30"/>
    </row>
    <row r="7" spans="1:12" x14ac:dyDescent="0.25">
      <c r="A7" s="30" t="s">
        <v>1759</v>
      </c>
      <c r="B7" s="35">
        <v>42113</v>
      </c>
      <c r="C7" s="28">
        <v>211</v>
      </c>
      <c r="D7" s="30">
        <v>16.25</v>
      </c>
      <c r="E7" s="30">
        <v>40.821308838900002</v>
      </c>
      <c r="F7" s="30">
        <v>-9.9615248624199992</v>
      </c>
      <c r="G7" s="30">
        <v>4</v>
      </c>
      <c r="H7" s="30">
        <f t="shared" si="0"/>
        <v>12.25</v>
      </c>
      <c r="I7" s="8"/>
      <c r="J7" s="30"/>
      <c r="K7" s="30"/>
    </row>
    <row r="8" spans="1:12" x14ac:dyDescent="0.25">
      <c r="A8" t="s">
        <v>1753</v>
      </c>
      <c r="B8" s="35">
        <v>42113</v>
      </c>
      <c r="C8" s="28">
        <v>74</v>
      </c>
      <c r="D8">
        <v>42.75</v>
      </c>
      <c r="E8" s="30">
        <v>33.288536067800003</v>
      </c>
      <c r="F8" s="30">
        <v>-2.4475654003799998</v>
      </c>
      <c r="G8" s="30">
        <v>15</v>
      </c>
      <c r="H8" s="30">
        <f t="shared" si="0"/>
        <v>27.75</v>
      </c>
      <c r="I8" s="8"/>
      <c r="J8" s="30"/>
      <c r="K8" s="30"/>
    </row>
    <row r="9" spans="1:12" x14ac:dyDescent="0.25">
      <c r="A9" s="60" t="s">
        <v>1760</v>
      </c>
      <c r="B9" s="61">
        <v>42114</v>
      </c>
      <c r="C9" s="28">
        <v>152</v>
      </c>
      <c r="D9" s="60">
        <v>4.75</v>
      </c>
      <c r="E9" s="60">
        <v>39.1029623485</v>
      </c>
      <c r="F9" s="60">
        <v>-8.7578257379500002</v>
      </c>
      <c r="G9" s="30">
        <v>0</v>
      </c>
      <c r="H9" s="30">
        <f t="shared" si="0"/>
        <v>4.75</v>
      </c>
      <c r="I9" s="8"/>
      <c r="J9" s="30"/>
      <c r="K9" s="30"/>
    </row>
    <row r="10" spans="1:12" x14ac:dyDescent="0.25">
      <c r="A10" t="s">
        <v>1761</v>
      </c>
      <c r="B10" s="35">
        <v>42114</v>
      </c>
      <c r="C10" s="28">
        <v>57</v>
      </c>
      <c r="D10">
        <v>15.75</v>
      </c>
      <c r="E10" s="30">
        <v>32.973036750399999</v>
      </c>
      <c r="F10" s="30">
        <v>-0.40815222861799999</v>
      </c>
      <c r="G10" s="30">
        <v>-2</v>
      </c>
      <c r="H10" s="30">
        <f t="shared" si="0"/>
        <v>17.75</v>
      </c>
      <c r="I10" s="8"/>
      <c r="J10" s="30"/>
      <c r="K10" s="30"/>
    </row>
    <row r="11" spans="1:12" x14ac:dyDescent="0.25">
      <c r="A11" t="s">
        <v>1747</v>
      </c>
      <c r="B11" s="35">
        <v>42115</v>
      </c>
      <c r="C11" s="28">
        <v>278</v>
      </c>
      <c r="D11">
        <v>27.35</v>
      </c>
      <c r="E11" s="30">
        <v>72.565285232799994</v>
      </c>
      <c r="F11" s="30">
        <v>-6.7054458223399998</v>
      </c>
      <c r="G11" s="30">
        <v>12.1</v>
      </c>
      <c r="H11" s="30">
        <f t="shared" si="0"/>
        <v>15.250000000000002</v>
      </c>
      <c r="I11" s="8"/>
      <c r="J11" s="30"/>
      <c r="K11" s="8"/>
    </row>
    <row r="12" spans="1:12" x14ac:dyDescent="0.25">
      <c r="A12" t="s">
        <v>1748</v>
      </c>
      <c r="B12" s="35">
        <v>42115</v>
      </c>
      <c r="C12" s="28">
        <v>74</v>
      </c>
      <c r="D12">
        <v>49.25</v>
      </c>
      <c r="E12" s="30">
        <v>34.596101814199997</v>
      </c>
      <c r="F12" s="30">
        <v>-6.3939974018300001</v>
      </c>
      <c r="G12" s="58">
        <v>1.75</v>
      </c>
      <c r="H12" s="30">
        <f t="shared" si="0"/>
        <v>47.5</v>
      </c>
      <c r="I12" s="8"/>
      <c r="J12" s="30"/>
      <c r="K12" s="8"/>
    </row>
    <row r="13" spans="1:12" x14ac:dyDescent="0.25">
      <c r="A13" t="s">
        <v>1743</v>
      </c>
      <c r="B13" s="35">
        <v>42116</v>
      </c>
      <c r="C13" s="28">
        <v>280</v>
      </c>
      <c r="D13">
        <v>32.25</v>
      </c>
      <c r="E13">
        <v>38.941306848300002</v>
      </c>
      <c r="F13" s="30">
        <v>0.182323498468</v>
      </c>
      <c r="G13" s="30">
        <v>-0.5</v>
      </c>
      <c r="H13" s="30">
        <f t="shared" si="0"/>
        <v>32.75</v>
      </c>
      <c r="I13" s="39"/>
      <c r="J13" s="8"/>
      <c r="K13" s="8"/>
    </row>
    <row r="14" spans="1:12" x14ac:dyDescent="0.25">
      <c r="A14" t="s">
        <v>1744</v>
      </c>
      <c r="B14" s="35">
        <v>42116</v>
      </c>
      <c r="C14" s="28">
        <v>260</v>
      </c>
      <c r="D14">
        <v>33.25</v>
      </c>
      <c r="E14">
        <v>38.7392614858</v>
      </c>
      <c r="F14" s="30">
        <v>-0.30380929589299999</v>
      </c>
      <c r="G14" s="30">
        <v>-0.5</v>
      </c>
      <c r="H14" s="30">
        <f t="shared" si="0"/>
        <v>33.75</v>
      </c>
      <c r="I14" s="39"/>
      <c r="J14" s="30"/>
      <c r="K14" s="8"/>
    </row>
    <row r="15" spans="1:12" x14ac:dyDescent="0.25">
      <c r="A15" t="s">
        <v>1745</v>
      </c>
      <c r="B15" s="35">
        <v>42116</v>
      </c>
      <c r="C15" s="28">
        <v>74</v>
      </c>
      <c r="D15">
        <v>29.5</v>
      </c>
      <c r="E15">
        <v>34.751240706099999</v>
      </c>
      <c r="F15" s="30">
        <v>-1.8604978210200001</v>
      </c>
      <c r="G15" s="30">
        <v>-0.5</v>
      </c>
      <c r="H15" s="30">
        <f t="shared" si="0"/>
        <v>30</v>
      </c>
      <c r="I15" s="39"/>
      <c r="J15" s="30"/>
      <c r="K15" s="8"/>
    </row>
    <row r="16" spans="1:12" x14ac:dyDescent="0.25">
      <c r="A16" t="s">
        <v>1746</v>
      </c>
      <c r="B16" s="35">
        <v>42116</v>
      </c>
      <c r="C16" s="28">
        <v>55</v>
      </c>
      <c r="D16">
        <v>31.75</v>
      </c>
      <c r="E16">
        <v>34.880590884100002</v>
      </c>
      <c r="F16" s="30">
        <v>-0.69150145655100004</v>
      </c>
      <c r="G16" s="30">
        <v>19</v>
      </c>
      <c r="H16" s="30">
        <f t="shared" si="0"/>
        <v>12.75</v>
      </c>
      <c r="I16" s="39"/>
      <c r="J16" s="30"/>
      <c r="K16" s="8"/>
    </row>
    <row r="17" spans="1:11" x14ac:dyDescent="0.25">
      <c r="A17" t="s">
        <v>1741</v>
      </c>
      <c r="B17" s="35">
        <v>42117</v>
      </c>
      <c r="C17" s="28">
        <v>53</v>
      </c>
      <c r="D17">
        <v>28.25</v>
      </c>
      <c r="E17">
        <v>32.598265054400002</v>
      </c>
      <c r="F17" s="30">
        <v>-7.8298608374800001</v>
      </c>
      <c r="G17" s="30">
        <v>10</v>
      </c>
      <c r="H17" s="30">
        <f t="shared" si="0"/>
        <v>18.25</v>
      </c>
      <c r="I17" s="8"/>
      <c r="J17" s="8"/>
      <c r="K17" s="8"/>
    </row>
    <row r="18" spans="1:11" x14ac:dyDescent="0.25">
      <c r="A18" t="s">
        <v>1742</v>
      </c>
      <c r="B18" s="35">
        <v>42117</v>
      </c>
      <c r="C18" s="28">
        <v>79</v>
      </c>
      <c r="D18">
        <v>27.25</v>
      </c>
      <c r="E18">
        <v>44.953110128799999</v>
      </c>
      <c r="F18" s="30">
        <v>-9.6822515404700003</v>
      </c>
      <c r="G18" s="30">
        <v>7</v>
      </c>
      <c r="H18" s="30">
        <f t="shared" si="0"/>
        <v>20.25</v>
      </c>
      <c r="I18" s="39"/>
      <c r="J18" s="8"/>
      <c r="K18" s="8"/>
    </row>
    <row r="19" spans="1:11" x14ac:dyDescent="0.25">
      <c r="A19" s="30" t="s">
        <v>1738</v>
      </c>
      <c r="B19" s="35">
        <v>42118</v>
      </c>
      <c r="C19" s="28">
        <v>283</v>
      </c>
      <c r="D19" s="30">
        <v>38.200000000000003</v>
      </c>
      <c r="E19" s="30">
        <v>50.430236798999999</v>
      </c>
      <c r="F19" s="30">
        <v>-6.5642871991399998</v>
      </c>
      <c r="G19" s="30">
        <v>17.2</v>
      </c>
      <c r="H19" s="30">
        <f t="shared" si="0"/>
        <v>21.000000000000004</v>
      </c>
      <c r="I19" s="8"/>
      <c r="J19" s="8"/>
      <c r="K19" s="8"/>
    </row>
    <row r="20" spans="1:11" x14ac:dyDescent="0.25">
      <c r="A20" s="30" t="s">
        <v>1739</v>
      </c>
      <c r="B20" s="35">
        <v>42118</v>
      </c>
      <c r="C20" s="28">
        <v>94</v>
      </c>
      <c r="D20" s="30">
        <v>24.7</v>
      </c>
      <c r="E20" s="30">
        <v>34.952391524900001</v>
      </c>
      <c r="F20" s="30">
        <v>-2.0741224854700002</v>
      </c>
      <c r="G20" s="30">
        <v>1.5</v>
      </c>
      <c r="H20" s="30">
        <f t="shared" si="0"/>
        <v>23.2</v>
      </c>
      <c r="I20" s="8"/>
      <c r="J20" s="8"/>
      <c r="K20" s="8"/>
    </row>
    <row r="21" spans="1:11" x14ac:dyDescent="0.25">
      <c r="A21" s="30" t="s">
        <v>1740</v>
      </c>
      <c r="B21" s="35">
        <v>42118</v>
      </c>
      <c r="C21" s="28">
        <v>56</v>
      </c>
      <c r="D21" s="30">
        <v>34.25</v>
      </c>
      <c r="E21" s="30">
        <v>33.453870184499998</v>
      </c>
      <c r="F21" s="30">
        <v>-5.3253694507800002</v>
      </c>
      <c r="G21" s="30">
        <v>9</v>
      </c>
      <c r="H21" s="30">
        <f t="shared" si="0"/>
        <v>25.25</v>
      </c>
      <c r="I21" s="8"/>
      <c r="J21" s="8"/>
      <c r="K21" s="8"/>
    </row>
    <row r="22" spans="1:11" x14ac:dyDescent="0.25">
      <c r="A22" t="s">
        <v>1736</v>
      </c>
      <c r="B22" s="35">
        <v>42119</v>
      </c>
      <c r="C22" s="28">
        <v>147</v>
      </c>
      <c r="D22">
        <v>37.75</v>
      </c>
      <c r="E22">
        <v>35.422884566199997</v>
      </c>
      <c r="F22" s="30">
        <v>-0.42851423195900001</v>
      </c>
      <c r="G22" s="30">
        <v>-0.5</v>
      </c>
      <c r="H22" s="30">
        <f t="shared" si="0"/>
        <v>38.25</v>
      </c>
      <c r="I22" s="8"/>
      <c r="J22" s="8"/>
      <c r="K22" s="8"/>
    </row>
    <row r="23" spans="1:11" x14ac:dyDescent="0.25">
      <c r="A23" t="s">
        <v>1737</v>
      </c>
      <c r="B23" s="35">
        <v>42119</v>
      </c>
      <c r="C23" s="28">
        <v>76</v>
      </c>
      <c r="D23">
        <v>46</v>
      </c>
      <c r="E23">
        <v>43.787678654300002</v>
      </c>
      <c r="F23" s="30">
        <v>-5.3907585945800003</v>
      </c>
      <c r="G23" s="30">
        <v>8</v>
      </c>
      <c r="H23" s="30">
        <f t="shared" si="0"/>
        <v>38</v>
      </c>
      <c r="I23" s="8"/>
      <c r="J23" s="8"/>
      <c r="K23" s="8"/>
    </row>
    <row r="24" spans="1:11" x14ac:dyDescent="0.25">
      <c r="A24" s="30" t="s">
        <v>1734</v>
      </c>
      <c r="B24" s="35">
        <v>42120</v>
      </c>
      <c r="C24" s="28">
        <v>266</v>
      </c>
      <c r="D24">
        <v>20</v>
      </c>
      <c r="E24">
        <v>51.293304787899999</v>
      </c>
      <c r="F24" s="30">
        <v>0.96970124983399997</v>
      </c>
      <c r="G24" s="30">
        <v>14</v>
      </c>
      <c r="H24" s="30">
        <f t="shared" si="0"/>
        <v>6</v>
      </c>
      <c r="I24" s="8"/>
      <c r="J24" s="8"/>
      <c r="K24" s="8"/>
    </row>
    <row r="25" spans="1:11" x14ac:dyDescent="0.25">
      <c r="A25" s="30" t="s">
        <v>1735</v>
      </c>
      <c r="B25" s="35">
        <v>42120</v>
      </c>
      <c r="C25" s="28">
        <v>96</v>
      </c>
      <c r="D25">
        <v>37.1</v>
      </c>
      <c r="E25">
        <v>34.144379492799999</v>
      </c>
      <c r="F25" s="30">
        <v>-0.374732047367</v>
      </c>
      <c r="G25" s="30">
        <v>17.100000000000001</v>
      </c>
      <c r="H25" s="30">
        <f t="shared" si="0"/>
        <v>20</v>
      </c>
      <c r="I25" s="8"/>
      <c r="J25" s="8"/>
      <c r="K25" s="8"/>
    </row>
    <row r="26" spans="1:11" x14ac:dyDescent="0.25">
      <c r="A26" s="30" t="s">
        <v>1731</v>
      </c>
      <c r="B26" s="35">
        <v>42121</v>
      </c>
      <c r="C26" s="28">
        <v>241</v>
      </c>
      <c r="D26">
        <v>33</v>
      </c>
      <c r="E26">
        <v>40.711891337200001</v>
      </c>
      <c r="F26" s="30">
        <v>-7.5579894669599996</v>
      </c>
      <c r="G26" s="30">
        <v>-0.5</v>
      </c>
      <c r="H26" s="30">
        <f t="shared" si="0"/>
        <v>33.5</v>
      </c>
      <c r="I26" s="8"/>
      <c r="J26" s="8"/>
      <c r="K26" s="8"/>
    </row>
    <row r="27" spans="1:11" x14ac:dyDescent="0.25">
      <c r="A27" t="s">
        <v>1732</v>
      </c>
      <c r="B27" s="35">
        <v>42121</v>
      </c>
      <c r="C27" s="28">
        <v>202</v>
      </c>
      <c r="D27">
        <v>34.5</v>
      </c>
      <c r="E27">
        <v>37.269765502299997</v>
      </c>
      <c r="F27" s="30">
        <v>-7.32175557414</v>
      </c>
      <c r="G27" s="30">
        <v>-0.5</v>
      </c>
      <c r="H27" s="30">
        <f t="shared" si="0"/>
        <v>35</v>
      </c>
      <c r="I27" s="8"/>
      <c r="J27" s="8"/>
      <c r="K27" s="8"/>
    </row>
    <row r="28" spans="1:11" x14ac:dyDescent="0.25">
      <c r="A28" t="s">
        <v>1733</v>
      </c>
      <c r="B28" s="35">
        <v>42121</v>
      </c>
      <c r="C28" s="28">
        <v>112</v>
      </c>
      <c r="D28">
        <v>19.850000000000001</v>
      </c>
      <c r="E28">
        <v>39.306140112800001</v>
      </c>
      <c r="F28" s="30">
        <v>-9.1989752445100006</v>
      </c>
      <c r="G28" s="30">
        <v>7.1</v>
      </c>
      <c r="H28" s="30">
        <f t="shared" si="0"/>
        <v>12.750000000000002</v>
      </c>
      <c r="I28" s="8"/>
      <c r="J28" s="8"/>
      <c r="K28" s="8"/>
    </row>
    <row r="29" spans="1:11" x14ac:dyDescent="0.25">
      <c r="A29" s="30" t="s">
        <v>1729</v>
      </c>
      <c r="B29" s="35">
        <v>42122</v>
      </c>
      <c r="C29" s="28">
        <v>219</v>
      </c>
      <c r="D29">
        <v>42</v>
      </c>
      <c r="E29">
        <v>40.086084296300001</v>
      </c>
      <c r="F29" s="30">
        <v>-1.7653434641500001</v>
      </c>
      <c r="G29" s="30">
        <v>-0.5</v>
      </c>
      <c r="H29" s="30">
        <f t="shared" si="0"/>
        <v>42.5</v>
      </c>
      <c r="I29" s="8"/>
      <c r="J29" s="8"/>
      <c r="K29" s="8"/>
    </row>
    <row r="30" spans="1:11" x14ac:dyDescent="0.25">
      <c r="A30" t="s">
        <v>1730</v>
      </c>
      <c r="B30" s="35">
        <v>42122</v>
      </c>
      <c r="C30" s="28">
        <v>113</v>
      </c>
      <c r="D30">
        <v>45.5</v>
      </c>
      <c r="E30">
        <v>35.350183594699999</v>
      </c>
      <c r="F30" s="30">
        <v>-1.53304220956</v>
      </c>
      <c r="G30" s="30">
        <v>16</v>
      </c>
      <c r="H30" s="30">
        <f t="shared" si="0"/>
        <v>29.5</v>
      </c>
      <c r="I30" s="8"/>
      <c r="J30" s="8"/>
      <c r="K30" s="8"/>
    </row>
    <row r="31" spans="1:11" x14ac:dyDescent="0.25">
      <c r="A31" t="s">
        <v>1727</v>
      </c>
      <c r="B31" s="35">
        <v>42123</v>
      </c>
      <c r="C31" s="28">
        <v>146</v>
      </c>
      <c r="D31">
        <v>22.7</v>
      </c>
      <c r="E31">
        <v>36.114555398100002</v>
      </c>
      <c r="F31" s="30">
        <v>-3.6756049238299999</v>
      </c>
      <c r="G31" s="30">
        <v>12.2</v>
      </c>
      <c r="H31" s="30">
        <f t="shared" si="0"/>
        <v>10.5</v>
      </c>
      <c r="I31" s="8"/>
      <c r="J31" s="8"/>
      <c r="K31" s="8"/>
    </row>
    <row r="32" spans="1:11" x14ac:dyDescent="0.25">
      <c r="A32" t="s">
        <v>1728</v>
      </c>
      <c r="B32" s="35">
        <v>42123</v>
      </c>
      <c r="C32" s="28">
        <v>58</v>
      </c>
      <c r="D32">
        <v>14.5</v>
      </c>
      <c r="E32">
        <v>34.417476424900002</v>
      </c>
      <c r="F32" s="30">
        <v>-3.5987903937199999</v>
      </c>
      <c r="G32" s="30">
        <v>13</v>
      </c>
      <c r="H32" s="30">
        <f t="shared" si="0"/>
        <v>1.5</v>
      </c>
      <c r="I32" s="8"/>
      <c r="J32" s="8"/>
      <c r="K32" s="8"/>
    </row>
    <row r="33" spans="1:11" x14ac:dyDescent="0.25">
      <c r="A33" t="s">
        <v>1756</v>
      </c>
      <c r="B33" s="35">
        <v>42125</v>
      </c>
      <c r="C33" s="28">
        <v>260</v>
      </c>
      <c r="D33">
        <v>28.25</v>
      </c>
      <c r="E33">
        <v>38.711196272800002</v>
      </c>
      <c r="F33" s="30">
        <v>-3.7514925647299999</v>
      </c>
      <c r="G33" s="30">
        <v>14</v>
      </c>
      <c r="H33" s="30">
        <f t="shared" si="0"/>
        <v>14.25</v>
      </c>
      <c r="I33" s="8"/>
      <c r="J33" s="8"/>
      <c r="K33" s="8"/>
    </row>
    <row r="34" spans="1:11" x14ac:dyDescent="0.25">
      <c r="A34" t="s">
        <v>1757</v>
      </c>
      <c r="B34" s="35">
        <v>42125</v>
      </c>
      <c r="C34" s="28">
        <v>98</v>
      </c>
      <c r="D34">
        <v>14.75</v>
      </c>
      <c r="E34">
        <v>34.058180386300002</v>
      </c>
      <c r="F34" s="30">
        <v>-0.916019035343</v>
      </c>
      <c r="G34" s="30">
        <v>-0.5</v>
      </c>
      <c r="H34" s="30">
        <f t="shared" ref="H34:H65" si="1">D34-G34</f>
        <v>15.25</v>
      </c>
      <c r="I34" s="8"/>
      <c r="J34" s="8"/>
      <c r="K34" s="8"/>
    </row>
    <row r="35" spans="1:11" x14ac:dyDescent="0.25">
      <c r="A35" t="s">
        <v>1723</v>
      </c>
      <c r="B35" s="35">
        <v>42126</v>
      </c>
      <c r="C35" s="28">
        <v>279</v>
      </c>
      <c r="D35">
        <v>17.75</v>
      </c>
      <c r="E35">
        <v>45.922661785999999</v>
      </c>
      <c r="F35" s="30">
        <v>-8.5683706515699996</v>
      </c>
      <c r="G35" s="30">
        <v>7</v>
      </c>
      <c r="H35" s="30">
        <f t="shared" si="1"/>
        <v>10.75</v>
      </c>
      <c r="I35" s="8"/>
      <c r="J35" s="8"/>
      <c r="K35" s="8"/>
    </row>
    <row r="36" spans="1:11" x14ac:dyDescent="0.25">
      <c r="A36" s="28" t="s">
        <v>1724</v>
      </c>
      <c r="B36" s="35">
        <v>42126</v>
      </c>
      <c r="C36" s="28">
        <v>129</v>
      </c>
      <c r="D36">
        <v>35</v>
      </c>
      <c r="E36">
        <v>44.876737863800003</v>
      </c>
      <c r="F36" s="30">
        <v>-6.4033159844799998</v>
      </c>
      <c r="G36" s="30">
        <v>7</v>
      </c>
      <c r="H36" s="30">
        <f t="shared" si="1"/>
        <v>28</v>
      </c>
      <c r="I36" s="8"/>
      <c r="J36" s="8"/>
      <c r="K36" s="8"/>
    </row>
    <row r="37" spans="1:11" x14ac:dyDescent="0.25">
      <c r="A37" t="s">
        <v>1725</v>
      </c>
      <c r="B37" s="35">
        <v>42126</v>
      </c>
      <c r="C37" s="28">
        <v>150</v>
      </c>
      <c r="D37">
        <v>24.75</v>
      </c>
      <c r="E37">
        <v>37.361939002699998</v>
      </c>
      <c r="F37" s="30">
        <v>-6.5997734239900003</v>
      </c>
      <c r="G37" s="30">
        <v>15</v>
      </c>
      <c r="H37" s="30">
        <f t="shared" si="1"/>
        <v>9.75</v>
      </c>
      <c r="I37" s="8"/>
      <c r="J37" s="8"/>
      <c r="K37" s="8"/>
    </row>
    <row r="38" spans="1:11" x14ac:dyDescent="0.25">
      <c r="A38" t="s">
        <v>1726</v>
      </c>
      <c r="B38" s="35">
        <v>42126</v>
      </c>
      <c r="C38" s="28">
        <v>54</v>
      </c>
      <c r="D38">
        <v>33.25</v>
      </c>
      <c r="E38">
        <v>37.004605717899999</v>
      </c>
      <c r="F38" s="30">
        <v>-3.97564162817</v>
      </c>
      <c r="G38" s="30">
        <v>4</v>
      </c>
      <c r="H38" s="30">
        <f t="shared" si="1"/>
        <v>29.25</v>
      </c>
      <c r="I38" s="8"/>
      <c r="J38" s="8"/>
      <c r="K38" s="8"/>
    </row>
    <row r="39" spans="1:11" x14ac:dyDescent="0.25">
      <c r="A39" t="s">
        <v>1722</v>
      </c>
      <c r="B39" s="35">
        <v>42127</v>
      </c>
      <c r="C39" s="28">
        <v>73</v>
      </c>
      <c r="D39">
        <v>26.2</v>
      </c>
      <c r="E39">
        <v>33.046231625300003</v>
      </c>
      <c r="F39" s="30">
        <v>-2.5190270301300002</v>
      </c>
      <c r="G39" s="30">
        <v>2.2000000000000002</v>
      </c>
      <c r="H39" s="30">
        <f t="shared" si="1"/>
        <v>24</v>
      </c>
      <c r="I39" s="8"/>
      <c r="J39" s="8"/>
      <c r="K39" s="8"/>
    </row>
    <row r="40" spans="1:11" x14ac:dyDescent="0.25">
      <c r="A40" s="30" t="s">
        <v>1719</v>
      </c>
      <c r="B40" s="35">
        <v>42128</v>
      </c>
      <c r="C40" s="28">
        <v>188</v>
      </c>
      <c r="D40">
        <v>15.35</v>
      </c>
      <c r="E40">
        <v>40.281433584799998</v>
      </c>
      <c r="F40" s="30">
        <v>-5.2746463025099999</v>
      </c>
      <c r="G40" s="30">
        <v>-1</v>
      </c>
      <c r="H40" s="30">
        <f t="shared" si="1"/>
        <v>16.350000000000001</v>
      </c>
      <c r="I40" s="8"/>
      <c r="J40" s="8"/>
      <c r="K40" s="8"/>
    </row>
    <row r="41" spans="1:11" x14ac:dyDescent="0.25">
      <c r="A41" t="s">
        <v>1720</v>
      </c>
      <c r="B41" s="35">
        <v>42128</v>
      </c>
      <c r="C41" s="28">
        <v>58</v>
      </c>
      <c r="D41">
        <v>32.25</v>
      </c>
      <c r="E41">
        <v>34.134396993099998</v>
      </c>
      <c r="F41" s="30">
        <v>-5.5727248953100004</v>
      </c>
      <c r="G41" s="30">
        <v>7</v>
      </c>
      <c r="H41" s="30">
        <f t="shared" si="1"/>
        <v>25.25</v>
      </c>
      <c r="I41" s="8"/>
      <c r="J41" s="8"/>
      <c r="K41" s="8"/>
    </row>
    <row r="42" spans="1:11" x14ac:dyDescent="0.25">
      <c r="A42" t="s">
        <v>1721</v>
      </c>
      <c r="B42" s="35">
        <v>42128</v>
      </c>
      <c r="C42" s="28">
        <v>38</v>
      </c>
      <c r="D42">
        <v>21.75</v>
      </c>
      <c r="E42">
        <v>34.023318682000003</v>
      </c>
      <c r="F42" s="30">
        <v>-4.13003217666E-2</v>
      </c>
      <c r="G42" s="30">
        <v>18</v>
      </c>
      <c r="H42" s="30">
        <f t="shared" si="1"/>
        <v>3.75</v>
      </c>
      <c r="I42" s="8"/>
      <c r="J42" s="8"/>
      <c r="K42" s="8"/>
    </row>
    <row r="43" spans="1:11" x14ac:dyDescent="0.25">
      <c r="A43" t="s">
        <v>1718</v>
      </c>
      <c r="B43" s="35">
        <v>42129</v>
      </c>
      <c r="C43" s="28">
        <v>261</v>
      </c>
      <c r="D43">
        <v>20.25</v>
      </c>
      <c r="E43">
        <v>38.440740461200001</v>
      </c>
      <c r="F43" s="30">
        <v>-1.98930498253</v>
      </c>
      <c r="G43" s="30">
        <v>3</v>
      </c>
      <c r="H43" s="30">
        <f t="shared" si="1"/>
        <v>17.25</v>
      </c>
      <c r="I43" s="8"/>
      <c r="J43" s="8"/>
      <c r="K43" s="8"/>
    </row>
    <row r="44" spans="1:11" x14ac:dyDescent="0.25">
      <c r="A44" t="s">
        <v>1717</v>
      </c>
      <c r="B44" s="35">
        <v>42130</v>
      </c>
      <c r="C44" s="28">
        <v>224</v>
      </c>
      <c r="D44">
        <v>42.1</v>
      </c>
      <c r="E44">
        <v>39.906281999900003</v>
      </c>
      <c r="F44" s="30">
        <v>-9.70442896548</v>
      </c>
      <c r="G44" s="30">
        <v>6.1</v>
      </c>
      <c r="H44" s="30">
        <f t="shared" si="1"/>
        <v>36</v>
      </c>
      <c r="I44" s="8"/>
      <c r="J44" s="8"/>
      <c r="K44" s="8"/>
    </row>
    <row r="45" spans="1:11" x14ac:dyDescent="0.25">
      <c r="A45" t="s">
        <v>1716</v>
      </c>
      <c r="B45" s="35">
        <v>42131</v>
      </c>
      <c r="C45" s="28">
        <v>112</v>
      </c>
      <c r="D45">
        <v>47.85</v>
      </c>
      <c r="E45">
        <v>34.328218004900002</v>
      </c>
      <c r="F45" s="30">
        <v>-2.5540219725000002</v>
      </c>
      <c r="G45" s="30">
        <v>12.1</v>
      </c>
      <c r="H45" s="30">
        <f t="shared" si="1"/>
        <v>35.75</v>
      </c>
      <c r="I45" s="8"/>
      <c r="J45" s="8"/>
      <c r="K45" s="8"/>
    </row>
    <row r="46" spans="1:11" x14ac:dyDescent="0.25">
      <c r="A46" t="s">
        <v>1715</v>
      </c>
      <c r="B46" s="35">
        <v>42132</v>
      </c>
      <c r="C46" s="28">
        <v>262</v>
      </c>
      <c r="D46">
        <v>40.5</v>
      </c>
      <c r="E46">
        <v>37.5503663633</v>
      </c>
      <c r="F46" s="30">
        <v>-3.6277185057699999</v>
      </c>
      <c r="G46" s="30">
        <v>14</v>
      </c>
      <c r="H46" s="30">
        <f t="shared" si="1"/>
        <v>26.5</v>
      </c>
      <c r="I46" s="8"/>
      <c r="J46" s="8"/>
      <c r="K46" s="8"/>
    </row>
    <row r="47" spans="1:11" x14ac:dyDescent="0.25">
      <c r="A47" t="s">
        <v>1713</v>
      </c>
      <c r="B47" s="35">
        <v>42133</v>
      </c>
      <c r="C47" s="28">
        <v>158</v>
      </c>
      <c r="D47">
        <v>37.35</v>
      </c>
      <c r="E47">
        <v>36.882855118999998</v>
      </c>
      <c r="F47" s="30">
        <v>-3.1817720240499998</v>
      </c>
      <c r="G47" s="30">
        <v>15.1</v>
      </c>
      <c r="H47" s="30">
        <f t="shared" si="1"/>
        <v>22.25</v>
      </c>
      <c r="I47" s="8"/>
      <c r="J47" s="8"/>
      <c r="K47" s="8"/>
    </row>
    <row r="48" spans="1:11" x14ac:dyDescent="0.25">
      <c r="A48" t="s">
        <v>1714</v>
      </c>
      <c r="B48" s="35">
        <v>42133</v>
      </c>
      <c r="C48" s="28">
        <v>57</v>
      </c>
      <c r="D48">
        <v>26.25</v>
      </c>
      <c r="E48">
        <v>33.224893901999998</v>
      </c>
      <c r="F48">
        <v>-1.7795118088599999</v>
      </c>
      <c r="G48" s="30">
        <v>5</v>
      </c>
      <c r="H48" s="30">
        <f t="shared" si="1"/>
        <v>21.25</v>
      </c>
      <c r="I48" s="8"/>
      <c r="J48" s="8"/>
      <c r="K48" s="8"/>
    </row>
    <row r="49" spans="1:11" x14ac:dyDescent="0.25">
      <c r="A49" s="30" t="s">
        <v>1710</v>
      </c>
      <c r="B49" s="35">
        <v>42134</v>
      </c>
      <c r="C49" s="28">
        <v>280</v>
      </c>
      <c r="D49" s="30">
        <v>26.5</v>
      </c>
      <c r="E49" s="30">
        <v>41.951667734700003</v>
      </c>
      <c r="F49" s="30">
        <v>-2.2866002647900001</v>
      </c>
      <c r="G49" s="30">
        <v>11</v>
      </c>
      <c r="H49" s="30">
        <f t="shared" si="1"/>
        <v>15.5</v>
      </c>
      <c r="I49" s="8"/>
      <c r="J49" s="8"/>
      <c r="K49" s="8"/>
    </row>
    <row r="50" spans="1:11" x14ac:dyDescent="0.25">
      <c r="A50" s="30" t="s">
        <v>1711</v>
      </c>
      <c r="B50" s="35">
        <v>42134</v>
      </c>
      <c r="C50" s="28">
        <v>169</v>
      </c>
      <c r="D50" s="30">
        <v>32</v>
      </c>
      <c r="E50" s="30">
        <v>41.295394751800004</v>
      </c>
      <c r="F50" s="30">
        <v>-1.9562455131200001</v>
      </c>
      <c r="G50" s="30">
        <v>11</v>
      </c>
      <c r="H50" s="30">
        <f t="shared" si="1"/>
        <v>21</v>
      </c>
      <c r="I50" s="8"/>
      <c r="J50" s="8"/>
      <c r="K50" s="8"/>
    </row>
    <row r="51" spans="1:11" x14ac:dyDescent="0.25">
      <c r="A51" s="30" t="s">
        <v>1712</v>
      </c>
      <c r="B51" s="35">
        <v>42134</v>
      </c>
      <c r="C51" s="28">
        <v>91</v>
      </c>
      <c r="D51" s="30">
        <v>13.95</v>
      </c>
      <c r="E51" s="30">
        <v>35.827941139099998</v>
      </c>
      <c r="F51" s="30">
        <v>-2.81513226549</v>
      </c>
      <c r="G51" s="30">
        <v>-0.75</v>
      </c>
      <c r="H51" s="30">
        <f t="shared" si="1"/>
        <v>14.7</v>
      </c>
      <c r="I51" s="8"/>
      <c r="J51" s="8"/>
      <c r="K51" s="8"/>
    </row>
    <row r="52" spans="1:11" s="30" customFormat="1" x14ac:dyDescent="0.25">
      <c r="A52" t="s">
        <v>1707</v>
      </c>
      <c r="B52" s="35">
        <v>42135</v>
      </c>
      <c r="C52" s="28">
        <v>184</v>
      </c>
      <c r="D52">
        <v>39.5</v>
      </c>
      <c r="E52">
        <v>37.778889076299997</v>
      </c>
      <c r="F52">
        <v>-1.18542538148</v>
      </c>
      <c r="G52" s="30">
        <v>13</v>
      </c>
      <c r="H52" s="30">
        <f t="shared" si="1"/>
        <v>26.5</v>
      </c>
      <c r="I52" s="8"/>
      <c r="J52" s="8"/>
      <c r="K52" s="8"/>
    </row>
    <row r="53" spans="1:11" s="30" customFormat="1" x14ac:dyDescent="0.25">
      <c r="A53" t="s">
        <v>1708</v>
      </c>
      <c r="B53" s="35">
        <v>42135</v>
      </c>
      <c r="C53" s="28">
        <v>55</v>
      </c>
      <c r="D53">
        <v>33.75</v>
      </c>
      <c r="E53">
        <v>32.594914552699997</v>
      </c>
      <c r="F53">
        <v>-8.1375189190100006</v>
      </c>
      <c r="G53" s="30">
        <v>2.5</v>
      </c>
      <c r="H53" s="30">
        <f t="shared" si="1"/>
        <v>31.25</v>
      </c>
      <c r="I53" s="8"/>
      <c r="J53" s="8"/>
      <c r="K53" s="8"/>
    </row>
    <row r="54" spans="1:11" x14ac:dyDescent="0.25">
      <c r="A54" s="30" t="s">
        <v>1709</v>
      </c>
      <c r="B54" s="35">
        <v>42135</v>
      </c>
      <c r="C54" s="28">
        <v>37</v>
      </c>
      <c r="D54" s="30">
        <v>27.5</v>
      </c>
      <c r="E54" s="30">
        <v>33.183949329800001</v>
      </c>
      <c r="F54" s="30">
        <v>-1.34632654365</v>
      </c>
      <c r="G54" s="30">
        <v>13</v>
      </c>
      <c r="H54" s="30">
        <f t="shared" si="1"/>
        <v>14.5</v>
      </c>
      <c r="I54" s="8"/>
      <c r="J54" s="8"/>
      <c r="K54" s="8"/>
    </row>
    <row r="55" spans="1:11" s="30" customFormat="1" x14ac:dyDescent="0.25">
      <c r="A55" s="30" t="s">
        <v>1702</v>
      </c>
      <c r="B55" s="35">
        <v>42136</v>
      </c>
      <c r="C55" s="28">
        <v>278</v>
      </c>
      <c r="D55" s="30">
        <v>23.95</v>
      </c>
      <c r="E55" s="30">
        <v>38.362853365699998</v>
      </c>
      <c r="F55" s="30">
        <v>-3.17838617042</v>
      </c>
      <c r="G55" s="30">
        <v>4.2</v>
      </c>
      <c r="H55" s="30">
        <f t="shared" si="1"/>
        <v>19.75</v>
      </c>
      <c r="I55" s="8"/>
      <c r="J55" s="8"/>
      <c r="K55" s="8"/>
    </row>
    <row r="56" spans="1:11" s="30" customFormat="1" x14ac:dyDescent="0.25">
      <c r="A56" s="32" t="s">
        <v>1703</v>
      </c>
      <c r="B56" s="57">
        <v>42136</v>
      </c>
      <c r="C56" s="28">
        <v>258</v>
      </c>
      <c r="D56" s="32">
        <v>38.950000000000003</v>
      </c>
      <c r="E56" s="32">
        <v>38.016818612199998</v>
      </c>
      <c r="F56" s="32">
        <v>-4.1603114260899998</v>
      </c>
      <c r="G56" s="32">
        <v>4.2</v>
      </c>
      <c r="H56" s="30">
        <f t="shared" si="1"/>
        <v>34.75</v>
      </c>
      <c r="I56" s="39"/>
      <c r="J56" s="8"/>
      <c r="K56" s="8"/>
    </row>
    <row r="57" spans="1:11" s="30" customFormat="1" x14ac:dyDescent="0.25">
      <c r="A57" s="32" t="s">
        <v>1704</v>
      </c>
      <c r="B57" s="57">
        <v>42136</v>
      </c>
      <c r="C57" s="28">
        <v>113</v>
      </c>
      <c r="D57" s="32">
        <v>44.5</v>
      </c>
      <c r="E57" s="32">
        <v>35.414617435099998</v>
      </c>
      <c r="F57" s="32">
        <v>-0.45697453954200001</v>
      </c>
      <c r="G57" s="32">
        <v>19</v>
      </c>
      <c r="H57" s="30">
        <f t="shared" si="1"/>
        <v>25.5</v>
      </c>
      <c r="I57" s="39"/>
      <c r="J57" s="8"/>
      <c r="K57" s="8"/>
    </row>
    <row r="58" spans="1:11" s="30" customFormat="1" x14ac:dyDescent="0.25">
      <c r="A58" s="32" t="s">
        <v>1705</v>
      </c>
      <c r="B58" s="57">
        <v>42136</v>
      </c>
      <c r="C58" s="28">
        <v>92</v>
      </c>
      <c r="D58" s="32">
        <v>34.950000000000003</v>
      </c>
      <c r="E58" s="32">
        <v>35.361068258099998</v>
      </c>
      <c r="F58" s="32">
        <v>-4.5424410339200003</v>
      </c>
      <c r="G58" s="32">
        <v>4.2</v>
      </c>
      <c r="H58" s="30">
        <f t="shared" si="1"/>
        <v>30.750000000000004</v>
      </c>
      <c r="I58" s="39"/>
      <c r="J58" s="8"/>
      <c r="K58" s="8"/>
    </row>
    <row r="59" spans="1:11" s="30" customFormat="1" x14ac:dyDescent="0.25">
      <c r="A59" s="30" t="s">
        <v>1706</v>
      </c>
      <c r="B59" s="35">
        <v>42136</v>
      </c>
      <c r="C59" s="28">
        <v>73</v>
      </c>
      <c r="D59" s="30">
        <v>51.5</v>
      </c>
      <c r="E59" s="30">
        <v>35.457834125799998</v>
      </c>
      <c r="F59" s="30">
        <v>-3.10857870743</v>
      </c>
      <c r="G59" s="30">
        <v>21</v>
      </c>
      <c r="H59" s="30">
        <f t="shared" si="1"/>
        <v>30.5</v>
      </c>
      <c r="I59" s="8"/>
      <c r="J59" s="8"/>
      <c r="K59" s="8"/>
    </row>
    <row r="60" spans="1:11" s="30" customFormat="1" x14ac:dyDescent="0.25">
      <c r="A60" s="30" t="s">
        <v>1686</v>
      </c>
      <c r="B60" s="35">
        <v>42137</v>
      </c>
      <c r="C60" s="28">
        <v>39</v>
      </c>
      <c r="D60" s="30">
        <v>22.5</v>
      </c>
      <c r="E60" s="30">
        <v>31.4823806576</v>
      </c>
      <c r="F60" s="30">
        <v>-4.8341290393699996</v>
      </c>
      <c r="G60" s="30">
        <v>18</v>
      </c>
      <c r="H60" s="30">
        <f t="shared" si="1"/>
        <v>4.5</v>
      </c>
      <c r="I60" s="8"/>
      <c r="J60" s="8"/>
      <c r="K60" s="8"/>
    </row>
    <row r="61" spans="1:11" s="30" customFormat="1" x14ac:dyDescent="0.25">
      <c r="A61" s="30" t="s">
        <v>1687</v>
      </c>
      <c r="B61" s="35">
        <v>42138</v>
      </c>
      <c r="C61" s="28">
        <v>207</v>
      </c>
      <c r="D61" s="30">
        <v>40.5</v>
      </c>
      <c r="E61" s="30">
        <v>37.194735171799998</v>
      </c>
      <c r="F61" s="30">
        <v>-2.6561359266200002</v>
      </c>
      <c r="G61" s="30">
        <v>14</v>
      </c>
      <c r="H61" s="30">
        <f t="shared" si="1"/>
        <v>26.5</v>
      </c>
      <c r="I61" s="8"/>
      <c r="J61" s="8"/>
      <c r="K61" s="8"/>
    </row>
    <row r="62" spans="1:11" s="30" customFormat="1" x14ac:dyDescent="0.25">
      <c r="A62" s="30" t="s">
        <v>1688</v>
      </c>
      <c r="B62" s="35">
        <v>42138</v>
      </c>
      <c r="C62" s="28">
        <v>94</v>
      </c>
      <c r="D62" s="30">
        <v>44.5</v>
      </c>
      <c r="E62" s="30">
        <v>33.776320411500002</v>
      </c>
      <c r="F62" s="30">
        <v>-8.9233873828799997</v>
      </c>
      <c r="G62" s="30">
        <v>18</v>
      </c>
      <c r="H62" s="30">
        <f t="shared" si="1"/>
        <v>26.5</v>
      </c>
      <c r="I62" s="8"/>
      <c r="J62" s="8"/>
      <c r="K62" s="8"/>
    </row>
    <row r="63" spans="1:11" s="30" customFormat="1" x14ac:dyDescent="0.25">
      <c r="A63" s="30" t="s">
        <v>1689</v>
      </c>
      <c r="B63" s="35">
        <v>42138</v>
      </c>
      <c r="C63" s="28">
        <v>113</v>
      </c>
      <c r="D63" s="30">
        <v>27.5</v>
      </c>
      <c r="E63" s="30">
        <v>35.002375991199997</v>
      </c>
      <c r="F63" s="30">
        <v>-1.7914075891800001</v>
      </c>
      <c r="G63" s="30">
        <v>14</v>
      </c>
      <c r="H63" s="30">
        <f t="shared" si="1"/>
        <v>13.5</v>
      </c>
      <c r="I63" s="8"/>
      <c r="J63" s="8"/>
      <c r="K63" s="8"/>
    </row>
    <row r="64" spans="1:11" s="30" customFormat="1" x14ac:dyDescent="0.25">
      <c r="A64" s="30" t="s">
        <v>1690</v>
      </c>
      <c r="B64" s="35">
        <v>42138</v>
      </c>
      <c r="C64" s="28">
        <v>37</v>
      </c>
      <c r="D64" s="30">
        <v>21.1</v>
      </c>
      <c r="E64" s="30">
        <v>30.229709187099999</v>
      </c>
      <c r="F64" s="30">
        <v>-5.9782529667400004</v>
      </c>
      <c r="G64" s="30">
        <v>-0.75</v>
      </c>
      <c r="H64" s="30">
        <f t="shared" si="1"/>
        <v>21.85</v>
      </c>
      <c r="I64" s="8"/>
      <c r="J64" s="8"/>
      <c r="K64" s="8"/>
    </row>
    <row r="65" spans="1:11" s="30" customFormat="1" x14ac:dyDescent="0.25">
      <c r="A65" s="30" t="s">
        <v>1691</v>
      </c>
      <c r="B65" s="35">
        <v>42139</v>
      </c>
      <c r="C65" s="28">
        <v>279</v>
      </c>
      <c r="D65" s="30">
        <v>59.7</v>
      </c>
      <c r="E65" s="30">
        <v>39.521709030799997</v>
      </c>
      <c r="F65" s="30">
        <v>-2.8245269521699998</v>
      </c>
      <c r="G65" s="30">
        <v>1.75</v>
      </c>
      <c r="H65" s="30">
        <f t="shared" si="1"/>
        <v>57.95</v>
      </c>
      <c r="I65" s="8"/>
      <c r="J65" s="8"/>
      <c r="K65" s="9"/>
    </row>
    <row r="66" spans="1:11" s="30" customFormat="1" x14ac:dyDescent="0.25">
      <c r="A66" s="30" t="s">
        <v>1692</v>
      </c>
      <c r="B66" s="35">
        <v>42139</v>
      </c>
      <c r="C66" s="28">
        <v>262</v>
      </c>
      <c r="D66" s="30">
        <v>68.2</v>
      </c>
      <c r="E66" s="30">
        <v>38.947802109199998</v>
      </c>
      <c r="F66" s="30">
        <v>-2.70999234714</v>
      </c>
      <c r="G66" s="30">
        <v>1.75</v>
      </c>
      <c r="H66" s="30">
        <f t="shared" ref="H66:H97" si="2">D66-G66</f>
        <v>66.45</v>
      </c>
      <c r="I66" s="8"/>
      <c r="J66" s="8"/>
    </row>
    <row r="67" spans="1:11" s="30" customFormat="1" x14ac:dyDescent="0.25">
      <c r="A67" s="30" t="s">
        <v>1693</v>
      </c>
      <c r="B67" s="35">
        <v>42140</v>
      </c>
      <c r="C67" s="28">
        <v>275</v>
      </c>
      <c r="D67" s="30">
        <v>25.7</v>
      </c>
      <c r="E67" s="30">
        <v>39.586119298500002</v>
      </c>
      <c r="F67" s="30">
        <v>-2.7192100854999999</v>
      </c>
      <c r="G67" s="30">
        <v>3.2</v>
      </c>
      <c r="H67" s="30">
        <f t="shared" si="2"/>
        <v>22.5</v>
      </c>
      <c r="I67" s="8"/>
      <c r="J67" s="8"/>
      <c r="K67" s="8"/>
    </row>
    <row r="68" spans="1:11" s="30" customFormat="1" x14ac:dyDescent="0.25">
      <c r="A68" s="30" t="s">
        <v>1694</v>
      </c>
      <c r="B68" s="35">
        <v>42140</v>
      </c>
      <c r="C68" s="28">
        <v>71</v>
      </c>
      <c r="D68" s="30">
        <v>33.75</v>
      </c>
      <c r="E68" s="30">
        <v>37.495919117699998</v>
      </c>
      <c r="F68" s="30">
        <v>-4.3880612400299999</v>
      </c>
      <c r="G68" s="30">
        <v>1</v>
      </c>
      <c r="H68" s="30">
        <f t="shared" si="2"/>
        <v>32.75</v>
      </c>
      <c r="I68" s="8"/>
      <c r="J68" s="8"/>
      <c r="K68" s="8"/>
    </row>
    <row r="69" spans="1:11" s="30" customFormat="1" x14ac:dyDescent="0.25">
      <c r="A69" s="30" t="s">
        <v>1695</v>
      </c>
      <c r="B69" s="35">
        <v>42140</v>
      </c>
      <c r="C69" s="28">
        <v>204</v>
      </c>
      <c r="D69" s="30">
        <v>25.95</v>
      </c>
      <c r="E69" s="30">
        <v>38.021834429800002</v>
      </c>
      <c r="F69" s="30">
        <v>-0.96954816456600001</v>
      </c>
      <c r="G69" s="30">
        <v>3.2</v>
      </c>
      <c r="H69" s="30">
        <f t="shared" si="2"/>
        <v>22.75</v>
      </c>
      <c r="I69" s="8"/>
      <c r="J69" s="8"/>
      <c r="K69" s="8"/>
    </row>
    <row r="70" spans="1:11" s="30" customFormat="1" x14ac:dyDescent="0.25">
      <c r="A70" s="30" t="s">
        <v>1696</v>
      </c>
      <c r="B70" s="35">
        <v>42141</v>
      </c>
      <c r="C70" s="28">
        <v>279</v>
      </c>
      <c r="D70" s="30">
        <v>21.5</v>
      </c>
      <c r="E70" s="30">
        <v>43.374392272199998</v>
      </c>
      <c r="F70" s="30">
        <v>-1.0197944618699999</v>
      </c>
      <c r="G70" s="30">
        <v>13</v>
      </c>
      <c r="H70" s="30">
        <f t="shared" si="2"/>
        <v>8.5</v>
      </c>
      <c r="I70" s="8"/>
      <c r="J70" s="8"/>
      <c r="K70" s="8"/>
    </row>
    <row r="71" spans="1:11" s="30" customFormat="1" x14ac:dyDescent="0.25">
      <c r="A71" s="30" t="s">
        <v>1697</v>
      </c>
      <c r="B71" s="35">
        <v>42141</v>
      </c>
      <c r="C71" s="30">
        <v>97</v>
      </c>
      <c r="D71" s="30">
        <v>27.75</v>
      </c>
      <c r="E71" s="30">
        <v>42.256984549899997</v>
      </c>
      <c r="F71" s="30">
        <v>-1.9077538783500001</v>
      </c>
      <c r="G71" s="30">
        <v>13</v>
      </c>
      <c r="H71" s="30">
        <f t="shared" si="2"/>
        <v>14.75</v>
      </c>
      <c r="I71" s="8"/>
      <c r="J71" s="8"/>
      <c r="K71" s="8"/>
    </row>
    <row r="72" spans="1:11" s="30" customFormat="1" x14ac:dyDescent="0.25">
      <c r="A72" s="30" t="s">
        <v>1698</v>
      </c>
      <c r="B72" s="35">
        <v>42141</v>
      </c>
      <c r="C72" s="28">
        <v>187</v>
      </c>
      <c r="D72" s="30">
        <v>25</v>
      </c>
      <c r="E72" s="30">
        <v>43.1220647695</v>
      </c>
      <c r="F72" s="30">
        <v>-1.2432854632799999</v>
      </c>
      <c r="G72" s="30">
        <v>13</v>
      </c>
      <c r="H72" s="30">
        <f t="shared" si="2"/>
        <v>12</v>
      </c>
      <c r="I72" s="8"/>
      <c r="J72" s="8"/>
      <c r="K72" s="8"/>
    </row>
    <row r="73" spans="1:11" s="30" customFormat="1" x14ac:dyDescent="0.25">
      <c r="A73" s="30" t="s">
        <v>1699</v>
      </c>
      <c r="B73" s="35">
        <v>42141</v>
      </c>
      <c r="C73" s="28">
        <v>92</v>
      </c>
      <c r="D73" s="30">
        <v>49.85</v>
      </c>
      <c r="E73" s="30">
        <v>35.101880354999999</v>
      </c>
      <c r="F73" s="30">
        <v>-2.9428491731799999</v>
      </c>
      <c r="G73" s="30">
        <v>1.75</v>
      </c>
      <c r="H73" s="30">
        <f t="shared" si="2"/>
        <v>48.1</v>
      </c>
      <c r="I73" s="8"/>
      <c r="J73" s="8"/>
      <c r="K73" s="8"/>
    </row>
    <row r="74" spans="1:11" s="30" customFormat="1" x14ac:dyDescent="0.25">
      <c r="A74" s="30" t="s">
        <v>1700</v>
      </c>
      <c r="B74" s="35">
        <v>42142</v>
      </c>
      <c r="C74" s="28">
        <v>130</v>
      </c>
      <c r="D74" s="30">
        <v>27.75</v>
      </c>
      <c r="E74" s="30">
        <v>36.926292309899999</v>
      </c>
      <c r="F74" s="30">
        <v>-4.0436904162199996</v>
      </c>
      <c r="G74" s="30">
        <v>20</v>
      </c>
      <c r="H74" s="30">
        <f t="shared" si="2"/>
        <v>7.75</v>
      </c>
      <c r="I74" s="68">
        <f>AVERAGE(D74:D147)</f>
        <v>32.896268656716416</v>
      </c>
      <c r="J74" s="68">
        <f>_xlfn.STDEV.P(D74:D147)</f>
        <v>12.059239083420955</v>
      </c>
      <c r="K74" s="68">
        <f>MEDIAN(D74:D147)</f>
        <v>32</v>
      </c>
    </row>
    <row r="75" spans="1:11" s="30" customFormat="1" x14ac:dyDescent="0.25">
      <c r="A75" s="30" t="s">
        <v>1701</v>
      </c>
      <c r="B75" s="35">
        <v>42142</v>
      </c>
      <c r="C75" s="28">
        <v>110</v>
      </c>
      <c r="D75" s="30">
        <v>21</v>
      </c>
      <c r="E75" s="30">
        <v>36.436001347400001</v>
      </c>
      <c r="F75" s="30">
        <v>-4.4167855515500003</v>
      </c>
      <c r="G75" s="30">
        <v>20</v>
      </c>
      <c r="H75" s="30">
        <f t="shared" si="2"/>
        <v>1</v>
      </c>
      <c r="I75" s="2"/>
      <c r="J75" s="8"/>
      <c r="K75" s="8"/>
    </row>
    <row r="76" spans="1:11" s="30" customFormat="1" x14ac:dyDescent="0.25">
      <c r="A76" s="31"/>
      <c r="B76" s="55"/>
      <c r="C76" s="31"/>
      <c r="D76" s="31"/>
      <c r="E76" s="31"/>
      <c r="F76" s="31"/>
      <c r="I76" s="8"/>
    </row>
    <row r="77" spans="1:11" s="30" customFormat="1" x14ac:dyDescent="0.25">
      <c r="A77" s="31"/>
      <c r="B77" s="55"/>
      <c r="C77" s="31"/>
      <c r="D77" s="31"/>
      <c r="E77" s="31"/>
      <c r="F77" s="31"/>
      <c r="I77" s="8"/>
    </row>
    <row r="78" spans="1:11" s="30" customFormat="1" x14ac:dyDescent="0.25">
      <c r="A78" s="31"/>
      <c r="B78" s="55"/>
      <c r="C78" s="31"/>
      <c r="D78" s="31"/>
      <c r="E78" s="31"/>
      <c r="F78" s="31"/>
      <c r="I78" s="8"/>
    </row>
    <row r="79" spans="1:11" s="30" customFormat="1" x14ac:dyDescent="0.25">
      <c r="A79" s="31"/>
      <c r="B79" s="55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7" t="s">
        <v>1984</v>
      </c>
      <c r="B82" s="38" t="s">
        <v>311</v>
      </c>
      <c r="C82" s="38" t="s">
        <v>1545</v>
      </c>
      <c r="D82" s="38" t="s">
        <v>1527</v>
      </c>
      <c r="E82" s="38" t="s">
        <v>1546</v>
      </c>
      <c r="F82" s="38" t="s">
        <v>1547</v>
      </c>
      <c r="G82" s="40" t="s">
        <v>1861</v>
      </c>
      <c r="H82" s="38" t="s">
        <v>1862</v>
      </c>
      <c r="I82" s="65" t="s">
        <v>1989</v>
      </c>
      <c r="J82" s="66" t="s">
        <v>1990</v>
      </c>
      <c r="K82" s="67" t="s">
        <v>1991</v>
      </c>
    </row>
    <row r="83" spans="1:11" s="30" customFormat="1" x14ac:dyDescent="0.25">
      <c r="A83" s="30" t="s">
        <v>1841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3">D83-G83</f>
        <v>67.75</v>
      </c>
      <c r="I83" s="68">
        <f>AVERAGE(D83:D220)</f>
        <v>32.877536231884037</v>
      </c>
      <c r="J83" s="68">
        <f>_xlfn.STDEV.P(D83:D220)</f>
        <v>11.02185587699851</v>
      </c>
      <c r="K83" s="68">
        <f>MEDIAN(D83:D220)</f>
        <v>32.125</v>
      </c>
    </row>
    <row r="84" spans="1:11" s="30" customFormat="1" x14ac:dyDescent="0.25">
      <c r="A84" s="30" t="s">
        <v>1784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3"/>
        <v>68.25</v>
      </c>
    </row>
    <row r="85" spans="1:11" s="30" customFormat="1" x14ac:dyDescent="0.25">
      <c r="A85" s="30" t="s">
        <v>1842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3"/>
        <v>13.5</v>
      </c>
    </row>
    <row r="86" spans="1:11" s="30" customFormat="1" x14ac:dyDescent="0.25">
      <c r="A86" s="30" t="s">
        <v>1783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3"/>
        <v>25.75</v>
      </c>
    </row>
    <row r="87" spans="1:11" s="30" customFormat="1" x14ac:dyDescent="0.25">
      <c r="A87" s="30" t="s">
        <v>1839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3"/>
        <v>15.75</v>
      </c>
    </row>
    <row r="88" spans="1:11" s="30" customFormat="1" x14ac:dyDescent="0.25">
      <c r="A88" s="30" t="s">
        <v>1840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3"/>
        <v>16.25</v>
      </c>
    </row>
    <row r="89" spans="1:11" s="30" customFormat="1" x14ac:dyDescent="0.25">
      <c r="A89" s="30" t="s">
        <v>1782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3"/>
        <v>23.5</v>
      </c>
    </row>
    <row r="90" spans="1:11" s="30" customFormat="1" x14ac:dyDescent="0.25">
      <c r="A90" s="30" t="s">
        <v>1838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3"/>
        <v>6.75</v>
      </c>
    </row>
    <row r="91" spans="1:11" s="30" customFormat="1" x14ac:dyDescent="0.25">
      <c r="A91" s="30" t="s">
        <v>1781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3"/>
        <v>18.75</v>
      </c>
    </row>
    <row r="92" spans="1:11" x14ac:dyDescent="0.25">
      <c r="A92" t="s">
        <v>1837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3"/>
        <v>28.5</v>
      </c>
    </row>
    <row r="93" spans="1:11" x14ac:dyDescent="0.25">
      <c r="A93" s="30" t="s">
        <v>1780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3"/>
        <v>47.5</v>
      </c>
    </row>
    <row r="94" spans="1:11" x14ac:dyDescent="0.25">
      <c r="A94" t="s">
        <v>1834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3"/>
        <v>29</v>
      </c>
    </row>
    <row r="95" spans="1:11" x14ac:dyDescent="0.25">
      <c r="A95" t="s">
        <v>1835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3"/>
        <v>32.25</v>
      </c>
    </row>
    <row r="96" spans="1:11" x14ac:dyDescent="0.25">
      <c r="A96" t="s">
        <v>1779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3"/>
        <v>32</v>
      </c>
    </row>
    <row r="97" spans="1:8" x14ac:dyDescent="0.25">
      <c r="A97" t="s">
        <v>1836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3"/>
        <v>15</v>
      </c>
    </row>
    <row r="98" spans="1:8" x14ac:dyDescent="0.25">
      <c r="A98" t="s">
        <v>1833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3"/>
        <v>18.25</v>
      </c>
    </row>
    <row r="99" spans="1:8" x14ac:dyDescent="0.25">
      <c r="A99" t="s">
        <v>1778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3"/>
        <v>11.5</v>
      </c>
    </row>
    <row r="100" spans="1:8" x14ac:dyDescent="0.25">
      <c r="A100" t="s">
        <v>1831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3"/>
        <v>19.000000000000004</v>
      </c>
    </row>
    <row r="101" spans="1:8" x14ac:dyDescent="0.25">
      <c r="A101" t="s">
        <v>1832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3"/>
        <v>20.45</v>
      </c>
    </row>
    <row r="102" spans="1:8" x14ac:dyDescent="0.25">
      <c r="A102" t="s">
        <v>1777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3"/>
        <v>25.25</v>
      </c>
    </row>
    <row r="103" spans="1:8" x14ac:dyDescent="0.25">
      <c r="A103" t="s">
        <v>1775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3"/>
        <v>39</v>
      </c>
    </row>
    <row r="104" spans="1:8" x14ac:dyDescent="0.25">
      <c r="A104" t="s">
        <v>1830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3"/>
        <v>28.75</v>
      </c>
    </row>
    <row r="105" spans="1:8" x14ac:dyDescent="0.25">
      <c r="A105" t="s">
        <v>1828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3"/>
        <v>6</v>
      </c>
    </row>
    <row r="106" spans="1:8" x14ac:dyDescent="0.25">
      <c r="A106" t="s">
        <v>1829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3"/>
        <v>20</v>
      </c>
    </row>
    <row r="107" spans="1:8" x14ac:dyDescent="0.25">
      <c r="A107" t="s">
        <v>1825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3"/>
        <v>32</v>
      </c>
    </row>
    <row r="108" spans="1:8" x14ac:dyDescent="0.25">
      <c r="A108" t="s">
        <v>1826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3"/>
        <v>20.25</v>
      </c>
    </row>
    <row r="109" spans="1:8" x14ac:dyDescent="0.25">
      <c r="A109" t="s">
        <v>1827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3"/>
        <v>14.250000000000002</v>
      </c>
    </row>
    <row r="110" spans="1:8" x14ac:dyDescent="0.25">
      <c r="A110" t="s">
        <v>1824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3"/>
        <v>43.5</v>
      </c>
    </row>
    <row r="111" spans="1:8" x14ac:dyDescent="0.25">
      <c r="A111" t="s">
        <v>1774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3"/>
        <v>34.75</v>
      </c>
    </row>
    <row r="112" spans="1:8" x14ac:dyDescent="0.25">
      <c r="A112" t="s">
        <v>1822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3"/>
        <v>9.25</v>
      </c>
    </row>
    <row r="113" spans="1:8" x14ac:dyDescent="0.25">
      <c r="A113" t="s">
        <v>1823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3"/>
        <v>7.25</v>
      </c>
    </row>
    <row r="114" spans="1:8" x14ac:dyDescent="0.25">
      <c r="A114" t="s">
        <v>1820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3"/>
        <v>7.25</v>
      </c>
    </row>
    <row r="115" spans="1:8" x14ac:dyDescent="0.25">
      <c r="A115" t="s">
        <v>1821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4">D115-G115</f>
        <v>13</v>
      </c>
    </row>
    <row r="116" spans="1:8" x14ac:dyDescent="0.25">
      <c r="A116" t="s">
        <v>1816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4"/>
        <v>28.25</v>
      </c>
    </row>
    <row r="117" spans="1:8" x14ac:dyDescent="0.25">
      <c r="A117" t="s">
        <v>1817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4"/>
        <v>22</v>
      </c>
    </row>
    <row r="118" spans="1:8" x14ac:dyDescent="0.25">
      <c r="A118" t="s">
        <v>1818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4"/>
        <v>25.5</v>
      </c>
    </row>
    <row r="119" spans="1:8" x14ac:dyDescent="0.25">
      <c r="A119" t="s">
        <v>1819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4"/>
        <v>39.5</v>
      </c>
    </row>
    <row r="120" spans="1:8" x14ac:dyDescent="0.25">
      <c r="A120" t="s">
        <v>1815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4"/>
        <v>11.5</v>
      </c>
    </row>
    <row r="121" spans="1:8" x14ac:dyDescent="0.25">
      <c r="A121" t="s">
        <v>1813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4"/>
        <v>28.6</v>
      </c>
    </row>
    <row r="122" spans="1:8" x14ac:dyDescent="0.25">
      <c r="A122" t="s">
        <v>1814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4"/>
        <v>25.25</v>
      </c>
    </row>
    <row r="123" spans="1:8" x14ac:dyDescent="0.25">
      <c r="A123" t="s">
        <v>1773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4"/>
        <v>3.75</v>
      </c>
    </row>
    <row r="124" spans="1:8" x14ac:dyDescent="0.25">
      <c r="A124" t="s">
        <v>1812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4"/>
        <v>14.75</v>
      </c>
    </row>
    <row r="125" spans="1:8" x14ac:dyDescent="0.25">
      <c r="A125" t="s">
        <v>1811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4"/>
        <v>36</v>
      </c>
    </row>
    <row r="126" spans="1:8" x14ac:dyDescent="0.25">
      <c r="A126" t="s">
        <v>1810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4"/>
        <v>36.5</v>
      </c>
    </row>
    <row r="127" spans="1:8" x14ac:dyDescent="0.25">
      <c r="A127" t="s">
        <v>1809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4"/>
        <v>18.5</v>
      </c>
    </row>
    <row r="128" spans="1:8" x14ac:dyDescent="0.25">
      <c r="A128" t="s">
        <v>1807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4"/>
        <v>24.5</v>
      </c>
    </row>
    <row r="129" spans="1:8" x14ac:dyDescent="0.25">
      <c r="A129" t="s">
        <v>1808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4"/>
        <v>30</v>
      </c>
    </row>
    <row r="130" spans="1:8" x14ac:dyDescent="0.25">
      <c r="A130" t="s">
        <v>1770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4"/>
        <v>19.5</v>
      </c>
    </row>
    <row r="131" spans="1:8" x14ac:dyDescent="0.25">
      <c r="A131" t="s">
        <v>1771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4"/>
        <v>15.75</v>
      </c>
    </row>
    <row r="132" spans="1:8" x14ac:dyDescent="0.25">
      <c r="A132" t="s">
        <v>1806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4"/>
        <v>34.200000000000003</v>
      </c>
    </row>
    <row r="133" spans="1:8" x14ac:dyDescent="0.25">
      <c r="A133" t="s">
        <v>1805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4"/>
        <v>39.25</v>
      </c>
    </row>
    <row r="134" spans="1:8" x14ac:dyDescent="0.25">
      <c r="A134" t="s">
        <v>1768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4"/>
        <v>31.25</v>
      </c>
    </row>
    <row r="135" spans="1:8" x14ac:dyDescent="0.25">
      <c r="A135" t="s">
        <v>1769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4"/>
        <v>19</v>
      </c>
    </row>
    <row r="136" spans="1:8" x14ac:dyDescent="0.25">
      <c r="A136" t="s">
        <v>1801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4"/>
        <v>25.75</v>
      </c>
    </row>
    <row r="137" spans="1:8" x14ac:dyDescent="0.25">
      <c r="A137" t="s">
        <v>1802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4"/>
        <v>26</v>
      </c>
    </row>
    <row r="138" spans="1:8" x14ac:dyDescent="0.25">
      <c r="A138" t="s">
        <v>1803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4"/>
        <v>23.25</v>
      </c>
    </row>
    <row r="139" spans="1:8" x14ac:dyDescent="0.25">
      <c r="A139" t="s">
        <v>1804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4"/>
        <v>37.75</v>
      </c>
    </row>
    <row r="140" spans="1:8" x14ac:dyDescent="0.25">
      <c r="A140" t="s">
        <v>1767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4"/>
        <v>18.5</v>
      </c>
    </row>
    <row r="141" spans="1:8" x14ac:dyDescent="0.25">
      <c r="A141" t="s">
        <v>1800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4"/>
        <v>6.75</v>
      </c>
    </row>
    <row r="142" spans="1:8" x14ac:dyDescent="0.25">
      <c r="A142" t="s">
        <v>1785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4"/>
        <v>19</v>
      </c>
    </row>
    <row r="143" spans="1:8" x14ac:dyDescent="0.25">
      <c r="A143" t="s">
        <v>1786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4"/>
        <v>26.5</v>
      </c>
    </row>
    <row r="144" spans="1:8" x14ac:dyDescent="0.25">
      <c r="A144" t="s">
        <v>1787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4"/>
        <v>9.75</v>
      </c>
    </row>
    <row r="145" spans="1:17" x14ac:dyDescent="0.25">
      <c r="A145" t="s">
        <v>1788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4"/>
        <v>26.1</v>
      </c>
    </row>
    <row r="146" spans="1:17" x14ac:dyDescent="0.25">
      <c r="A146" t="s">
        <v>1789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4"/>
        <v>55.2</v>
      </c>
    </row>
    <row r="147" spans="1:17" x14ac:dyDescent="0.25">
      <c r="A147" t="s">
        <v>1790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5">D147-G147</f>
        <v>57.45</v>
      </c>
    </row>
    <row r="148" spans="1:17" x14ac:dyDescent="0.25">
      <c r="A148" t="s">
        <v>1791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5"/>
        <v>22.5</v>
      </c>
    </row>
    <row r="149" spans="1:17" x14ac:dyDescent="0.25">
      <c r="A149" t="s">
        <v>1792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5"/>
        <v>36.5</v>
      </c>
    </row>
    <row r="150" spans="1:17" x14ac:dyDescent="0.25">
      <c r="A150" t="s">
        <v>1793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5"/>
        <v>23.75</v>
      </c>
    </row>
    <row r="151" spans="1:17" x14ac:dyDescent="0.25">
      <c r="A151" t="s">
        <v>1794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5"/>
        <v>16</v>
      </c>
    </row>
    <row r="152" spans="1:17" x14ac:dyDescent="0.25">
      <c r="A152" t="s">
        <v>1795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5"/>
        <v>15.5</v>
      </c>
    </row>
    <row r="153" spans="1:17" x14ac:dyDescent="0.25">
      <c r="A153" t="s">
        <v>1796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5"/>
        <v>13.5</v>
      </c>
    </row>
    <row r="154" spans="1:17" x14ac:dyDescent="0.25">
      <c r="A154" t="s">
        <v>1797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5"/>
        <v>48.1</v>
      </c>
    </row>
    <row r="155" spans="1:17" x14ac:dyDescent="0.25">
      <c r="A155" t="s">
        <v>1798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5"/>
        <v>21</v>
      </c>
      <c r="I155" s="68"/>
      <c r="J155" s="68"/>
      <c r="K155" s="68"/>
    </row>
    <row r="156" spans="1:17" x14ac:dyDescent="0.25">
      <c r="A156" t="s">
        <v>1799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5"/>
        <v>1.25</v>
      </c>
    </row>
    <row r="157" spans="1:17" x14ac:dyDescent="0.25">
      <c r="A157" s="30" t="s">
        <v>2472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5"/>
        <v>23.5</v>
      </c>
      <c r="I157" s="30"/>
      <c r="J157" s="30"/>
      <c r="K157" s="30"/>
      <c r="L157" s="30"/>
      <c r="M157" s="30"/>
      <c r="N157" s="30"/>
      <c r="O157" s="30"/>
      <c r="P157" s="30"/>
      <c r="Q157" s="30"/>
    </row>
    <row r="158" spans="1:17" x14ac:dyDescent="0.25">
      <c r="A158" s="30" t="s">
        <v>2473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5"/>
        <v>27.75</v>
      </c>
      <c r="I158" s="30"/>
      <c r="J158" s="30"/>
      <c r="K158" s="30"/>
      <c r="L158" s="30"/>
      <c r="M158" s="30"/>
      <c r="N158" s="30"/>
      <c r="O158" s="30"/>
      <c r="P158" s="30"/>
      <c r="Q158" s="30"/>
    </row>
    <row r="159" spans="1:17" x14ac:dyDescent="0.25">
      <c r="A159" s="30" t="s">
        <v>2474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5"/>
        <v>26.25</v>
      </c>
      <c r="I159" s="30"/>
      <c r="J159" s="30"/>
      <c r="K159" s="30"/>
      <c r="L159" s="30"/>
      <c r="M159" s="30"/>
      <c r="N159" s="30"/>
      <c r="O159" s="30"/>
      <c r="P159" s="30"/>
      <c r="Q159" s="30"/>
    </row>
    <row r="160" spans="1:17" x14ac:dyDescent="0.25">
      <c r="A160" s="30" t="s">
        <v>2475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5"/>
        <v>35.6</v>
      </c>
      <c r="I160" s="30"/>
      <c r="J160" s="30"/>
      <c r="K160" s="30"/>
      <c r="L160" s="30"/>
      <c r="M160" s="30"/>
      <c r="N160" s="30"/>
      <c r="O160" s="30"/>
      <c r="P160" s="30"/>
      <c r="Q160" s="30"/>
    </row>
    <row r="161" spans="1:17" x14ac:dyDescent="0.25">
      <c r="A161" s="30" t="s">
        <v>2476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5"/>
        <v>61.1</v>
      </c>
      <c r="I161" s="30"/>
      <c r="J161" s="30"/>
      <c r="K161" s="30"/>
      <c r="L161" s="30"/>
      <c r="M161" s="30"/>
      <c r="N161" s="30"/>
      <c r="O161" s="30"/>
      <c r="P161" s="30"/>
      <c r="Q161" s="30"/>
    </row>
    <row r="162" spans="1:17" x14ac:dyDescent="0.25">
      <c r="A162" s="30" t="s">
        <v>2477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5"/>
        <v>37.1</v>
      </c>
      <c r="I162" s="30"/>
      <c r="J162" s="30"/>
      <c r="K162" s="30"/>
      <c r="L162" s="30"/>
      <c r="M162" s="30"/>
      <c r="N162" s="30"/>
      <c r="O162" s="30"/>
      <c r="P162" s="30"/>
      <c r="Q162" s="30"/>
    </row>
    <row r="163" spans="1:17" x14ac:dyDescent="0.25">
      <c r="A163" s="30" t="s">
        <v>2478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5"/>
        <v>13.5</v>
      </c>
      <c r="I163" s="30"/>
      <c r="J163" s="30"/>
      <c r="K163" s="30"/>
      <c r="L163" s="30"/>
      <c r="M163" s="30"/>
      <c r="N163" s="30"/>
      <c r="O163" s="30"/>
      <c r="P163" s="30"/>
      <c r="Q163" s="30"/>
    </row>
    <row r="164" spans="1:17" x14ac:dyDescent="0.25">
      <c r="A164" s="30" t="s">
        <v>2479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5"/>
        <v>23.25</v>
      </c>
      <c r="I164" s="30"/>
      <c r="J164" s="30"/>
      <c r="K164" s="30"/>
      <c r="L164" s="30"/>
      <c r="M164" s="30"/>
      <c r="N164" s="30"/>
      <c r="O164" s="30"/>
      <c r="P164" s="30"/>
      <c r="Q164" s="30"/>
    </row>
    <row r="165" spans="1:17" x14ac:dyDescent="0.25">
      <c r="A165" s="30" t="s">
        <v>2480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5"/>
        <v>13.75</v>
      </c>
      <c r="I165" s="30"/>
      <c r="J165" s="30"/>
      <c r="K165" s="30"/>
      <c r="L165" s="30"/>
      <c r="M165" s="30"/>
      <c r="N165" s="30"/>
      <c r="O165" s="30"/>
      <c r="P165" s="30"/>
      <c r="Q165" s="30"/>
    </row>
    <row r="166" spans="1:17" x14ac:dyDescent="0.25">
      <c r="A166" s="30" t="s">
        <v>2481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5"/>
        <v>18.25</v>
      </c>
      <c r="I166" s="30"/>
      <c r="J166" s="30"/>
      <c r="K166" s="30"/>
      <c r="L166" s="30"/>
      <c r="M166" s="30"/>
      <c r="N166" s="30"/>
      <c r="O166" s="30"/>
      <c r="P166" s="30"/>
      <c r="Q166" s="30"/>
    </row>
    <row r="167" spans="1:17" x14ac:dyDescent="0.25">
      <c r="A167" s="30" t="s">
        <v>2482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5"/>
        <v>12.75</v>
      </c>
      <c r="I167" s="30"/>
      <c r="J167" s="30"/>
      <c r="K167" s="30"/>
      <c r="L167" s="30"/>
      <c r="M167" s="30"/>
      <c r="N167" s="30"/>
      <c r="O167" s="30"/>
      <c r="P167" s="30"/>
      <c r="Q167" s="30"/>
    </row>
    <row r="168" spans="1:17" x14ac:dyDescent="0.25">
      <c r="A168" s="30" t="s">
        <v>2483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5"/>
        <v>20.5</v>
      </c>
      <c r="I168" s="30"/>
      <c r="J168" s="30"/>
      <c r="K168" s="30"/>
      <c r="L168" s="30"/>
      <c r="M168" s="30"/>
      <c r="N168" s="30"/>
      <c r="O168" s="30"/>
      <c r="P168" s="30"/>
      <c r="Q168" s="30"/>
    </row>
    <row r="169" spans="1:17" x14ac:dyDescent="0.25">
      <c r="A169" s="30" t="s">
        <v>2484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5"/>
        <v>12</v>
      </c>
      <c r="I169" s="30"/>
      <c r="J169" s="30"/>
      <c r="K169" s="30"/>
      <c r="L169" s="30"/>
      <c r="M169" s="30"/>
      <c r="N169" s="30"/>
      <c r="O169" s="30"/>
      <c r="P169" s="30"/>
      <c r="Q169" s="30"/>
    </row>
    <row r="170" spans="1:17" x14ac:dyDescent="0.25">
      <c r="A170" s="30" t="s">
        <v>2485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5"/>
        <v>24.75</v>
      </c>
      <c r="I170" s="30"/>
      <c r="J170" s="30"/>
      <c r="K170" s="30"/>
      <c r="L170" s="30"/>
      <c r="M170" s="30"/>
      <c r="N170" s="30"/>
      <c r="O170" s="30"/>
      <c r="P170" s="30"/>
      <c r="Q170" s="30"/>
    </row>
    <row r="171" spans="1:17" x14ac:dyDescent="0.25">
      <c r="A171" s="30" t="s">
        <v>2486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5"/>
        <v>10.75</v>
      </c>
      <c r="I171" s="30"/>
      <c r="J171" s="30"/>
      <c r="K171" s="30"/>
      <c r="L171" s="30"/>
      <c r="M171" s="30"/>
      <c r="N171" s="30"/>
      <c r="O171" s="30"/>
      <c r="P171" s="30"/>
      <c r="Q171" s="30"/>
    </row>
    <row r="172" spans="1:17" x14ac:dyDescent="0.25">
      <c r="A172" s="30" t="s">
        <v>2487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5"/>
        <v>11.5</v>
      </c>
      <c r="I172" s="30"/>
      <c r="J172" s="30"/>
      <c r="K172" s="30"/>
      <c r="L172" s="30"/>
      <c r="M172" s="30"/>
      <c r="N172" s="30"/>
      <c r="O172" s="30"/>
      <c r="P172" s="30"/>
      <c r="Q172" s="30"/>
    </row>
    <row r="173" spans="1:17" x14ac:dyDescent="0.25">
      <c r="A173" s="30" t="s">
        <v>2488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5"/>
        <v>14.5</v>
      </c>
      <c r="I173" s="30"/>
      <c r="J173" s="30"/>
      <c r="K173" s="30"/>
      <c r="L173" s="30"/>
      <c r="M173" s="30"/>
      <c r="N173" s="30"/>
      <c r="O173" s="30"/>
      <c r="P173" s="30"/>
      <c r="Q173" s="30"/>
    </row>
    <row r="174" spans="1:17" x14ac:dyDescent="0.25">
      <c r="A174" s="30" t="s">
        <v>2489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5"/>
        <v>30.500000000000004</v>
      </c>
      <c r="I174" s="30"/>
      <c r="J174" s="30"/>
      <c r="K174" s="30"/>
      <c r="L174" s="30"/>
      <c r="M174" s="30"/>
      <c r="N174" s="30"/>
      <c r="O174" s="30"/>
      <c r="P174" s="30"/>
      <c r="Q174" s="30"/>
    </row>
    <row r="175" spans="1:17" x14ac:dyDescent="0.25">
      <c r="A175" s="30" t="s">
        <v>2490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5"/>
        <v>47.5</v>
      </c>
      <c r="I175" s="30"/>
      <c r="J175" s="30"/>
      <c r="K175" s="30"/>
      <c r="L175" s="30"/>
      <c r="M175" s="30"/>
      <c r="N175" s="30"/>
      <c r="O175" s="30"/>
      <c r="P175" s="30"/>
      <c r="Q175" s="30"/>
    </row>
    <row r="176" spans="1:17" x14ac:dyDescent="0.25">
      <c r="A176" s="30" t="s">
        <v>2491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5"/>
        <v>32.75</v>
      </c>
      <c r="I176" s="30"/>
      <c r="J176" s="30"/>
      <c r="K176" s="30"/>
      <c r="L176" s="30"/>
      <c r="M176" s="30"/>
      <c r="N176" s="30"/>
      <c r="O176" s="30"/>
      <c r="P176" s="30"/>
      <c r="Q176" s="30"/>
    </row>
    <row r="177" spans="1:17" x14ac:dyDescent="0.25">
      <c r="A177" s="30" t="s">
        <v>2492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5"/>
        <v>27.75</v>
      </c>
      <c r="I177" s="30"/>
      <c r="J177" s="30"/>
      <c r="K177" s="30"/>
      <c r="L177" s="30"/>
      <c r="M177" s="30"/>
      <c r="N177" s="30"/>
      <c r="O177" s="30"/>
      <c r="P177" s="30"/>
      <c r="Q177" s="30"/>
    </row>
    <row r="178" spans="1:17" x14ac:dyDescent="0.25">
      <c r="A178" s="30" t="s">
        <v>2493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5"/>
        <v>33</v>
      </c>
      <c r="I178" s="30"/>
      <c r="J178" s="30"/>
      <c r="K178" s="30"/>
      <c r="L178" s="30"/>
      <c r="M178" s="30"/>
      <c r="N178" s="30"/>
      <c r="O178" s="30"/>
      <c r="P178" s="30"/>
      <c r="Q178" s="30"/>
    </row>
    <row r="179" spans="1:17" x14ac:dyDescent="0.25">
      <c r="A179" s="30" t="s">
        <v>2494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6">D179-G179</f>
        <v>9</v>
      </c>
      <c r="I179" s="30"/>
      <c r="J179" s="30"/>
      <c r="K179" s="30"/>
      <c r="L179" s="30"/>
      <c r="M179" s="30"/>
      <c r="N179" s="30"/>
      <c r="O179" s="30"/>
      <c r="P179" s="30"/>
      <c r="Q179" s="30"/>
    </row>
    <row r="180" spans="1:17" x14ac:dyDescent="0.25">
      <c r="A180" s="30" t="s">
        <v>2495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6"/>
        <v>14.000000000000004</v>
      </c>
      <c r="I180" s="30"/>
      <c r="J180" s="30"/>
      <c r="K180" s="30"/>
      <c r="L180" s="30"/>
      <c r="M180" s="30"/>
      <c r="N180" s="30"/>
      <c r="O180" s="30"/>
      <c r="P180" s="30"/>
      <c r="Q180" s="30"/>
    </row>
    <row r="181" spans="1:17" x14ac:dyDescent="0.25">
      <c r="A181" s="30" t="s">
        <v>2495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6"/>
        <v>14.000000000000004</v>
      </c>
      <c r="I181" s="30"/>
      <c r="J181" s="30"/>
      <c r="K181" s="30"/>
      <c r="L181" s="30"/>
      <c r="M181" s="30"/>
      <c r="N181" s="30"/>
      <c r="O181" s="30"/>
      <c r="P181" s="30"/>
      <c r="Q181" s="30"/>
    </row>
    <row r="182" spans="1:17" x14ac:dyDescent="0.25">
      <c r="A182" s="30" t="s">
        <v>2496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6"/>
        <v>22.25</v>
      </c>
      <c r="I182" s="30"/>
      <c r="J182" s="30"/>
      <c r="K182" s="30"/>
      <c r="L182" s="30"/>
      <c r="M182" s="30"/>
      <c r="N182" s="30"/>
      <c r="O182" s="30"/>
      <c r="P182" s="30"/>
      <c r="Q182" s="30"/>
    </row>
    <row r="183" spans="1:17" x14ac:dyDescent="0.25">
      <c r="A183" s="30" t="s">
        <v>2497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6"/>
        <v>31.75</v>
      </c>
      <c r="I183" s="30"/>
      <c r="J183" s="30"/>
      <c r="K183" s="30"/>
      <c r="L183" s="30"/>
      <c r="M183" s="30"/>
      <c r="N183" s="30"/>
      <c r="O183" s="30"/>
      <c r="P183" s="30"/>
      <c r="Q183" s="30"/>
    </row>
    <row r="184" spans="1:17" x14ac:dyDescent="0.25">
      <c r="A184" s="30" t="s">
        <v>2498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9">
        <v>-0.5</v>
      </c>
      <c r="H184" s="30">
        <f t="shared" si="6"/>
        <v>24.5</v>
      </c>
      <c r="I184" s="30"/>
      <c r="J184" s="30"/>
      <c r="K184" s="30"/>
      <c r="L184" s="30"/>
      <c r="M184" s="30"/>
      <c r="N184" s="30"/>
      <c r="O184" s="30"/>
      <c r="P184" s="30"/>
      <c r="Q184" s="30"/>
    </row>
    <row r="185" spans="1:17" x14ac:dyDescent="0.25">
      <c r="A185" s="30" t="s">
        <v>2498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6"/>
        <v>24.5</v>
      </c>
      <c r="I185" s="30"/>
      <c r="J185" s="30"/>
      <c r="K185" s="30"/>
      <c r="L185" s="30"/>
      <c r="M185" s="30"/>
      <c r="N185" s="30"/>
      <c r="O185" s="30"/>
      <c r="P185" s="30"/>
      <c r="Q185" s="30"/>
    </row>
    <row r="186" spans="1:17" x14ac:dyDescent="0.25">
      <c r="A186" s="30" t="s">
        <v>2499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6"/>
        <v>22.25</v>
      </c>
      <c r="I186" s="30"/>
      <c r="J186" s="30"/>
      <c r="K186" s="30"/>
      <c r="L186" s="30"/>
      <c r="M186" s="30"/>
      <c r="N186" s="30"/>
      <c r="O186" s="30"/>
      <c r="P186" s="30"/>
      <c r="Q186" s="30"/>
    </row>
    <row r="187" spans="1:17" x14ac:dyDescent="0.25">
      <c r="A187" s="30" t="s">
        <v>2500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6"/>
        <v>22.75</v>
      </c>
      <c r="I187" s="30"/>
      <c r="J187" s="30"/>
      <c r="K187" s="30"/>
      <c r="L187" s="30"/>
      <c r="M187" s="30"/>
      <c r="N187" s="30"/>
      <c r="O187" s="30"/>
      <c r="P187" s="30"/>
      <c r="Q187" s="30"/>
    </row>
    <row r="188" spans="1:17" x14ac:dyDescent="0.25">
      <c r="A188" s="30" t="s">
        <v>2501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6"/>
        <v>24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17" x14ac:dyDescent="0.25">
      <c r="A189" s="30" t="s">
        <v>2502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6"/>
        <v>30</v>
      </c>
      <c r="I189" s="30"/>
      <c r="J189" s="30"/>
      <c r="K189" s="30"/>
      <c r="L189" s="30"/>
      <c r="M189" s="30"/>
      <c r="N189" s="30"/>
      <c r="O189" s="30"/>
      <c r="P189" s="30"/>
      <c r="Q189" s="30"/>
    </row>
    <row r="190" spans="1:17" x14ac:dyDescent="0.25">
      <c r="A190" s="30" t="s">
        <v>2503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6"/>
        <v>17</v>
      </c>
      <c r="I190" s="30"/>
      <c r="J190" s="30"/>
      <c r="K190" s="30"/>
      <c r="L190" s="30"/>
      <c r="M190" s="30"/>
      <c r="N190" s="30"/>
      <c r="O190" s="30"/>
      <c r="P190" s="30"/>
      <c r="Q190" s="30"/>
    </row>
    <row r="191" spans="1:17" x14ac:dyDescent="0.25">
      <c r="A191" s="30" t="s">
        <v>2504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6"/>
        <v>9.5</v>
      </c>
      <c r="I191" s="30"/>
      <c r="J191" s="30"/>
      <c r="K191" s="30"/>
      <c r="L191" s="30"/>
      <c r="M191" s="30"/>
      <c r="N191" s="30"/>
      <c r="O191" s="30"/>
      <c r="P191" s="30"/>
      <c r="Q191" s="30"/>
    </row>
    <row r="192" spans="1:17" x14ac:dyDescent="0.25">
      <c r="A192" s="30" t="s">
        <v>2505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6"/>
        <v>26</v>
      </c>
      <c r="I192" s="30"/>
      <c r="J192" s="30"/>
      <c r="K192" s="30"/>
      <c r="L192" s="30"/>
      <c r="M192" s="30"/>
      <c r="N192" s="30"/>
      <c r="O192" s="30"/>
      <c r="P192" s="30"/>
      <c r="Q192" s="30"/>
    </row>
    <row r="193" spans="1:17" x14ac:dyDescent="0.25">
      <c r="A193" s="30" t="s">
        <v>2506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9">
        <v>0.75</v>
      </c>
      <c r="H193" s="30">
        <f t="shared" si="6"/>
        <v>22.25</v>
      </c>
      <c r="I193" s="30"/>
      <c r="J193" s="30"/>
      <c r="K193" s="30"/>
      <c r="L193" s="30"/>
      <c r="M193" s="30"/>
      <c r="N193" s="30"/>
      <c r="O193" s="30"/>
      <c r="P193" s="30"/>
      <c r="Q193" s="30"/>
    </row>
    <row r="194" spans="1:17" x14ac:dyDescent="0.25">
      <c r="A194" s="30" t="s">
        <v>2507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6"/>
        <v>42</v>
      </c>
      <c r="I194" s="30"/>
      <c r="J194" s="30"/>
      <c r="K194" s="30"/>
      <c r="L194" s="30"/>
      <c r="M194" s="30"/>
      <c r="N194" s="30"/>
      <c r="O194" s="30"/>
      <c r="P194" s="30"/>
      <c r="Q194" s="30"/>
    </row>
    <row r="195" spans="1:17" x14ac:dyDescent="0.25">
      <c r="A195" s="30" t="s">
        <v>2508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6"/>
        <v>16.45</v>
      </c>
      <c r="I195" s="30"/>
      <c r="J195" s="30"/>
      <c r="K195" s="30"/>
      <c r="L195" s="30"/>
      <c r="M195" s="30"/>
      <c r="N195" s="30"/>
      <c r="O195" s="30"/>
      <c r="P195" s="30"/>
      <c r="Q195" s="30"/>
    </row>
    <row r="196" spans="1:17" x14ac:dyDescent="0.25">
      <c r="A196" s="30" t="s">
        <v>2509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6"/>
        <v>16.45</v>
      </c>
      <c r="I196" s="30"/>
      <c r="J196" s="30"/>
      <c r="K196" s="30"/>
      <c r="L196" s="30"/>
      <c r="M196" s="30"/>
      <c r="N196" s="30"/>
      <c r="O196" s="30"/>
      <c r="P196" s="30"/>
      <c r="Q196" s="30"/>
    </row>
    <row r="197" spans="1:17" x14ac:dyDescent="0.25">
      <c r="A197" s="30" t="s">
        <v>2510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6"/>
        <v>12.75</v>
      </c>
      <c r="I197" s="30"/>
      <c r="J197" s="30"/>
      <c r="K197" s="30"/>
      <c r="L197" s="30"/>
      <c r="M197" s="30"/>
      <c r="N197" s="30"/>
      <c r="O197" s="30"/>
      <c r="P197" s="30"/>
      <c r="Q197" s="30"/>
    </row>
    <row r="198" spans="1:17" x14ac:dyDescent="0.25">
      <c r="A198" s="30" t="s">
        <v>2511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6"/>
        <v>3.25</v>
      </c>
      <c r="I198" s="30"/>
      <c r="J198" s="30"/>
      <c r="K198" s="30"/>
      <c r="L198" s="30"/>
      <c r="M198" s="30"/>
      <c r="N198" s="30"/>
      <c r="O198" s="30"/>
      <c r="P198" s="30"/>
      <c r="Q198" s="30"/>
    </row>
    <row r="199" spans="1:17" x14ac:dyDescent="0.25">
      <c r="A199" s="30" t="s">
        <v>2512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6"/>
        <v>11.75</v>
      </c>
      <c r="I199" s="30"/>
      <c r="J199" s="30"/>
      <c r="K199" s="30"/>
      <c r="L199" s="30"/>
      <c r="M199" s="30"/>
      <c r="N199" s="30"/>
      <c r="O199" s="30"/>
      <c r="P199" s="30"/>
      <c r="Q199" s="30"/>
    </row>
    <row r="200" spans="1:17" x14ac:dyDescent="0.25">
      <c r="A200" s="30" t="s">
        <v>2513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6"/>
        <v>20.5</v>
      </c>
      <c r="I200" s="30"/>
      <c r="J200" s="30"/>
      <c r="K200" s="30"/>
      <c r="L200" s="30"/>
      <c r="M200" s="30"/>
      <c r="N200" s="30"/>
      <c r="O200" s="30"/>
      <c r="P200" s="30"/>
      <c r="Q200" s="30"/>
    </row>
    <row r="201" spans="1:17" x14ac:dyDescent="0.25">
      <c r="A201" s="30" t="s">
        <v>2514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6"/>
        <v>22.75</v>
      </c>
      <c r="I201" s="30"/>
      <c r="J201" s="30"/>
      <c r="K201" s="30"/>
      <c r="L201" s="30"/>
      <c r="M201" s="30"/>
      <c r="N201" s="30"/>
      <c r="O201" s="30"/>
      <c r="P201" s="30"/>
      <c r="Q201" s="30"/>
    </row>
    <row r="202" spans="1:17" x14ac:dyDescent="0.25">
      <c r="A202" s="30" t="s">
        <v>2515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6"/>
        <v>39.5</v>
      </c>
      <c r="I202" s="30"/>
      <c r="J202" s="30"/>
      <c r="K202" s="30"/>
      <c r="L202" s="30"/>
      <c r="M202" s="30"/>
      <c r="N202" s="30"/>
      <c r="O202" s="30"/>
      <c r="P202" s="30"/>
      <c r="Q202" s="30"/>
    </row>
    <row r="203" spans="1:17" x14ac:dyDescent="0.25">
      <c r="A203" s="30" t="s">
        <v>2516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6"/>
        <v>33</v>
      </c>
      <c r="I203" s="30"/>
      <c r="J203" s="30"/>
      <c r="K203" s="30"/>
      <c r="L203" s="30"/>
      <c r="M203" s="30"/>
      <c r="N203" s="30"/>
      <c r="O203" s="30"/>
      <c r="P203" s="30"/>
      <c r="Q203" s="30"/>
    </row>
    <row r="204" spans="1:17" x14ac:dyDescent="0.25">
      <c r="A204" s="30" t="s">
        <v>2517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6"/>
        <v>23</v>
      </c>
      <c r="I204" s="30"/>
      <c r="J204" s="30"/>
      <c r="K204" s="30"/>
      <c r="L204" s="30"/>
      <c r="M204" s="30"/>
      <c r="N204" s="30"/>
      <c r="O204" s="30"/>
      <c r="P204" s="30"/>
      <c r="Q204" s="30"/>
    </row>
    <row r="205" spans="1:17" x14ac:dyDescent="0.25">
      <c r="A205" s="30" t="s">
        <v>2526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6"/>
        <v>27.25</v>
      </c>
      <c r="I205" s="30"/>
      <c r="J205" s="30"/>
      <c r="K205" s="30"/>
      <c r="L205" s="30"/>
      <c r="M205" s="30"/>
      <c r="N205" s="30"/>
      <c r="O205" s="30"/>
      <c r="P205" s="30"/>
      <c r="Q205" s="30"/>
    </row>
    <row r="206" spans="1:17" x14ac:dyDescent="0.25">
      <c r="A206" s="30" t="s">
        <v>2527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6"/>
        <v>9.5000000000000018</v>
      </c>
      <c r="I206" s="30"/>
      <c r="J206" s="30"/>
      <c r="K206" s="30"/>
      <c r="L206" s="30"/>
      <c r="M206" s="30"/>
      <c r="N206" s="30"/>
      <c r="O206" s="30"/>
      <c r="P206" s="30"/>
      <c r="Q206" s="30"/>
    </row>
    <row r="207" spans="1:17" x14ac:dyDescent="0.25">
      <c r="A207" s="30" t="s">
        <v>2528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6"/>
        <v>26</v>
      </c>
      <c r="I207" s="30"/>
      <c r="J207" s="30"/>
      <c r="K207" s="30"/>
      <c r="L207" s="30"/>
      <c r="M207" s="30"/>
      <c r="N207" s="30"/>
      <c r="O207" s="30"/>
      <c r="P207" s="30"/>
      <c r="Q207" s="30"/>
    </row>
    <row r="208" spans="1:17" x14ac:dyDescent="0.25">
      <c r="A208" s="30" t="s">
        <v>2529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6"/>
        <v>6</v>
      </c>
      <c r="I208" s="30"/>
      <c r="J208" s="30"/>
      <c r="K208" s="30"/>
      <c r="L208" s="30"/>
      <c r="M208" s="30"/>
      <c r="N208" s="30"/>
      <c r="O208" s="30"/>
      <c r="P208" s="30"/>
      <c r="Q208" s="30"/>
    </row>
    <row r="209" spans="1:17" x14ac:dyDescent="0.25">
      <c r="A209" s="30" t="s">
        <v>2530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6"/>
        <v>29.75</v>
      </c>
      <c r="I209" s="30"/>
      <c r="J209" s="30"/>
      <c r="K209" s="30"/>
      <c r="L209" s="30"/>
      <c r="M209" s="30"/>
      <c r="N209" s="30"/>
      <c r="O209" s="30"/>
      <c r="P209" s="30"/>
      <c r="Q209" s="30"/>
    </row>
    <row r="210" spans="1:17" x14ac:dyDescent="0.25">
      <c r="A210" s="30" t="s">
        <v>2531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6"/>
        <v>30.5</v>
      </c>
      <c r="I210" s="30"/>
      <c r="J210" s="30"/>
      <c r="K210" s="30"/>
      <c r="L210" s="30"/>
      <c r="M210" s="30"/>
      <c r="N210" s="30"/>
      <c r="O210" s="30"/>
      <c r="P210" s="30"/>
      <c r="Q210" s="30"/>
    </row>
    <row r="211" spans="1:17" x14ac:dyDescent="0.25">
      <c r="A211" s="30" t="s">
        <v>2532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7">D211-G211</f>
        <v>7.25</v>
      </c>
      <c r="I211" s="30"/>
      <c r="J211" s="30"/>
      <c r="K211" s="30"/>
      <c r="L211" s="30"/>
      <c r="M211" s="30"/>
      <c r="N211" s="30"/>
      <c r="O211" s="30"/>
      <c r="P211" s="30"/>
      <c r="Q211" s="30"/>
    </row>
    <row r="212" spans="1:17" x14ac:dyDescent="0.25">
      <c r="A212" s="30" t="s">
        <v>2533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7"/>
        <v>15.25</v>
      </c>
      <c r="I212" s="30"/>
      <c r="J212" s="30"/>
      <c r="K212" s="30"/>
      <c r="L212" s="30"/>
      <c r="M212" s="30"/>
      <c r="N212" s="30"/>
      <c r="O212" s="30"/>
      <c r="P212" s="30"/>
      <c r="Q212" s="30"/>
    </row>
    <row r="213" spans="1:17" x14ac:dyDescent="0.25">
      <c r="A213" s="30" t="s">
        <v>2535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7"/>
        <v>24.500000000000004</v>
      </c>
      <c r="I213" s="30"/>
      <c r="J213" s="30"/>
      <c r="K213" s="30"/>
      <c r="L213" s="30"/>
      <c r="M213" s="30"/>
      <c r="N213" s="30"/>
      <c r="O213" s="30"/>
      <c r="P213" s="30"/>
      <c r="Q213" s="30"/>
    </row>
    <row r="214" spans="1:17" x14ac:dyDescent="0.25">
      <c r="A214" s="30" t="s">
        <v>2536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7"/>
        <v>19.75</v>
      </c>
      <c r="I214" s="30"/>
      <c r="J214" s="30"/>
      <c r="K214" s="30"/>
      <c r="L214" s="30"/>
      <c r="M214" s="30"/>
      <c r="N214" s="30"/>
      <c r="O214" s="30"/>
      <c r="P214" s="30"/>
      <c r="Q214" s="30"/>
    </row>
    <row r="215" spans="1:17" x14ac:dyDescent="0.25">
      <c r="A215" s="30" t="s">
        <v>2537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7"/>
        <v>34</v>
      </c>
      <c r="I215" s="30"/>
      <c r="J215" s="30"/>
      <c r="K215" s="30"/>
      <c r="L215" s="30"/>
      <c r="M215" s="30"/>
      <c r="N215" s="30"/>
      <c r="O215" s="30"/>
      <c r="P215" s="30"/>
      <c r="Q215" s="30"/>
    </row>
    <row r="216" spans="1:17" x14ac:dyDescent="0.25">
      <c r="A216" s="30" t="s">
        <v>2538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7"/>
        <v>18.5</v>
      </c>
      <c r="I216" s="30"/>
      <c r="J216" s="30"/>
      <c r="K216" s="30"/>
      <c r="L216" s="30"/>
      <c r="M216" s="30"/>
      <c r="N216" s="30"/>
      <c r="O216" s="30"/>
      <c r="P216" s="30"/>
      <c r="Q216" s="30"/>
    </row>
    <row r="217" spans="1:17" x14ac:dyDescent="0.25">
      <c r="A217" s="30" t="s">
        <v>2539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7"/>
        <v>24.75</v>
      </c>
      <c r="I217" s="30"/>
      <c r="J217" s="30"/>
      <c r="K217" s="30"/>
      <c r="L217" s="30"/>
      <c r="M217" s="30"/>
      <c r="N217" s="30"/>
      <c r="O217" s="30"/>
      <c r="P217" s="30"/>
      <c r="Q217" s="30"/>
    </row>
    <row r="218" spans="1:17" x14ac:dyDescent="0.25">
      <c r="A218" s="30" t="s">
        <v>2540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7"/>
        <v>23.5</v>
      </c>
      <c r="I218" s="30"/>
      <c r="J218" s="30"/>
      <c r="K218" s="30"/>
      <c r="L218" s="30"/>
      <c r="M218" s="30"/>
      <c r="N218" s="30"/>
      <c r="O218" s="30"/>
      <c r="P218" s="30"/>
      <c r="Q218" s="30"/>
    </row>
    <row r="219" spans="1:17" x14ac:dyDescent="0.25">
      <c r="A219" s="30" t="s">
        <v>2541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7"/>
        <v>28.7</v>
      </c>
      <c r="I219" s="30"/>
      <c r="J219" s="30"/>
      <c r="K219" s="30"/>
      <c r="L219" s="30"/>
      <c r="M219" s="30"/>
      <c r="N219" s="30"/>
      <c r="O219" s="30"/>
      <c r="P219" s="30"/>
      <c r="Q219" s="30"/>
    </row>
    <row r="220" spans="1:17" x14ac:dyDescent="0.25">
      <c r="A220" s="30" t="s">
        <v>2544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7"/>
        <v>35.700000000000003</v>
      </c>
      <c r="I220" s="30"/>
      <c r="J220" s="30"/>
      <c r="K220" s="30"/>
      <c r="L220" s="30"/>
      <c r="M220" s="30"/>
      <c r="N220" s="30"/>
      <c r="O220" s="30"/>
      <c r="P220" s="30"/>
      <c r="Q220" s="30"/>
    </row>
    <row r="221" spans="1:17" x14ac:dyDescent="0.25">
      <c r="B221" s="8"/>
    </row>
    <row r="222" spans="1:17" ht="15.75" hidden="1" thickBot="1" x14ac:dyDescent="0.3">
      <c r="B222" s="8"/>
    </row>
    <row r="223" spans="1:17" hidden="1" x14ac:dyDescent="0.25">
      <c r="A223" s="37" t="s">
        <v>1985</v>
      </c>
      <c r="B223" s="38" t="s">
        <v>311</v>
      </c>
      <c r="C223" s="38" t="s">
        <v>1545</v>
      </c>
      <c r="D223" s="38" t="s">
        <v>1527</v>
      </c>
      <c r="E223" s="38" t="s">
        <v>1546</v>
      </c>
      <c r="F223" s="38" t="s">
        <v>1547</v>
      </c>
      <c r="G223" s="40" t="s">
        <v>1861</v>
      </c>
      <c r="H223" s="38" t="s">
        <v>1862</v>
      </c>
      <c r="I223" s="65" t="s">
        <v>1989</v>
      </c>
      <c r="J223" s="66" t="s">
        <v>1990</v>
      </c>
      <c r="K223" s="67" t="s">
        <v>1991</v>
      </c>
    </row>
    <row r="224" spans="1:17" ht="15.75" hidden="1" thickBot="1" x14ac:dyDescent="0.3">
      <c r="A224" t="s">
        <v>1846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62">
        <f>AVERAGE(D224:D297)</f>
        <v>32.629054054054059</v>
      </c>
      <c r="J224" s="63">
        <f>_xlfn.STDEV.P(D224:D297)</f>
        <v>12.67105663045562</v>
      </c>
      <c r="K224" s="64">
        <f>MEDIAN(D224:D297)</f>
        <v>31.625</v>
      </c>
    </row>
    <row r="225" spans="1:8" hidden="1" x14ac:dyDescent="0.25">
      <c r="A225" t="s">
        <v>1847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8">D225-G225</f>
        <v>1.25</v>
      </c>
    </row>
    <row r="226" spans="1:8" hidden="1" x14ac:dyDescent="0.25">
      <c r="A226" t="s">
        <v>1844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8"/>
        <v>9.75</v>
      </c>
    </row>
    <row r="227" spans="1:8" hidden="1" x14ac:dyDescent="0.25">
      <c r="A227" t="s">
        <v>1795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8"/>
        <v>15.5</v>
      </c>
    </row>
    <row r="228" spans="1:8" hidden="1" x14ac:dyDescent="0.25">
      <c r="A228" t="s">
        <v>1845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8"/>
        <v>14.25</v>
      </c>
    </row>
    <row r="229" spans="1:8" hidden="1" x14ac:dyDescent="0.25">
      <c r="A229" t="s">
        <v>1797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8"/>
        <v>48.1</v>
      </c>
    </row>
    <row r="230" spans="1:8" hidden="1" x14ac:dyDescent="0.25">
      <c r="A230" t="s">
        <v>1791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8"/>
        <v>22.5</v>
      </c>
    </row>
    <row r="231" spans="1:8" hidden="1" x14ac:dyDescent="0.25">
      <c r="A231" t="s">
        <v>1792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8"/>
        <v>36.5</v>
      </c>
    </row>
    <row r="232" spans="1:8" hidden="1" x14ac:dyDescent="0.25">
      <c r="A232" t="s">
        <v>1793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8"/>
        <v>23.75</v>
      </c>
    </row>
    <row r="233" spans="1:8" hidden="1" x14ac:dyDescent="0.25">
      <c r="A233" t="s">
        <v>1789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8"/>
        <v>55.2</v>
      </c>
    </row>
    <row r="234" spans="1:8" hidden="1" x14ac:dyDescent="0.25">
      <c r="A234" t="s">
        <v>1790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8"/>
        <v>57.45</v>
      </c>
    </row>
    <row r="235" spans="1:8" hidden="1" x14ac:dyDescent="0.25">
      <c r="A235" t="s">
        <v>1843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8"/>
        <v>19</v>
      </c>
    </row>
    <row r="236" spans="1:8" hidden="1" x14ac:dyDescent="0.25">
      <c r="A236" t="s">
        <v>1786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8"/>
        <v>26.5</v>
      </c>
    </row>
    <row r="237" spans="1:8" hidden="1" x14ac:dyDescent="0.25">
      <c r="A237" t="s">
        <v>1787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8"/>
        <v>9.75</v>
      </c>
    </row>
    <row r="238" spans="1:8" hidden="1" x14ac:dyDescent="0.25">
      <c r="A238" t="s">
        <v>1788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8"/>
        <v>26.1</v>
      </c>
    </row>
    <row r="239" spans="1:8" hidden="1" x14ac:dyDescent="0.25">
      <c r="A239" t="s">
        <v>1800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8"/>
        <v>6.75</v>
      </c>
    </row>
    <row r="240" spans="1:8" hidden="1" x14ac:dyDescent="0.25">
      <c r="A240" t="s">
        <v>1801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8"/>
        <v>25.75</v>
      </c>
    </row>
    <row r="241" spans="1:8" hidden="1" x14ac:dyDescent="0.25">
      <c r="A241" t="s">
        <v>1802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8"/>
        <v>26</v>
      </c>
    </row>
    <row r="242" spans="1:8" hidden="1" x14ac:dyDescent="0.25">
      <c r="A242" t="s">
        <v>1803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8"/>
        <v>23.25</v>
      </c>
    </row>
    <row r="243" spans="1:8" hidden="1" x14ac:dyDescent="0.25">
      <c r="A243" t="s">
        <v>1804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8"/>
        <v>37.75</v>
      </c>
    </row>
    <row r="244" spans="1:8" hidden="1" x14ac:dyDescent="0.25">
      <c r="A244" t="s">
        <v>1848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8"/>
        <v>18.5</v>
      </c>
    </row>
    <row r="245" spans="1:8" hidden="1" x14ac:dyDescent="0.25">
      <c r="A245" t="s">
        <v>1805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8"/>
        <v>39.25</v>
      </c>
    </row>
    <row r="246" spans="1:8" hidden="1" x14ac:dyDescent="0.25">
      <c r="A246" t="s">
        <v>1768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8"/>
        <v>31.25</v>
      </c>
    </row>
    <row r="247" spans="1:8" hidden="1" x14ac:dyDescent="0.25">
      <c r="A247" t="s">
        <v>1769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8"/>
        <v>19</v>
      </c>
    </row>
    <row r="248" spans="1:8" hidden="1" x14ac:dyDescent="0.25">
      <c r="A248" t="s">
        <v>1849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8"/>
        <v>19.5</v>
      </c>
    </row>
    <row r="249" spans="1:8" hidden="1" x14ac:dyDescent="0.25">
      <c r="A249" t="s">
        <v>1771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8"/>
        <v>15.75</v>
      </c>
    </row>
    <row r="250" spans="1:8" hidden="1" x14ac:dyDescent="0.25">
      <c r="A250" t="s">
        <v>1806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8"/>
        <v>34.200000000000003</v>
      </c>
    </row>
    <row r="251" spans="1:8" hidden="1" x14ac:dyDescent="0.25">
      <c r="A251" t="s">
        <v>1807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8"/>
        <v>24.5</v>
      </c>
    </row>
    <row r="252" spans="1:8" hidden="1" x14ac:dyDescent="0.25">
      <c r="A252" t="s">
        <v>1808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8"/>
        <v>30</v>
      </c>
    </row>
    <row r="253" spans="1:8" hidden="1" x14ac:dyDescent="0.25">
      <c r="A253" t="s">
        <v>1809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8"/>
        <v>18.5</v>
      </c>
    </row>
    <row r="254" spans="1:8" hidden="1" x14ac:dyDescent="0.25">
      <c r="A254" t="s">
        <v>1810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8"/>
        <v>36.5</v>
      </c>
    </row>
    <row r="255" spans="1:8" hidden="1" x14ac:dyDescent="0.25">
      <c r="A255" t="s">
        <v>1811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8"/>
        <v>36</v>
      </c>
    </row>
    <row r="256" spans="1:8" hidden="1" x14ac:dyDescent="0.25">
      <c r="A256" t="s">
        <v>1812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8"/>
        <v>14.75</v>
      </c>
    </row>
    <row r="257" spans="1:8" hidden="1" x14ac:dyDescent="0.25">
      <c r="A257" t="s">
        <v>1813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8"/>
        <v>28.6</v>
      </c>
    </row>
    <row r="258" spans="1:8" hidden="1" x14ac:dyDescent="0.25">
      <c r="A258" t="s">
        <v>1814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8"/>
        <v>25.25</v>
      </c>
    </row>
    <row r="259" spans="1:8" hidden="1" x14ac:dyDescent="0.25">
      <c r="A259" t="s">
        <v>1773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8"/>
        <v>3.75</v>
      </c>
    </row>
    <row r="260" spans="1:8" hidden="1" x14ac:dyDescent="0.25">
      <c r="A260" t="s">
        <v>1815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8"/>
        <v>11.5</v>
      </c>
    </row>
    <row r="261" spans="1:8" hidden="1" x14ac:dyDescent="0.25">
      <c r="A261" t="s">
        <v>1816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8"/>
        <v>28.25</v>
      </c>
    </row>
    <row r="262" spans="1:8" hidden="1" x14ac:dyDescent="0.25">
      <c r="A262" t="s">
        <v>1817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8"/>
        <v>22</v>
      </c>
    </row>
    <row r="263" spans="1:8" hidden="1" x14ac:dyDescent="0.25">
      <c r="A263" t="s">
        <v>1850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8"/>
        <v>25.5</v>
      </c>
    </row>
    <row r="264" spans="1:8" hidden="1" x14ac:dyDescent="0.25">
      <c r="A264" t="s">
        <v>1819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8"/>
        <v>39.5</v>
      </c>
    </row>
    <row r="265" spans="1:8" hidden="1" x14ac:dyDescent="0.25">
      <c r="A265" t="s">
        <v>1820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8"/>
        <v>7.25</v>
      </c>
    </row>
    <row r="266" spans="1:8" hidden="1" x14ac:dyDescent="0.25">
      <c r="A266" t="s">
        <v>1821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8"/>
        <v>13</v>
      </c>
    </row>
    <row r="267" spans="1:8" hidden="1" x14ac:dyDescent="0.25">
      <c r="A267" t="s">
        <v>1822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8"/>
        <v>9.25</v>
      </c>
    </row>
    <row r="268" spans="1:8" hidden="1" x14ac:dyDescent="0.25">
      <c r="A268" t="s">
        <v>1823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8"/>
        <v>7.25</v>
      </c>
    </row>
    <row r="269" spans="1:8" hidden="1" x14ac:dyDescent="0.25">
      <c r="A269" t="s">
        <v>1824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8"/>
        <v>43.5</v>
      </c>
    </row>
    <row r="270" spans="1:8" hidden="1" x14ac:dyDescent="0.25">
      <c r="A270" t="s">
        <v>1774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8"/>
        <v>34.75</v>
      </c>
    </row>
    <row r="271" spans="1:8" hidden="1" x14ac:dyDescent="0.25">
      <c r="A271" t="s">
        <v>1825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8"/>
        <v>32</v>
      </c>
    </row>
    <row r="272" spans="1:8" hidden="1" x14ac:dyDescent="0.25">
      <c r="A272" t="s">
        <v>1826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8"/>
        <v>20.25</v>
      </c>
    </row>
    <row r="273" spans="1:8" hidden="1" x14ac:dyDescent="0.25">
      <c r="A273" t="s">
        <v>1827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8"/>
        <v>14.250000000000002</v>
      </c>
    </row>
    <row r="274" spans="1:8" hidden="1" x14ac:dyDescent="0.25">
      <c r="A274" t="s">
        <v>1851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8"/>
        <v>6</v>
      </c>
    </row>
    <row r="275" spans="1:8" hidden="1" x14ac:dyDescent="0.25">
      <c r="A275" t="s">
        <v>1852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8"/>
        <v>20</v>
      </c>
    </row>
    <row r="276" spans="1:8" hidden="1" x14ac:dyDescent="0.25">
      <c r="A276" t="s">
        <v>1853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8"/>
        <v>39</v>
      </c>
    </row>
    <row r="277" spans="1:8" hidden="1" x14ac:dyDescent="0.25">
      <c r="A277" t="s">
        <v>1854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8"/>
        <v>28.75</v>
      </c>
    </row>
    <row r="278" spans="1:8" hidden="1" x14ac:dyDescent="0.25">
      <c r="A278" t="s">
        <v>1776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8"/>
        <v>30.000000000000004</v>
      </c>
    </row>
    <row r="279" spans="1:8" hidden="1" x14ac:dyDescent="0.25">
      <c r="A279" t="s">
        <v>1832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8"/>
        <v>20.45</v>
      </c>
    </row>
    <row r="280" spans="1:8" hidden="1" x14ac:dyDescent="0.25">
      <c r="A280" t="s">
        <v>1777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8"/>
        <v>25.25</v>
      </c>
    </row>
    <row r="281" spans="1:8" hidden="1" x14ac:dyDescent="0.25">
      <c r="A281" t="s">
        <v>1855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8"/>
        <v>24</v>
      </c>
    </row>
    <row r="282" spans="1:8" hidden="1" x14ac:dyDescent="0.25">
      <c r="A282" t="s">
        <v>1778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8"/>
        <v>11.5</v>
      </c>
    </row>
    <row r="283" spans="1:8" hidden="1" x14ac:dyDescent="0.25">
      <c r="A283" t="s">
        <v>1856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8"/>
        <v>14.25</v>
      </c>
    </row>
    <row r="284" spans="1:8" hidden="1" x14ac:dyDescent="0.25">
      <c r="A284" t="s">
        <v>1835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8"/>
        <v>32.25</v>
      </c>
    </row>
    <row r="285" spans="1:8" hidden="1" x14ac:dyDescent="0.25">
      <c r="A285" t="s">
        <v>1779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8"/>
        <v>32</v>
      </c>
    </row>
    <row r="286" spans="1:8" hidden="1" x14ac:dyDescent="0.25">
      <c r="A286" t="s">
        <v>1836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8"/>
        <v>15</v>
      </c>
    </row>
    <row r="287" spans="1:8" hidden="1" x14ac:dyDescent="0.25">
      <c r="A287" t="s">
        <v>1837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8"/>
        <v>28.5</v>
      </c>
    </row>
    <row r="288" spans="1:8" hidden="1" x14ac:dyDescent="0.25">
      <c r="A288" t="s">
        <v>1780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8"/>
        <v>47.5</v>
      </c>
    </row>
    <row r="289" spans="1:11" hidden="1" x14ac:dyDescent="0.25">
      <c r="A289" t="s">
        <v>1838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9">D289-G289</f>
        <v>6.75</v>
      </c>
    </row>
    <row r="290" spans="1:11" hidden="1" x14ac:dyDescent="0.25">
      <c r="A290" t="s">
        <v>1857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9"/>
        <v>18.75</v>
      </c>
    </row>
    <row r="291" spans="1:11" hidden="1" x14ac:dyDescent="0.25">
      <c r="A291" t="s">
        <v>1839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9"/>
        <v>15.75</v>
      </c>
    </row>
    <row r="292" spans="1:11" hidden="1" x14ac:dyDescent="0.25">
      <c r="A292" t="s">
        <v>1840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9"/>
        <v>16.25</v>
      </c>
    </row>
    <row r="293" spans="1:11" hidden="1" x14ac:dyDescent="0.25">
      <c r="A293" t="s">
        <v>1858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9"/>
        <v>52.75</v>
      </c>
    </row>
    <row r="294" spans="1:11" hidden="1" x14ac:dyDescent="0.25">
      <c r="A294" t="s">
        <v>1859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9"/>
        <v>25.75</v>
      </c>
    </row>
    <row r="295" spans="1:11" hidden="1" x14ac:dyDescent="0.25">
      <c r="A295" t="s">
        <v>1860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9"/>
        <v>67.75</v>
      </c>
    </row>
    <row r="296" spans="1:11" hidden="1" x14ac:dyDescent="0.25">
      <c r="A296" t="s">
        <v>1784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9"/>
        <v>68.25</v>
      </c>
    </row>
    <row r="297" spans="1:11" hidden="1" x14ac:dyDescent="0.25">
      <c r="A297" t="s">
        <v>1842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9"/>
        <v>13.5</v>
      </c>
    </row>
    <row r="298" spans="1:11" hidden="1" x14ac:dyDescent="0.25"/>
    <row r="299" spans="1:11" hidden="1" x14ac:dyDescent="0.25"/>
    <row r="300" spans="1:11" ht="15.75" hidden="1" thickBot="1" x14ac:dyDescent="0.3"/>
    <row r="301" spans="1:11" hidden="1" x14ac:dyDescent="0.25">
      <c r="A301" s="37" t="s">
        <v>1986</v>
      </c>
      <c r="B301" s="38" t="s">
        <v>311</v>
      </c>
      <c r="C301" s="38" t="s">
        <v>1545</v>
      </c>
      <c r="D301" s="38" t="s">
        <v>1527</v>
      </c>
      <c r="E301" s="38" t="s">
        <v>1546</v>
      </c>
      <c r="F301" s="38" t="s">
        <v>1547</v>
      </c>
      <c r="G301" s="40" t="s">
        <v>1861</v>
      </c>
      <c r="H301" s="38" t="s">
        <v>1862</v>
      </c>
      <c r="I301" s="65" t="s">
        <v>1989</v>
      </c>
      <c r="J301" s="66" t="s">
        <v>1990</v>
      </c>
      <c r="K301" s="67" t="s">
        <v>1991</v>
      </c>
    </row>
    <row r="302" spans="1:11" ht="15.75" hidden="1" thickBot="1" x14ac:dyDescent="0.3">
      <c r="A302" t="s">
        <v>1843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62">
        <f>AVERAGE(D302:D439)</f>
        <v>32.767028985507231</v>
      </c>
      <c r="J302" s="63">
        <f>_xlfn.STDEV.P(D302:D439)</f>
        <v>11.157343874439579</v>
      </c>
      <c r="K302" s="64">
        <f>MEDIAN(D302:D439)</f>
        <v>31.625</v>
      </c>
    </row>
    <row r="303" spans="1:11" hidden="1" x14ac:dyDescent="0.25">
      <c r="A303" t="s">
        <v>1786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10">D303-G303</f>
        <v>26.5</v>
      </c>
    </row>
    <row r="304" spans="1:11" hidden="1" x14ac:dyDescent="0.25">
      <c r="A304" t="s">
        <v>1787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10"/>
        <v>9.75</v>
      </c>
    </row>
    <row r="305" spans="1:8" hidden="1" x14ac:dyDescent="0.25">
      <c r="A305" t="s">
        <v>1788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10"/>
        <v>26.1</v>
      </c>
    </row>
    <row r="306" spans="1:8" hidden="1" x14ac:dyDescent="0.25">
      <c r="A306" t="s">
        <v>1789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10"/>
        <v>55.2</v>
      </c>
    </row>
    <row r="307" spans="1:8" hidden="1" x14ac:dyDescent="0.25">
      <c r="A307" t="s">
        <v>1790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10"/>
        <v>57.45</v>
      </c>
    </row>
    <row r="308" spans="1:8" hidden="1" x14ac:dyDescent="0.25">
      <c r="A308" t="s">
        <v>1791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10"/>
        <v>22.5</v>
      </c>
    </row>
    <row r="309" spans="1:8" hidden="1" x14ac:dyDescent="0.25">
      <c r="A309" t="s">
        <v>1792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10"/>
        <v>36.5</v>
      </c>
    </row>
    <row r="310" spans="1:8" hidden="1" x14ac:dyDescent="0.25">
      <c r="A310" t="s">
        <v>1793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10"/>
        <v>23.75</v>
      </c>
    </row>
    <row r="311" spans="1:8" hidden="1" x14ac:dyDescent="0.25">
      <c r="A311" t="s">
        <v>1794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10"/>
        <v>16</v>
      </c>
    </row>
    <row r="312" spans="1:8" hidden="1" x14ac:dyDescent="0.25">
      <c r="A312" t="s">
        <v>1795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10"/>
        <v>15.5</v>
      </c>
    </row>
    <row r="313" spans="1:8" hidden="1" x14ac:dyDescent="0.25">
      <c r="A313" t="s">
        <v>1796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10"/>
        <v>13.5</v>
      </c>
    </row>
    <row r="314" spans="1:8" hidden="1" x14ac:dyDescent="0.25">
      <c r="A314" t="s">
        <v>1797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10"/>
        <v>48.1</v>
      </c>
    </row>
    <row r="315" spans="1:8" hidden="1" x14ac:dyDescent="0.25">
      <c r="A315" t="s">
        <v>1846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10"/>
        <v>21</v>
      </c>
    </row>
    <row r="316" spans="1:8" hidden="1" x14ac:dyDescent="0.25">
      <c r="A316" t="s">
        <v>1847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10"/>
        <v>1.25</v>
      </c>
    </row>
    <row r="317" spans="1:8" hidden="1" x14ac:dyDescent="0.25">
      <c r="A317" t="s">
        <v>1800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10"/>
        <v>6.75</v>
      </c>
    </row>
    <row r="318" spans="1:8" hidden="1" x14ac:dyDescent="0.25">
      <c r="A318" t="s">
        <v>1801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10"/>
        <v>25.75</v>
      </c>
    </row>
    <row r="319" spans="1:8" hidden="1" x14ac:dyDescent="0.25">
      <c r="A319" t="s">
        <v>1802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10"/>
        <v>26</v>
      </c>
    </row>
    <row r="320" spans="1:8" hidden="1" x14ac:dyDescent="0.25">
      <c r="A320" t="s">
        <v>1803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10"/>
        <v>23.25</v>
      </c>
    </row>
    <row r="321" spans="1:8" hidden="1" x14ac:dyDescent="0.25">
      <c r="A321" t="s">
        <v>1804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10"/>
        <v>37.75</v>
      </c>
    </row>
    <row r="322" spans="1:8" hidden="1" x14ac:dyDescent="0.25">
      <c r="A322" t="s">
        <v>1848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10"/>
        <v>18.5</v>
      </c>
    </row>
    <row r="323" spans="1:8" hidden="1" x14ac:dyDescent="0.25">
      <c r="A323" t="s">
        <v>1805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10"/>
        <v>39.25</v>
      </c>
    </row>
    <row r="324" spans="1:8" hidden="1" x14ac:dyDescent="0.25">
      <c r="A324" t="s">
        <v>1768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10"/>
        <v>31.25</v>
      </c>
    </row>
    <row r="325" spans="1:8" hidden="1" x14ac:dyDescent="0.25">
      <c r="A325" t="s">
        <v>1769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10"/>
        <v>19</v>
      </c>
    </row>
    <row r="326" spans="1:8" hidden="1" x14ac:dyDescent="0.25">
      <c r="A326" t="s">
        <v>1849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10"/>
        <v>19.5</v>
      </c>
    </row>
    <row r="327" spans="1:8" hidden="1" x14ac:dyDescent="0.25">
      <c r="A327" t="s">
        <v>1771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10"/>
        <v>15.75</v>
      </c>
    </row>
    <row r="328" spans="1:8" hidden="1" x14ac:dyDescent="0.25">
      <c r="A328" t="s">
        <v>1806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10"/>
        <v>34.200000000000003</v>
      </c>
    </row>
    <row r="329" spans="1:8" hidden="1" x14ac:dyDescent="0.25">
      <c r="A329" t="s">
        <v>1807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10"/>
        <v>24.5</v>
      </c>
    </row>
    <row r="330" spans="1:8" hidden="1" x14ac:dyDescent="0.25">
      <c r="A330" t="s">
        <v>1808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10"/>
        <v>30</v>
      </c>
    </row>
    <row r="331" spans="1:8" hidden="1" x14ac:dyDescent="0.25">
      <c r="A331" t="s">
        <v>1809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10"/>
        <v>18.5</v>
      </c>
    </row>
    <row r="332" spans="1:8" hidden="1" x14ac:dyDescent="0.25">
      <c r="A332" t="s">
        <v>1810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10"/>
        <v>36.5</v>
      </c>
    </row>
    <row r="333" spans="1:8" hidden="1" x14ac:dyDescent="0.25">
      <c r="A333" t="s">
        <v>1811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10"/>
        <v>36</v>
      </c>
    </row>
    <row r="334" spans="1:8" hidden="1" x14ac:dyDescent="0.25">
      <c r="A334" t="s">
        <v>1812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10"/>
        <v>14.75</v>
      </c>
    </row>
    <row r="335" spans="1:8" hidden="1" x14ac:dyDescent="0.25">
      <c r="A335" t="s">
        <v>1813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10"/>
        <v>28.6</v>
      </c>
    </row>
    <row r="336" spans="1:8" hidden="1" x14ac:dyDescent="0.25">
      <c r="A336" t="s">
        <v>1814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10"/>
        <v>25.25</v>
      </c>
    </row>
    <row r="337" spans="1:8" hidden="1" x14ac:dyDescent="0.25">
      <c r="A337" t="s">
        <v>1773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10"/>
        <v>3.75</v>
      </c>
    </row>
    <row r="338" spans="1:8" hidden="1" x14ac:dyDescent="0.25">
      <c r="A338" t="s">
        <v>1815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10"/>
        <v>11.5</v>
      </c>
    </row>
    <row r="339" spans="1:8" hidden="1" x14ac:dyDescent="0.25">
      <c r="A339" t="s">
        <v>1816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10"/>
        <v>28.25</v>
      </c>
    </row>
    <row r="340" spans="1:8" hidden="1" x14ac:dyDescent="0.25">
      <c r="A340" t="s">
        <v>1817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10"/>
        <v>22</v>
      </c>
    </row>
    <row r="341" spans="1:8" hidden="1" x14ac:dyDescent="0.25">
      <c r="A341" t="s">
        <v>1850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10"/>
        <v>25.5</v>
      </c>
    </row>
    <row r="342" spans="1:8" hidden="1" x14ac:dyDescent="0.25">
      <c r="A342" t="s">
        <v>1819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10"/>
        <v>39.5</v>
      </c>
    </row>
    <row r="343" spans="1:8" hidden="1" x14ac:dyDescent="0.25">
      <c r="A343" t="s">
        <v>1820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10"/>
        <v>7.25</v>
      </c>
    </row>
    <row r="344" spans="1:8" hidden="1" x14ac:dyDescent="0.25">
      <c r="A344" t="s">
        <v>1821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10"/>
        <v>13</v>
      </c>
    </row>
    <row r="345" spans="1:8" hidden="1" x14ac:dyDescent="0.25">
      <c r="A345" t="s">
        <v>1822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10"/>
        <v>9.25</v>
      </c>
    </row>
    <row r="346" spans="1:8" hidden="1" x14ac:dyDescent="0.25">
      <c r="A346" t="s">
        <v>1823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10"/>
        <v>7.25</v>
      </c>
    </row>
    <row r="347" spans="1:8" hidden="1" x14ac:dyDescent="0.25">
      <c r="A347" t="s">
        <v>1824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10"/>
        <v>43.5</v>
      </c>
    </row>
    <row r="348" spans="1:8" hidden="1" x14ac:dyDescent="0.25">
      <c r="A348" t="s">
        <v>1774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10"/>
        <v>34.75</v>
      </c>
    </row>
    <row r="349" spans="1:8" hidden="1" x14ac:dyDescent="0.25">
      <c r="A349" t="s">
        <v>1825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10"/>
        <v>32</v>
      </c>
    </row>
    <row r="350" spans="1:8" hidden="1" x14ac:dyDescent="0.25">
      <c r="A350" t="s">
        <v>1826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10"/>
        <v>20.25</v>
      </c>
    </row>
    <row r="351" spans="1:8" hidden="1" x14ac:dyDescent="0.25">
      <c r="A351" t="s">
        <v>1827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10"/>
        <v>14.250000000000002</v>
      </c>
    </row>
    <row r="352" spans="1:8" hidden="1" x14ac:dyDescent="0.25">
      <c r="A352" t="s">
        <v>1828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10"/>
        <v>6</v>
      </c>
    </row>
    <row r="353" spans="1:8" hidden="1" x14ac:dyDescent="0.25">
      <c r="A353" t="s">
        <v>1863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10"/>
        <v>20</v>
      </c>
    </row>
    <row r="354" spans="1:8" hidden="1" x14ac:dyDescent="0.25">
      <c r="A354" t="s">
        <v>1775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10"/>
        <v>39</v>
      </c>
    </row>
    <row r="355" spans="1:8" hidden="1" x14ac:dyDescent="0.25">
      <c r="A355" t="s">
        <v>1854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10"/>
        <v>28.75</v>
      </c>
    </row>
    <row r="356" spans="1:8" hidden="1" x14ac:dyDescent="0.25">
      <c r="A356" t="s">
        <v>1776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10"/>
        <v>30.000000000000004</v>
      </c>
    </row>
    <row r="357" spans="1:8" hidden="1" x14ac:dyDescent="0.25">
      <c r="A357" t="s">
        <v>1832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10"/>
        <v>20.45</v>
      </c>
    </row>
    <row r="358" spans="1:8" hidden="1" x14ac:dyDescent="0.25">
      <c r="A358" t="s">
        <v>1777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10"/>
        <v>25.25</v>
      </c>
    </row>
    <row r="359" spans="1:8" hidden="1" x14ac:dyDescent="0.25">
      <c r="A359" t="s">
        <v>1833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10"/>
        <v>18.25</v>
      </c>
    </row>
    <row r="360" spans="1:8" hidden="1" x14ac:dyDescent="0.25">
      <c r="A360" t="s">
        <v>1778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10"/>
        <v>11.5</v>
      </c>
    </row>
    <row r="361" spans="1:8" hidden="1" x14ac:dyDescent="0.25">
      <c r="A361" t="s">
        <v>1856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10"/>
        <v>14.25</v>
      </c>
    </row>
    <row r="362" spans="1:8" hidden="1" x14ac:dyDescent="0.25">
      <c r="A362" t="s">
        <v>1835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10"/>
        <v>32.25</v>
      </c>
    </row>
    <row r="363" spans="1:8" hidden="1" x14ac:dyDescent="0.25">
      <c r="A363" t="s">
        <v>1779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10"/>
        <v>32</v>
      </c>
    </row>
    <row r="364" spans="1:8" hidden="1" x14ac:dyDescent="0.25">
      <c r="A364" t="s">
        <v>1836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10"/>
        <v>15</v>
      </c>
    </row>
    <row r="365" spans="1:8" hidden="1" x14ac:dyDescent="0.25">
      <c r="A365" t="s">
        <v>1837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10"/>
        <v>28.5</v>
      </c>
    </row>
    <row r="366" spans="1:8" hidden="1" x14ac:dyDescent="0.25">
      <c r="A366" t="s">
        <v>1780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10"/>
        <v>47.5</v>
      </c>
    </row>
    <row r="367" spans="1:8" hidden="1" x14ac:dyDescent="0.25">
      <c r="A367" t="s">
        <v>1838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1">D367-G367</f>
        <v>6.75</v>
      </c>
    </row>
    <row r="368" spans="1:8" hidden="1" x14ac:dyDescent="0.25">
      <c r="A368" t="s">
        <v>1857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1"/>
        <v>18.75</v>
      </c>
    </row>
    <row r="369" spans="1:12" hidden="1" x14ac:dyDescent="0.25">
      <c r="A369" t="s">
        <v>1839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1"/>
        <v>15.75</v>
      </c>
    </row>
    <row r="370" spans="1:12" hidden="1" x14ac:dyDescent="0.25">
      <c r="A370" t="s">
        <v>1840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1"/>
        <v>16.25</v>
      </c>
    </row>
    <row r="371" spans="1:12" hidden="1" x14ac:dyDescent="0.25">
      <c r="A371" t="s">
        <v>1782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1"/>
        <v>23.5</v>
      </c>
    </row>
    <row r="372" spans="1:12" hidden="1" x14ac:dyDescent="0.25">
      <c r="A372" t="s">
        <v>1859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1"/>
        <v>25.75</v>
      </c>
    </row>
    <row r="373" spans="1:12" hidden="1" x14ac:dyDescent="0.25">
      <c r="A373" t="s">
        <v>1860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1"/>
        <v>67.75</v>
      </c>
    </row>
    <row r="374" spans="1:12" hidden="1" x14ac:dyDescent="0.25">
      <c r="A374" t="s">
        <v>1784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1"/>
        <v>68.25</v>
      </c>
    </row>
    <row r="375" spans="1:12" hidden="1" x14ac:dyDescent="0.25">
      <c r="A375" t="s">
        <v>1842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1"/>
        <v>13.5</v>
      </c>
    </row>
    <row r="376" spans="1:12" hidden="1" x14ac:dyDescent="0.25">
      <c r="A376" s="30" t="s">
        <v>2472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1"/>
        <v>23.5</v>
      </c>
      <c r="I376" s="30"/>
      <c r="J376" s="30"/>
      <c r="K376" s="30"/>
      <c r="L376" s="30"/>
    </row>
    <row r="377" spans="1:12" hidden="1" x14ac:dyDescent="0.25">
      <c r="A377" s="30" t="s">
        <v>2473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1"/>
        <v>27.75</v>
      </c>
      <c r="I377" s="30"/>
      <c r="J377" s="30"/>
      <c r="K377" s="30"/>
      <c r="L377" s="30"/>
    </row>
    <row r="378" spans="1:12" hidden="1" x14ac:dyDescent="0.25">
      <c r="A378" s="30" t="s">
        <v>2474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1"/>
        <v>26.25</v>
      </c>
      <c r="I378" s="30"/>
      <c r="J378" s="30"/>
      <c r="K378" s="30"/>
      <c r="L378" s="30"/>
    </row>
    <row r="379" spans="1:12" hidden="1" x14ac:dyDescent="0.25">
      <c r="A379" s="30" t="s">
        <v>2545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1"/>
        <v>35.6</v>
      </c>
      <c r="I379" s="30"/>
      <c r="J379" s="30"/>
      <c r="K379" s="30"/>
      <c r="L379" s="30"/>
    </row>
    <row r="380" spans="1:12" hidden="1" x14ac:dyDescent="0.25">
      <c r="A380" s="30" t="s">
        <v>2546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1"/>
        <v>61.1</v>
      </c>
      <c r="I380" s="30"/>
      <c r="J380" s="30"/>
      <c r="K380" s="30"/>
      <c r="L380" s="30"/>
    </row>
    <row r="381" spans="1:12" hidden="1" x14ac:dyDescent="0.25">
      <c r="A381" s="30" t="s">
        <v>2477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1"/>
        <v>37.1</v>
      </c>
      <c r="I381" s="30"/>
      <c r="J381" s="30"/>
      <c r="K381" s="30"/>
      <c r="L381" s="30"/>
    </row>
    <row r="382" spans="1:12" hidden="1" x14ac:dyDescent="0.25">
      <c r="A382" s="30" t="s">
        <v>2478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1"/>
        <v>13.5</v>
      </c>
      <c r="I382" s="30"/>
      <c r="J382" s="30"/>
      <c r="K382" s="30"/>
      <c r="L382" s="30"/>
    </row>
    <row r="383" spans="1:12" hidden="1" x14ac:dyDescent="0.25">
      <c r="A383" s="30" t="s">
        <v>2547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1"/>
        <v>23.25</v>
      </c>
      <c r="I383" s="30"/>
      <c r="J383" s="30"/>
      <c r="K383" s="30"/>
      <c r="L383" s="30"/>
    </row>
    <row r="384" spans="1:12" hidden="1" x14ac:dyDescent="0.25">
      <c r="A384" s="30" t="s">
        <v>2480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1"/>
        <v>13.75</v>
      </c>
      <c r="I384" s="30"/>
      <c r="J384" s="30"/>
      <c r="K384" s="30"/>
      <c r="L384" s="30"/>
    </row>
    <row r="385" spans="1:12" hidden="1" x14ac:dyDescent="0.25">
      <c r="A385" s="30" t="s">
        <v>2481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1"/>
        <v>18.25</v>
      </c>
      <c r="I385" s="30"/>
      <c r="J385" s="30"/>
      <c r="K385" s="30"/>
      <c r="L385" s="30"/>
    </row>
    <row r="386" spans="1:12" hidden="1" x14ac:dyDescent="0.25">
      <c r="A386" s="30" t="s">
        <v>2482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1"/>
        <v>12.75</v>
      </c>
      <c r="I386" s="30"/>
      <c r="J386" s="30"/>
      <c r="K386" s="30"/>
      <c r="L386" s="30"/>
    </row>
    <row r="387" spans="1:12" hidden="1" x14ac:dyDescent="0.25">
      <c r="A387" s="30" t="s">
        <v>2483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1"/>
        <v>20.5</v>
      </c>
      <c r="I387" s="30"/>
      <c r="J387" s="30"/>
      <c r="K387" s="30"/>
      <c r="L387" s="30"/>
    </row>
    <row r="388" spans="1:12" hidden="1" x14ac:dyDescent="0.25">
      <c r="A388" s="30" t="s">
        <v>2548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1"/>
        <v>12</v>
      </c>
      <c r="I388" s="30"/>
      <c r="J388" s="30"/>
      <c r="K388" s="30"/>
      <c r="L388" s="30"/>
    </row>
    <row r="389" spans="1:12" hidden="1" x14ac:dyDescent="0.25">
      <c r="A389" s="30" t="s">
        <v>2485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1"/>
        <v>24.75</v>
      </c>
      <c r="I389" s="30"/>
      <c r="J389" s="30"/>
      <c r="K389" s="30"/>
      <c r="L389" s="30"/>
    </row>
    <row r="390" spans="1:12" hidden="1" x14ac:dyDescent="0.25">
      <c r="A390" s="30" t="s">
        <v>2486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1"/>
        <v>10.75</v>
      </c>
      <c r="I390" s="30"/>
      <c r="J390" s="30"/>
      <c r="K390" s="30"/>
      <c r="L390" s="30"/>
    </row>
    <row r="391" spans="1:12" hidden="1" x14ac:dyDescent="0.25">
      <c r="A391" s="30" t="s">
        <v>2487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1"/>
        <v>11.5</v>
      </c>
      <c r="I391" s="30"/>
      <c r="J391" s="30"/>
      <c r="K391" s="30"/>
      <c r="L391" s="30"/>
    </row>
    <row r="392" spans="1:12" hidden="1" x14ac:dyDescent="0.25">
      <c r="A392" s="30" t="s">
        <v>2488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1"/>
        <v>14.5</v>
      </c>
      <c r="I392" s="30"/>
      <c r="J392" s="30"/>
      <c r="K392" s="30"/>
      <c r="L392" s="30"/>
    </row>
    <row r="393" spans="1:12" hidden="1" x14ac:dyDescent="0.25">
      <c r="A393" s="30" t="s">
        <v>2549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1"/>
        <v>19</v>
      </c>
      <c r="I393" s="30"/>
      <c r="J393" s="30"/>
      <c r="K393" s="30"/>
      <c r="L393" s="30"/>
    </row>
    <row r="394" spans="1:12" hidden="1" x14ac:dyDescent="0.25">
      <c r="A394" s="30" t="s">
        <v>2550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1"/>
        <v>47.5</v>
      </c>
      <c r="I394" s="30"/>
      <c r="J394" s="30"/>
      <c r="K394" s="30"/>
      <c r="L394" s="30"/>
    </row>
    <row r="395" spans="1:12" hidden="1" x14ac:dyDescent="0.25">
      <c r="A395" s="30" t="s">
        <v>2491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1"/>
        <v>32.75</v>
      </c>
      <c r="I395" s="30"/>
      <c r="J395" s="30"/>
      <c r="K395" s="30"/>
      <c r="L395" s="30"/>
    </row>
    <row r="396" spans="1:12" hidden="1" x14ac:dyDescent="0.25">
      <c r="A396" s="30" t="s">
        <v>2492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1"/>
        <v>27.75</v>
      </c>
      <c r="I396" s="30"/>
      <c r="J396" s="30"/>
      <c r="K396" s="30"/>
      <c r="L396" s="30"/>
    </row>
    <row r="397" spans="1:12" hidden="1" x14ac:dyDescent="0.25">
      <c r="A397" s="30" t="s">
        <v>2493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1"/>
        <v>33</v>
      </c>
      <c r="I397" s="30"/>
      <c r="J397" s="30"/>
      <c r="K397" s="30"/>
      <c r="L397" s="30"/>
    </row>
    <row r="398" spans="1:12" hidden="1" x14ac:dyDescent="0.25">
      <c r="A398" s="30" t="s">
        <v>2494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1"/>
        <v>9</v>
      </c>
      <c r="I398" s="30"/>
      <c r="J398" s="30"/>
      <c r="K398" s="30"/>
      <c r="L398" s="30"/>
    </row>
    <row r="399" spans="1:12" hidden="1" x14ac:dyDescent="0.25">
      <c r="A399" s="30" t="s">
        <v>2495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1"/>
        <v>14.000000000000004</v>
      </c>
      <c r="I399" s="30"/>
      <c r="J399" s="30"/>
      <c r="K399" s="30"/>
      <c r="L399" s="30"/>
    </row>
    <row r="400" spans="1:12" hidden="1" x14ac:dyDescent="0.25">
      <c r="A400" s="30" t="s">
        <v>2495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1"/>
        <v>14.000000000000004</v>
      </c>
      <c r="I400" s="30"/>
      <c r="J400" s="30"/>
      <c r="K400" s="30"/>
      <c r="L400" s="30"/>
    </row>
    <row r="401" spans="1:12" hidden="1" x14ac:dyDescent="0.25">
      <c r="A401" s="30" t="s">
        <v>2496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1"/>
        <v>22.25</v>
      </c>
      <c r="I401" s="30"/>
      <c r="J401" s="30"/>
      <c r="K401" s="30"/>
      <c r="L401" s="30"/>
    </row>
    <row r="402" spans="1:12" hidden="1" x14ac:dyDescent="0.25">
      <c r="A402" s="30" t="s">
        <v>2497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1"/>
        <v>31.75</v>
      </c>
      <c r="I402" s="30"/>
      <c r="J402" s="30"/>
      <c r="K402" s="30"/>
      <c r="L402" s="30"/>
    </row>
    <row r="403" spans="1:12" hidden="1" x14ac:dyDescent="0.25">
      <c r="A403" s="30" t="s">
        <v>2551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9">
        <v>-0.5</v>
      </c>
      <c r="H403" s="30">
        <f t="shared" si="11"/>
        <v>24.5</v>
      </c>
      <c r="I403" s="30"/>
      <c r="J403" s="30"/>
      <c r="K403" s="30"/>
      <c r="L403" s="30"/>
    </row>
    <row r="404" spans="1:12" hidden="1" x14ac:dyDescent="0.25">
      <c r="A404" s="30" t="s">
        <v>2551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1"/>
        <v>24.5</v>
      </c>
      <c r="I404" s="30"/>
      <c r="J404" s="30"/>
      <c r="K404" s="30"/>
      <c r="L404" s="30"/>
    </row>
    <row r="405" spans="1:12" hidden="1" x14ac:dyDescent="0.25">
      <c r="A405" s="30" t="s">
        <v>2552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1"/>
        <v>22.25</v>
      </c>
      <c r="I405" s="30"/>
      <c r="J405" s="30"/>
      <c r="K405" s="30"/>
      <c r="L405" s="30"/>
    </row>
    <row r="406" spans="1:12" hidden="1" x14ac:dyDescent="0.25">
      <c r="A406" s="30" t="s">
        <v>2500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1"/>
        <v>22.75</v>
      </c>
      <c r="I406" s="30"/>
      <c r="J406" s="30"/>
      <c r="K406" s="30"/>
      <c r="L406" s="30"/>
    </row>
    <row r="407" spans="1:12" hidden="1" x14ac:dyDescent="0.25">
      <c r="A407" s="30" t="s">
        <v>2553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1"/>
        <v>24</v>
      </c>
      <c r="I407" s="30"/>
      <c r="J407" s="30"/>
      <c r="K407" s="30"/>
      <c r="L407" s="30"/>
    </row>
    <row r="408" spans="1:12" hidden="1" x14ac:dyDescent="0.25">
      <c r="A408" s="30" t="s">
        <v>2554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1"/>
        <v>30</v>
      </c>
      <c r="I408" s="30"/>
      <c r="J408" s="30"/>
      <c r="K408" s="30"/>
      <c r="L408" s="30"/>
    </row>
    <row r="409" spans="1:12" hidden="1" x14ac:dyDescent="0.25">
      <c r="A409" s="30" t="s">
        <v>2503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1"/>
        <v>17</v>
      </c>
      <c r="I409" s="30"/>
      <c r="J409" s="30"/>
      <c r="K409" s="30"/>
      <c r="L409" s="30"/>
    </row>
    <row r="410" spans="1:12" hidden="1" x14ac:dyDescent="0.25">
      <c r="A410" s="30" t="s">
        <v>2504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1"/>
        <v>9.5</v>
      </c>
      <c r="I410" s="30"/>
      <c r="J410" s="30"/>
      <c r="K410" s="30"/>
      <c r="L410" s="30"/>
    </row>
    <row r="411" spans="1:12" hidden="1" x14ac:dyDescent="0.25">
      <c r="A411" s="30" t="s">
        <v>2505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1"/>
        <v>26</v>
      </c>
      <c r="I411" s="30"/>
      <c r="J411" s="30"/>
      <c r="K411" s="30"/>
      <c r="L411" s="30"/>
    </row>
    <row r="412" spans="1:12" hidden="1" x14ac:dyDescent="0.25">
      <c r="A412" s="30" t="s">
        <v>2506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9">
        <v>0.75</v>
      </c>
      <c r="H412" s="30">
        <f t="shared" si="11"/>
        <v>22.25</v>
      </c>
      <c r="I412" s="30"/>
      <c r="J412" s="30"/>
      <c r="K412" s="30"/>
      <c r="L412" s="30"/>
    </row>
    <row r="413" spans="1:12" hidden="1" x14ac:dyDescent="0.25">
      <c r="A413" s="30" t="s">
        <v>2507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1"/>
        <v>42</v>
      </c>
      <c r="I413" s="30"/>
      <c r="J413" s="30"/>
      <c r="K413" s="30"/>
      <c r="L413" s="30"/>
    </row>
    <row r="414" spans="1:12" hidden="1" x14ac:dyDescent="0.25">
      <c r="A414" s="30" t="s">
        <v>2508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1"/>
        <v>16.45</v>
      </c>
      <c r="I414" s="30"/>
      <c r="J414" s="30"/>
      <c r="K414" s="30"/>
      <c r="L414" s="30"/>
    </row>
    <row r="415" spans="1:12" hidden="1" x14ac:dyDescent="0.25">
      <c r="A415" s="30" t="s">
        <v>2509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1"/>
        <v>16.45</v>
      </c>
      <c r="I415" s="30"/>
      <c r="J415" s="30"/>
      <c r="K415" s="30"/>
      <c r="L415" s="30"/>
    </row>
    <row r="416" spans="1:12" hidden="1" x14ac:dyDescent="0.25">
      <c r="A416" s="30" t="s">
        <v>2510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1"/>
        <v>12.75</v>
      </c>
      <c r="I416" s="30"/>
      <c r="J416" s="30"/>
      <c r="K416" s="30"/>
      <c r="L416" s="30"/>
    </row>
    <row r="417" spans="1:12" hidden="1" x14ac:dyDescent="0.25">
      <c r="A417" s="30" t="s">
        <v>2511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1"/>
        <v>3.25</v>
      </c>
      <c r="I417" s="30"/>
      <c r="J417" s="30"/>
      <c r="K417" s="30"/>
      <c r="L417" s="30"/>
    </row>
    <row r="418" spans="1:12" hidden="1" x14ac:dyDescent="0.25">
      <c r="A418" s="30" t="s">
        <v>2512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1"/>
        <v>11.75</v>
      </c>
      <c r="I418" s="30"/>
      <c r="J418" s="30"/>
      <c r="K418" s="30"/>
      <c r="L418" s="30"/>
    </row>
    <row r="419" spans="1:12" hidden="1" x14ac:dyDescent="0.25">
      <c r="A419" s="30" t="s">
        <v>2513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1"/>
        <v>20.5</v>
      </c>
      <c r="I419" s="30"/>
      <c r="J419" s="30"/>
      <c r="K419" s="30"/>
      <c r="L419" s="30"/>
    </row>
    <row r="420" spans="1:12" hidden="1" x14ac:dyDescent="0.25">
      <c r="A420" s="30" t="s">
        <v>2514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1"/>
        <v>22.75</v>
      </c>
      <c r="I420" s="30"/>
      <c r="J420" s="30"/>
      <c r="K420" s="30"/>
      <c r="L420" s="30"/>
    </row>
    <row r="421" spans="1:12" hidden="1" x14ac:dyDescent="0.25">
      <c r="A421" s="30" t="s">
        <v>2515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1"/>
        <v>39.5</v>
      </c>
      <c r="I421" s="30"/>
      <c r="J421" s="30"/>
      <c r="K421" s="30"/>
      <c r="L421" s="30"/>
    </row>
    <row r="422" spans="1:12" hidden="1" x14ac:dyDescent="0.25">
      <c r="A422" s="30" t="s">
        <v>2516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1"/>
        <v>33</v>
      </c>
      <c r="I422" s="30"/>
      <c r="J422" s="30"/>
      <c r="K422" s="30"/>
      <c r="L422" s="30"/>
    </row>
    <row r="423" spans="1:12" hidden="1" x14ac:dyDescent="0.25">
      <c r="A423" s="30" t="s">
        <v>2517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1"/>
        <v>23</v>
      </c>
      <c r="I423" s="30"/>
      <c r="J423" s="30"/>
      <c r="K423" s="30"/>
      <c r="L423" s="30"/>
    </row>
    <row r="424" spans="1:12" hidden="1" x14ac:dyDescent="0.25">
      <c r="A424" s="30" t="s">
        <v>2555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1"/>
        <v>27.25</v>
      </c>
      <c r="I424" s="30"/>
      <c r="J424" s="30"/>
      <c r="K424" s="30"/>
      <c r="L424" s="30"/>
    </row>
    <row r="425" spans="1:12" hidden="1" x14ac:dyDescent="0.25">
      <c r="A425" s="30" t="s">
        <v>2527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1"/>
        <v>9.5000000000000018</v>
      </c>
      <c r="I425" s="30"/>
      <c r="J425" s="30"/>
      <c r="K425" s="30"/>
      <c r="L425" s="30"/>
    </row>
    <row r="426" spans="1:12" hidden="1" x14ac:dyDescent="0.25">
      <c r="A426" s="30" t="s">
        <v>2556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1"/>
        <v>26</v>
      </c>
      <c r="I426" s="30"/>
      <c r="J426" s="30"/>
      <c r="K426" s="30"/>
      <c r="L426" s="30"/>
    </row>
    <row r="427" spans="1:12" hidden="1" x14ac:dyDescent="0.25">
      <c r="A427" s="30" t="s">
        <v>2529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1"/>
        <v>6</v>
      </c>
      <c r="I427" s="30"/>
      <c r="J427" s="30"/>
      <c r="K427" s="30"/>
      <c r="L427" s="30"/>
    </row>
    <row r="428" spans="1:12" hidden="1" x14ac:dyDescent="0.25">
      <c r="A428" s="30" t="s">
        <v>2530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1"/>
        <v>29.75</v>
      </c>
      <c r="I428" s="30"/>
      <c r="J428" s="30"/>
      <c r="K428" s="30"/>
      <c r="L428" s="30"/>
    </row>
    <row r="429" spans="1:12" hidden="1" x14ac:dyDescent="0.25">
      <c r="A429" s="30" t="s">
        <v>2531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1"/>
        <v>30.5</v>
      </c>
      <c r="I429" s="30"/>
      <c r="J429" s="30"/>
      <c r="K429" s="30"/>
      <c r="L429" s="30"/>
    </row>
    <row r="430" spans="1:12" hidden="1" x14ac:dyDescent="0.25">
      <c r="A430" s="30" t="s">
        <v>2532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1"/>
        <v>7.25</v>
      </c>
      <c r="I430" s="30"/>
      <c r="J430" s="30"/>
      <c r="K430" s="30"/>
      <c r="L430" s="30"/>
    </row>
    <row r="431" spans="1:12" hidden="1" x14ac:dyDescent="0.25">
      <c r="A431" s="30" t="s">
        <v>2533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2">D431-G431</f>
        <v>15.25</v>
      </c>
      <c r="I431" s="30"/>
      <c r="J431" s="30"/>
      <c r="K431" s="30"/>
      <c r="L431" s="30"/>
    </row>
    <row r="432" spans="1:12" hidden="1" x14ac:dyDescent="0.25">
      <c r="A432" s="30" t="s">
        <v>2535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2"/>
        <v>24.500000000000004</v>
      </c>
      <c r="I432" s="30"/>
      <c r="J432" s="30"/>
      <c r="K432" s="30"/>
      <c r="L432" s="30"/>
    </row>
    <row r="433" spans="1:12" hidden="1" x14ac:dyDescent="0.25">
      <c r="A433" s="30" t="s">
        <v>2536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2"/>
        <v>19.75</v>
      </c>
      <c r="I433" s="30"/>
      <c r="J433" s="30"/>
      <c r="K433" s="30"/>
      <c r="L433" s="30"/>
    </row>
    <row r="434" spans="1:12" hidden="1" x14ac:dyDescent="0.25">
      <c r="A434" s="30" t="s">
        <v>2537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2"/>
        <v>34</v>
      </c>
      <c r="I434" s="30"/>
      <c r="J434" s="30"/>
      <c r="K434" s="30"/>
      <c r="L434" s="30"/>
    </row>
    <row r="435" spans="1:12" hidden="1" x14ac:dyDescent="0.25">
      <c r="A435" s="30" t="s">
        <v>2538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2"/>
        <v>18.5</v>
      </c>
      <c r="I435" s="30"/>
      <c r="J435" s="30"/>
      <c r="K435" s="30"/>
      <c r="L435" s="30"/>
    </row>
    <row r="436" spans="1:12" hidden="1" x14ac:dyDescent="0.25">
      <c r="A436" s="30" t="s">
        <v>2539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2"/>
        <v>24.75</v>
      </c>
      <c r="I436" s="30"/>
      <c r="J436" s="30"/>
      <c r="K436" s="30"/>
      <c r="L436" s="30"/>
    </row>
    <row r="437" spans="1:12" hidden="1" x14ac:dyDescent="0.25">
      <c r="A437" s="30" t="s">
        <v>2540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2"/>
        <v>23.5</v>
      </c>
      <c r="I437" s="30"/>
      <c r="J437" s="30"/>
      <c r="K437" s="30"/>
      <c r="L437" s="30"/>
    </row>
    <row r="438" spans="1:12" hidden="1" x14ac:dyDescent="0.25">
      <c r="A438" s="30" t="s">
        <v>2541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2"/>
        <v>28.7</v>
      </c>
      <c r="I438" s="30"/>
      <c r="J438" s="30"/>
      <c r="K438" s="30"/>
      <c r="L438" s="30"/>
    </row>
    <row r="439" spans="1:12" hidden="1" x14ac:dyDescent="0.25">
      <c r="A439" s="30" t="s">
        <v>2544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2"/>
        <v>35.700000000000003</v>
      </c>
      <c r="I439" s="30"/>
      <c r="J439" s="30"/>
      <c r="K439" s="30"/>
      <c r="L439" s="30"/>
    </row>
    <row r="440" spans="1:12" hidden="1" x14ac:dyDescent="0.25"/>
    <row r="441" spans="1:12" ht="15.75" hidden="1" thickBot="1" x14ac:dyDescent="0.3"/>
    <row r="442" spans="1:12" hidden="1" x14ac:dyDescent="0.25">
      <c r="A442" s="37" t="s">
        <v>1987</v>
      </c>
      <c r="B442" s="38" t="s">
        <v>311</v>
      </c>
      <c r="C442" s="38" t="s">
        <v>1545</v>
      </c>
      <c r="D442" s="38" t="s">
        <v>1527</v>
      </c>
      <c r="E442" s="38" t="s">
        <v>1546</v>
      </c>
      <c r="F442" s="38" t="s">
        <v>1547</v>
      </c>
      <c r="G442" s="40" t="s">
        <v>1861</v>
      </c>
      <c r="H442" s="38" t="s">
        <v>1862</v>
      </c>
      <c r="I442" s="65" t="s">
        <v>1989</v>
      </c>
      <c r="J442" s="66" t="s">
        <v>1990</v>
      </c>
      <c r="K442" s="67" t="s">
        <v>1991</v>
      </c>
    </row>
    <row r="443" spans="1:12" ht="15.75" hidden="1" thickBot="1" x14ac:dyDescent="0.3">
      <c r="A443" t="s">
        <v>1864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3">D443-G443</f>
        <v>19</v>
      </c>
      <c r="I443" s="62">
        <f>AVERAGE(D443:D516)</f>
        <v>32.868243243243242</v>
      </c>
      <c r="J443" s="63">
        <f>_xlfn.STDEV.P(D443:D516)</f>
        <v>12.005512738029765</v>
      </c>
      <c r="K443" s="64">
        <f>MEDIAN(D443:D516)</f>
        <v>31.75</v>
      </c>
    </row>
    <row r="444" spans="1:12" hidden="1" x14ac:dyDescent="0.25">
      <c r="A444" t="s">
        <v>1865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3"/>
        <v>26.5</v>
      </c>
    </row>
    <row r="445" spans="1:12" hidden="1" x14ac:dyDescent="0.25">
      <c r="A445" t="s">
        <v>1866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3"/>
        <v>9.75</v>
      </c>
    </row>
    <row r="446" spans="1:12" hidden="1" x14ac:dyDescent="0.25">
      <c r="A446" t="s">
        <v>1867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3"/>
        <v>26.1</v>
      </c>
    </row>
    <row r="447" spans="1:12" hidden="1" x14ac:dyDescent="0.25">
      <c r="A447" t="s">
        <v>1789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3"/>
        <v>55.2</v>
      </c>
    </row>
    <row r="448" spans="1:12" hidden="1" x14ac:dyDescent="0.25">
      <c r="A448" t="s">
        <v>1790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3"/>
        <v>57.45</v>
      </c>
    </row>
    <row r="449" spans="1:8" hidden="1" x14ac:dyDescent="0.25">
      <c r="A449" t="s">
        <v>1868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3"/>
        <v>22.5</v>
      </c>
    </row>
    <row r="450" spans="1:8" hidden="1" x14ac:dyDescent="0.25">
      <c r="A450" t="s">
        <v>1792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3"/>
        <v>36.5</v>
      </c>
    </row>
    <row r="451" spans="1:8" hidden="1" x14ac:dyDescent="0.25">
      <c r="A451" t="s">
        <v>1869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3"/>
        <v>23.75</v>
      </c>
    </row>
    <row r="452" spans="1:8" hidden="1" x14ac:dyDescent="0.25">
      <c r="A452" t="s">
        <v>1870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3"/>
        <v>16</v>
      </c>
    </row>
    <row r="453" spans="1:8" hidden="1" x14ac:dyDescent="0.25">
      <c r="A453" t="s">
        <v>1871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3"/>
        <v>15.5</v>
      </c>
    </row>
    <row r="454" spans="1:8" hidden="1" x14ac:dyDescent="0.25">
      <c r="A454" t="s">
        <v>1872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3"/>
        <v>13.5</v>
      </c>
    </row>
    <row r="455" spans="1:8" hidden="1" x14ac:dyDescent="0.25">
      <c r="A455" t="s">
        <v>1873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3"/>
        <v>48.1</v>
      </c>
    </row>
    <row r="456" spans="1:8" hidden="1" x14ac:dyDescent="0.25">
      <c r="A456" t="s">
        <v>1874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3"/>
        <v>21</v>
      </c>
    </row>
    <row r="457" spans="1:8" hidden="1" x14ac:dyDescent="0.25">
      <c r="A457" t="s">
        <v>1875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3"/>
        <v>1.25</v>
      </c>
    </row>
    <row r="458" spans="1:8" hidden="1" x14ac:dyDescent="0.25">
      <c r="A458" t="s">
        <v>1876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3"/>
        <v>6.75</v>
      </c>
    </row>
    <row r="459" spans="1:8" hidden="1" x14ac:dyDescent="0.25">
      <c r="A459" t="s">
        <v>1877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3"/>
        <v>25.75</v>
      </c>
    </row>
    <row r="460" spans="1:8" hidden="1" x14ac:dyDescent="0.25">
      <c r="A460" t="s">
        <v>1878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3"/>
        <v>26</v>
      </c>
    </row>
    <row r="461" spans="1:8" hidden="1" x14ac:dyDescent="0.25">
      <c r="A461" t="s">
        <v>1879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3"/>
        <v>23.25</v>
      </c>
    </row>
    <row r="462" spans="1:8" hidden="1" x14ac:dyDescent="0.25">
      <c r="A462" t="s">
        <v>1880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3"/>
        <v>37.75</v>
      </c>
    </row>
    <row r="463" spans="1:8" hidden="1" x14ac:dyDescent="0.25">
      <c r="A463" t="s">
        <v>1881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3"/>
        <v>16.75</v>
      </c>
    </row>
    <row r="464" spans="1:8" hidden="1" x14ac:dyDescent="0.25">
      <c r="A464" t="s">
        <v>1882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3"/>
        <v>20.5</v>
      </c>
    </row>
    <row r="465" spans="1:8" hidden="1" x14ac:dyDescent="0.25">
      <c r="A465" t="s">
        <v>1768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3"/>
        <v>31.25</v>
      </c>
    </row>
    <row r="466" spans="1:8" hidden="1" x14ac:dyDescent="0.25">
      <c r="A466" t="s">
        <v>1883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3"/>
        <v>19</v>
      </c>
    </row>
    <row r="467" spans="1:8" hidden="1" x14ac:dyDescent="0.25">
      <c r="A467" t="s">
        <v>1849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3"/>
        <v>19.5</v>
      </c>
    </row>
    <row r="468" spans="1:8" hidden="1" x14ac:dyDescent="0.25">
      <c r="A468" t="s">
        <v>1771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3"/>
        <v>15.75</v>
      </c>
    </row>
    <row r="469" spans="1:8" hidden="1" x14ac:dyDescent="0.25">
      <c r="A469" t="s">
        <v>1884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3"/>
        <v>34.200000000000003</v>
      </c>
    </row>
    <row r="470" spans="1:8" hidden="1" x14ac:dyDescent="0.25">
      <c r="A470" t="s">
        <v>1885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3"/>
        <v>24.5</v>
      </c>
    </row>
    <row r="471" spans="1:8" hidden="1" x14ac:dyDescent="0.25">
      <c r="A471" t="s">
        <v>1772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3"/>
        <v>21.25</v>
      </c>
    </row>
    <row r="472" spans="1:8" hidden="1" x14ac:dyDescent="0.25">
      <c r="A472" t="s">
        <v>1809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3"/>
        <v>18.5</v>
      </c>
    </row>
    <row r="473" spans="1:8" hidden="1" x14ac:dyDescent="0.25">
      <c r="A473" t="s">
        <v>1810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3"/>
        <v>36.5</v>
      </c>
    </row>
    <row r="474" spans="1:8" hidden="1" x14ac:dyDescent="0.25">
      <c r="A474" t="s">
        <v>1886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3"/>
        <v>36</v>
      </c>
    </row>
    <row r="475" spans="1:8" hidden="1" x14ac:dyDescent="0.25">
      <c r="A475" t="s">
        <v>1887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3"/>
        <v>14.75</v>
      </c>
    </row>
    <row r="476" spans="1:8" hidden="1" x14ac:dyDescent="0.25">
      <c r="A476" t="s">
        <v>1813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3"/>
        <v>28.6</v>
      </c>
    </row>
    <row r="477" spans="1:8" hidden="1" x14ac:dyDescent="0.25">
      <c r="A477" t="s">
        <v>1888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3"/>
        <v>25.25</v>
      </c>
    </row>
    <row r="478" spans="1:8" hidden="1" x14ac:dyDescent="0.25">
      <c r="A478" t="s">
        <v>1773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3"/>
        <v>3.75</v>
      </c>
    </row>
    <row r="479" spans="1:8" hidden="1" x14ac:dyDescent="0.25">
      <c r="A479" t="s">
        <v>1889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3"/>
        <v>11.5</v>
      </c>
    </row>
    <row r="480" spans="1:8" hidden="1" x14ac:dyDescent="0.25">
      <c r="A480" t="s">
        <v>1890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3"/>
        <v>28.25</v>
      </c>
    </row>
    <row r="481" spans="1:8" hidden="1" x14ac:dyDescent="0.25">
      <c r="A481" t="s">
        <v>1891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3"/>
        <v>22</v>
      </c>
    </row>
    <row r="482" spans="1:8" hidden="1" x14ac:dyDescent="0.25">
      <c r="A482" t="s">
        <v>1850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3"/>
        <v>25.5</v>
      </c>
    </row>
    <row r="483" spans="1:8" hidden="1" x14ac:dyDescent="0.25">
      <c r="A483" t="s">
        <v>1892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3"/>
        <v>29.25</v>
      </c>
    </row>
    <row r="484" spans="1:8" hidden="1" x14ac:dyDescent="0.25">
      <c r="A484" t="s">
        <v>1893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3"/>
        <v>4.25</v>
      </c>
    </row>
    <row r="485" spans="1:8" hidden="1" x14ac:dyDescent="0.25">
      <c r="A485" t="s">
        <v>1821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3"/>
        <v>13</v>
      </c>
    </row>
    <row r="486" spans="1:8" hidden="1" x14ac:dyDescent="0.25">
      <c r="A486" t="s">
        <v>1894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3"/>
        <v>9.25</v>
      </c>
    </row>
    <row r="487" spans="1:8" hidden="1" x14ac:dyDescent="0.25">
      <c r="A487" t="s">
        <v>1895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3"/>
        <v>7.25</v>
      </c>
    </row>
    <row r="488" spans="1:8" hidden="1" x14ac:dyDescent="0.25">
      <c r="A488" t="s">
        <v>1824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3"/>
        <v>43.5</v>
      </c>
    </row>
    <row r="489" spans="1:8" hidden="1" x14ac:dyDescent="0.25">
      <c r="A489" t="s">
        <v>1896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3"/>
        <v>34.75</v>
      </c>
    </row>
    <row r="490" spans="1:8" hidden="1" x14ac:dyDescent="0.25">
      <c r="A490" t="s">
        <v>1825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3"/>
        <v>32</v>
      </c>
    </row>
    <row r="491" spans="1:8" hidden="1" x14ac:dyDescent="0.25">
      <c r="A491" t="s">
        <v>1826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3"/>
        <v>20.25</v>
      </c>
    </row>
    <row r="492" spans="1:8" hidden="1" x14ac:dyDescent="0.25">
      <c r="A492" t="s">
        <v>1897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3"/>
        <v>14.250000000000002</v>
      </c>
    </row>
    <row r="493" spans="1:8" hidden="1" x14ac:dyDescent="0.25">
      <c r="A493" t="s">
        <v>1898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3"/>
        <v>6</v>
      </c>
    </row>
    <row r="494" spans="1:8" hidden="1" x14ac:dyDescent="0.25">
      <c r="A494" t="s">
        <v>1899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3"/>
        <v>20</v>
      </c>
    </row>
    <row r="495" spans="1:8" hidden="1" x14ac:dyDescent="0.25">
      <c r="A495" t="s">
        <v>1775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3"/>
        <v>39</v>
      </c>
    </row>
    <row r="496" spans="1:8" hidden="1" x14ac:dyDescent="0.25">
      <c r="A496" t="s">
        <v>1900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3"/>
        <v>28.75</v>
      </c>
    </row>
    <row r="497" spans="1:8" hidden="1" x14ac:dyDescent="0.25">
      <c r="A497" t="s">
        <v>1776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3"/>
        <v>30.000000000000004</v>
      </c>
    </row>
    <row r="498" spans="1:8" hidden="1" x14ac:dyDescent="0.25">
      <c r="A498" t="s">
        <v>1901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3"/>
        <v>20.45</v>
      </c>
    </row>
    <row r="499" spans="1:8" hidden="1" x14ac:dyDescent="0.25">
      <c r="A499" t="s">
        <v>1902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3"/>
        <v>25.25</v>
      </c>
    </row>
    <row r="500" spans="1:8" hidden="1" x14ac:dyDescent="0.25">
      <c r="A500" t="s">
        <v>1903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3"/>
        <v>18.25</v>
      </c>
    </row>
    <row r="501" spans="1:8" hidden="1" x14ac:dyDescent="0.25">
      <c r="A501" t="s">
        <v>1778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3"/>
        <v>11.5</v>
      </c>
    </row>
    <row r="502" spans="1:8" hidden="1" x14ac:dyDescent="0.25">
      <c r="A502" t="s">
        <v>1835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3"/>
        <v>32.25</v>
      </c>
    </row>
    <row r="503" spans="1:8" hidden="1" x14ac:dyDescent="0.25">
      <c r="A503" t="s">
        <v>1835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3"/>
        <v>32.25</v>
      </c>
    </row>
    <row r="504" spans="1:8" hidden="1" x14ac:dyDescent="0.25">
      <c r="A504" t="s">
        <v>1779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3"/>
        <v>32</v>
      </c>
    </row>
    <row r="505" spans="1:8" hidden="1" x14ac:dyDescent="0.25">
      <c r="A505" t="s">
        <v>1904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3"/>
        <v>15</v>
      </c>
    </row>
    <row r="506" spans="1:8" hidden="1" x14ac:dyDescent="0.25">
      <c r="A506" t="s">
        <v>1905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3"/>
        <v>24.25</v>
      </c>
    </row>
    <row r="507" spans="1:8" hidden="1" x14ac:dyDescent="0.25">
      <c r="A507" t="s">
        <v>1906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4">D507-G507</f>
        <v>47.5</v>
      </c>
    </row>
    <row r="508" spans="1:8" hidden="1" x14ac:dyDescent="0.25">
      <c r="A508" t="s">
        <v>1907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4"/>
        <v>4.75</v>
      </c>
    </row>
    <row r="509" spans="1:8" hidden="1" x14ac:dyDescent="0.25">
      <c r="A509" t="s">
        <v>1908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4"/>
        <v>18.75</v>
      </c>
    </row>
    <row r="510" spans="1:8" hidden="1" x14ac:dyDescent="0.25">
      <c r="A510" t="s">
        <v>1909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4"/>
        <v>23.75</v>
      </c>
    </row>
    <row r="511" spans="1:8" hidden="1" x14ac:dyDescent="0.25">
      <c r="A511" t="s">
        <v>1910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4"/>
        <v>18</v>
      </c>
    </row>
    <row r="512" spans="1:8" hidden="1" x14ac:dyDescent="0.25">
      <c r="A512" t="s">
        <v>1782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4"/>
        <v>23.5</v>
      </c>
    </row>
    <row r="513" spans="1:11" hidden="1" x14ac:dyDescent="0.25">
      <c r="A513" t="s">
        <v>1911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4"/>
        <v>25.75</v>
      </c>
    </row>
    <row r="514" spans="1:11" hidden="1" x14ac:dyDescent="0.25">
      <c r="A514" t="s">
        <v>1860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4"/>
        <v>67.75</v>
      </c>
    </row>
    <row r="515" spans="1:11" hidden="1" x14ac:dyDescent="0.25">
      <c r="A515" t="s">
        <v>1784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4"/>
        <v>68.25</v>
      </c>
    </row>
    <row r="516" spans="1:11" hidden="1" x14ac:dyDescent="0.25">
      <c r="A516" t="s">
        <v>1912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4"/>
        <v>7.75</v>
      </c>
    </row>
    <row r="517" spans="1:11" hidden="1" x14ac:dyDescent="0.25"/>
    <row r="518" spans="1:11" ht="15.75" hidden="1" thickBot="1" x14ac:dyDescent="0.3"/>
    <row r="519" spans="1:11" ht="30" hidden="1" x14ac:dyDescent="0.25">
      <c r="A519" s="37" t="s">
        <v>1988</v>
      </c>
      <c r="B519" s="38" t="s">
        <v>311</v>
      </c>
      <c r="C519" s="38" t="s">
        <v>1545</v>
      </c>
      <c r="D519" s="38" t="s">
        <v>1527</v>
      </c>
      <c r="E519" s="38" t="s">
        <v>1546</v>
      </c>
      <c r="F519" s="38" t="s">
        <v>1547</v>
      </c>
      <c r="G519" s="40" t="s">
        <v>1861</v>
      </c>
      <c r="H519" s="38" t="s">
        <v>1862</v>
      </c>
      <c r="I519" s="65" t="s">
        <v>1989</v>
      </c>
      <c r="J519" s="66" t="s">
        <v>1990</v>
      </c>
      <c r="K519" s="67" t="s">
        <v>1991</v>
      </c>
    </row>
    <row r="520" spans="1:11" ht="15.75" hidden="1" thickBot="1" x14ac:dyDescent="0.3">
      <c r="A520" t="s">
        <v>1914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5">D520-G520</f>
        <v>27.5</v>
      </c>
      <c r="I520" s="62">
        <f>AVERAGE(D520:D593)</f>
        <v>32.740140845070421</v>
      </c>
      <c r="J520" s="63">
        <f>_xlfn.STDEV.P(D520:D593)</f>
        <v>10.176981828375867</v>
      </c>
      <c r="K520" s="64">
        <f>MEDIAN(D520:D593)</f>
        <v>32.75</v>
      </c>
    </row>
    <row r="521" spans="1:11" hidden="1" x14ac:dyDescent="0.25">
      <c r="A521" t="s">
        <v>1915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5"/>
        <v>18.25</v>
      </c>
    </row>
    <row r="522" spans="1:11" hidden="1" x14ac:dyDescent="0.25">
      <c r="A522" t="s">
        <v>1916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5"/>
        <v>15.75</v>
      </c>
    </row>
    <row r="523" spans="1:11" hidden="1" x14ac:dyDescent="0.25">
      <c r="A523" t="s">
        <v>1917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5"/>
        <v>14.6</v>
      </c>
    </row>
    <row r="524" spans="1:11" hidden="1" x14ac:dyDescent="0.25">
      <c r="A524" t="s">
        <v>1918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5"/>
        <v>53.2</v>
      </c>
    </row>
    <row r="525" spans="1:11" hidden="1" x14ac:dyDescent="0.25">
      <c r="A525" t="s">
        <v>1919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5"/>
        <v>48.7</v>
      </c>
    </row>
    <row r="526" spans="1:11" hidden="1" x14ac:dyDescent="0.25">
      <c r="A526" t="s">
        <v>1920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5"/>
        <v>46</v>
      </c>
    </row>
    <row r="527" spans="1:11" hidden="1" x14ac:dyDescent="0.25">
      <c r="A527" t="s">
        <v>1921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5"/>
        <v>34</v>
      </c>
    </row>
    <row r="528" spans="1:11" hidden="1" x14ac:dyDescent="0.25">
      <c r="A528" t="s">
        <v>1922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5"/>
        <v>30.250000000000004</v>
      </c>
    </row>
    <row r="529" spans="1:8" hidden="1" x14ac:dyDescent="0.25">
      <c r="A529" t="s">
        <v>1923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5"/>
        <v>16</v>
      </c>
    </row>
    <row r="530" spans="1:8" hidden="1" x14ac:dyDescent="0.25">
      <c r="A530" t="s">
        <v>1924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5"/>
        <v>18.25</v>
      </c>
    </row>
    <row r="531" spans="1:8" hidden="1" x14ac:dyDescent="0.25">
      <c r="A531" t="s">
        <v>1925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5"/>
        <v>15.5</v>
      </c>
    </row>
    <row r="532" spans="1:8" hidden="1" x14ac:dyDescent="0.25">
      <c r="A532" t="s">
        <v>1926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5"/>
        <v>40.6</v>
      </c>
    </row>
    <row r="533" spans="1:8" hidden="1" x14ac:dyDescent="0.25">
      <c r="A533" t="s">
        <v>1927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5"/>
        <v>19.75</v>
      </c>
    </row>
    <row r="534" spans="1:8" hidden="1" x14ac:dyDescent="0.25">
      <c r="A534" t="s">
        <v>1928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5"/>
        <v>12.25</v>
      </c>
    </row>
    <row r="535" spans="1:8" hidden="1" x14ac:dyDescent="0.25">
      <c r="A535" t="s">
        <v>1929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5"/>
        <v>7.25</v>
      </c>
    </row>
    <row r="536" spans="1:8" hidden="1" x14ac:dyDescent="0.25">
      <c r="A536" t="s">
        <v>1930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5"/>
        <v>33.25</v>
      </c>
    </row>
    <row r="537" spans="1:8" hidden="1" x14ac:dyDescent="0.25">
      <c r="A537" t="s">
        <v>1931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5"/>
        <v>29.000000000000004</v>
      </c>
    </row>
    <row r="538" spans="1:8" hidden="1" x14ac:dyDescent="0.25">
      <c r="A538" t="s">
        <v>1932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5"/>
        <v>25</v>
      </c>
    </row>
    <row r="539" spans="1:8" hidden="1" x14ac:dyDescent="0.25">
      <c r="A539" t="s">
        <v>1933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5"/>
        <v>33.25</v>
      </c>
    </row>
    <row r="540" spans="1:8" hidden="1" x14ac:dyDescent="0.25">
      <c r="A540" t="s">
        <v>1934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5"/>
        <v>18.25</v>
      </c>
    </row>
    <row r="541" spans="1:8" hidden="1" x14ac:dyDescent="0.25">
      <c r="A541" t="s">
        <v>1935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5"/>
        <v>16.75</v>
      </c>
    </row>
    <row r="542" spans="1:8" hidden="1" x14ac:dyDescent="0.25">
      <c r="A542" t="s">
        <v>1936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5"/>
        <v>23.75</v>
      </c>
    </row>
    <row r="543" spans="1:8" hidden="1" x14ac:dyDescent="0.25">
      <c r="A543" t="s">
        <v>1913</v>
      </c>
      <c r="B543" s="8">
        <v>42135</v>
      </c>
      <c r="C543">
        <v>24</v>
      </c>
      <c r="E543">
        <v>0</v>
      </c>
      <c r="F543">
        <v>0</v>
      </c>
      <c r="H543" s="30">
        <f t="shared" si="15"/>
        <v>0</v>
      </c>
    </row>
    <row r="544" spans="1:8" hidden="1" x14ac:dyDescent="0.25">
      <c r="A544" t="s">
        <v>1937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5"/>
        <v>29</v>
      </c>
    </row>
    <row r="545" spans="1:8" hidden="1" x14ac:dyDescent="0.25">
      <c r="A545" t="s">
        <v>1938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5"/>
        <v>25.25</v>
      </c>
    </row>
    <row r="546" spans="1:8" hidden="1" x14ac:dyDescent="0.25">
      <c r="A546" t="s">
        <v>1939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5"/>
        <v>32.200000000000003</v>
      </c>
    </row>
    <row r="547" spans="1:8" hidden="1" x14ac:dyDescent="0.25">
      <c r="A547" t="s">
        <v>1940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5"/>
        <v>26.5</v>
      </c>
    </row>
    <row r="548" spans="1:8" hidden="1" x14ac:dyDescent="0.25">
      <c r="A548" t="s">
        <v>1941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5"/>
        <v>19.75</v>
      </c>
    </row>
    <row r="549" spans="1:8" hidden="1" x14ac:dyDescent="0.25">
      <c r="A549" t="s">
        <v>1942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5"/>
        <v>28</v>
      </c>
    </row>
    <row r="550" spans="1:8" hidden="1" x14ac:dyDescent="0.25">
      <c r="A550" t="s">
        <v>1943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5"/>
        <v>26.5</v>
      </c>
    </row>
    <row r="551" spans="1:8" hidden="1" x14ac:dyDescent="0.25">
      <c r="A551" t="s">
        <v>1944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5"/>
        <v>34.75</v>
      </c>
    </row>
    <row r="552" spans="1:8" hidden="1" x14ac:dyDescent="0.25">
      <c r="A552" t="s">
        <v>1945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5"/>
        <v>35</v>
      </c>
    </row>
    <row r="553" spans="1:8" hidden="1" x14ac:dyDescent="0.25">
      <c r="A553" t="s">
        <v>1946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5"/>
        <v>23.1</v>
      </c>
    </row>
    <row r="554" spans="1:8" hidden="1" x14ac:dyDescent="0.25">
      <c r="A554" t="s">
        <v>1947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5"/>
        <v>22.25</v>
      </c>
    </row>
    <row r="555" spans="1:8" hidden="1" x14ac:dyDescent="0.25">
      <c r="A555" t="s">
        <v>1948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5"/>
        <v>10.5</v>
      </c>
    </row>
    <row r="556" spans="1:8" hidden="1" x14ac:dyDescent="0.25">
      <c r="A556" t="s">
        <v>1949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5"/>
        <v>21.75</v>
      </c>
    </row>
    <row r="557" spans="1:8" hidden="1" x14ac:dyDescent="0.25">
      <c r="A557" t="s">
        <v>1950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5"/>
        <v>26.5</v>
      </c>
    </row>
    <row r="558" spans="1:8" hidden="1" x14ac:dyDescent="0.25">
      <c r="A558" t="s">
        <v>1950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5"/>
        <v>26.5</v>
      </c>
    </row>
    <row r="559" spans="1:8" hidden="1" x14ac:dyDescent="0.25">
      <c r="A559" t="s">
        <v>1951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5"/>
        <v>14.75</v>
      </c>
    </row>
    <row r="560" spans="1:8" hidden="1" x14ac:dyDescent="0.25">
      <c r="A560" t="s">
        <v>1952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5"/>
        <v>21.75</v>
      </c>
    </row>
    <row r="561" spans="1:8" hidden="1" x14ac:dyDescent="0.25">
      <c r="A561" t="s">
        <v>1953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5"/>
        <v>15.25</v>
      </c>
    </row>
    <row r="562" spans="1:8" hidden="1" x14ac:dyDescent="0.25">
      <c r="A562" t="s">
        <v>1954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5"/>
        <v>13.75</v>
      </c>
    </row>
    <row r="563" spans="1:8" hidden="1" x14ac:dyDescent="0.25">
      <c r="A563" t="s">
        <v>1955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5"/>
        <v>17.5</v>
      </c>
    </row>
    <row r="564" spans="1:8" hidden="1" x14ac:dyDescent="0.25">
      <c r="A564" t="s">
        <v>1913</v>
      </c>
      <c r="B564" s="8">
        <v>42123</v>
      </c>
      <c r="C564">
        <v>36</v>
      </c>
      <c r="E564">
        <v>0</v>
      </c>
      <c r="F564">
        <v>0</v>
      </c>
      <c r="H564" s="30">
        <f t="shared" si="15"/>
        <v>0</v>
      </c>
    </row>
    <row r="565" spans="1:8" hidden="1" x14ac:dyDescent="0.25">
      <c r="A565" t="s">
        <v>1956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5"/>
        <v>38.25</v>
      </c>
    </row>
    <row r="566" spans="1:8" hidden="1" x14ac:dyDescent="0.25">
      <c r="A566" t="s">
        <v>1957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5"/>
        <v>39</v>
      </c>
    </row>
    <row r="567" spans="1:8" hidden="1" x14ac:dyDescent="0.25">
      <c r="A567" t="s">
        <v>1958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5"/>
        <v>34</v>
      </c>
    </row>
    <row r="568" spans="1:8" hidden="1" x14ac:dyDescent="0.25">
      <c r="A568" t="s">
        <v>1959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5"/>
        <v>38</v>
      </c>
    </row>
    <row r="569" spans="1:8" hidden="1" x14ac:dyDescent="0.25">
      <c r="A569" t="s">
        <v>1960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5"/>
        <v>20</v>
      </c>
    </row>
    <row r="570" spans="1:8" hidden="1" x14ac:dyDescent="0.25">
      <c r="A570" t="s">
        <v>1961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5"/>
        <v>6.75</v>
      </c>
    </row>
    <row r="571" spans="1:8" hidden="1" x14ac:dyDescent="0.25">
      <c r="A571" t="s">
        <v>1962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5"/>
        <v>20.75</v>
      </c>
    </row>
    <row r="572" spans="1:8" hidden="1" x14ac:dyDescent="0.25">
      <c r="A572" t="s">
        <v>1963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5"/>
        <v>44.5</v>
      </c>
    </row>
    <row r="573" spans="1:8" hidden="1" x14ac:dyDescent="0.25">
      <c r="A573" t="s">
        <v>1964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5"/>
        <v>22.25</v>
      </c>
    </row>
    <row r="574" spans="1:8" hidden="1" x14ac:dyDescent="0.25">
      <c r="A574" t="s">
        <v>1965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5"/>
        <v>28.750000000000004</v>
      </c>
    </row>
    <row r="575" spans="1:8" hidden="1" x14ac:dyDescent="0.25">
      <c r="A575" t="s">
        <v>1966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5"/>
        <v>17.7</v>
      </c>
    </row>
    <row r="576" spans="1:8" hidden="1" x14ac:dyDescent="0.25">
      <c r="A576" t="s">
        <v>1967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5"/>
        <v>23.75</v>
      </c>
    </row>
    <row r="577" spans="1:8" hidden="1" x14ac:dyDescent="0.25">
      <c r="A577" t="s">
        <v>1968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5"/>
        <v>13.5</v>
      </c>
    </row>
    <row r="578" spans="1:8" hidden="1" x14ac:dyDescent="0.25">
      <c r="A578" t="s">
        <v>1969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5"/>
        <v>12.25</v>
      </c>
    </row>
    <row r="579" spans="1:8" hidden="1" x14ac:dyDescent="0.25">
      <c r="A579" t="s">
        <v>1970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5"/>
        <v>12.75</v>
      </c>
    </row>
    <row r="580" spans="1:8" hidden="1" x14ac:dyDescent="0.25">
      <c r="A580" t="s">
        <v>1971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5"/>
        <v>27.75</v>
      </c>
    </row>
    <row r="581" spans="1:8" hidden="1" x14ac:dyDescent="0.25">
      <c r="A581" t="s">
        <v>1972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5"/>
        <v>27.25</v>
      </c>
    </row>
    <row r="582" spans="1:8" hidden="1" x14ac:dyDescent="0.25">
      <c r="A582" t="s">
        <v>1913</v>
      </c>
      <c r="B582" s="8">
        <v>42116</v>
      </c>
      <c r="C582">
        <v>35</v>
      </c>
      <c r="E582">
        <v>0</v>
      </c>
      <c r="F582">
        <v>0</v>
      </c>
      <c r="H582" s="30">
        <f t="shared" si="15"/>
        <v>0</v>
      </c>
    </row>
    <row r="583" spans="1:8" hidden="1" x14ac:dyDescent="0.25">
      <c r="A583" t="s">
        <v>1973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5"/>
        <v>17.5</v>
      </c>
    </row>
    <row r="584" spans="1:8" hidden="1" x14ac:dyDescent="0.25">
      <c r="A584" t="s">
        <v>1974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6">D584-G584</f>
        <v>43.25</v>
      </c>
    </row>
    <row r="585" spans="1:8" hidden="1" x14ac:dyDescent="0.25">
      <c r="A585" t="s">
        <v>1975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6"/>
        <v>5</v>
      </c>
    </row>
    <row r="586" spans="1:8" hidden="1" x14ac:dyDescent="0.25">
      <c r="A586" t="s">
        <v>1976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6"/>
        <v>20</v>
      </c>
    </row>
    <row r="587" spans="1:8" hidden="1" x14ac:dyDescent="0.25">
      <c r="A587" t="s">
        <v>1977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6"/>
        <v>19</v>
      </c>
    </row>
    <row r="588" spans="1:8" hidden="1" x14ac:dyDescent="0.25">
      <c r="A588" t="s">
        <v>1977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6"/>
        <v>19</v>
      </c>
    </row>
    <row r="589" spans="1:8" hidden="1" x14ac:dyDescent="0.25">
      <c r="A589" t="s">
        <v>1978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6"/>
        <v>44.5</v>
      </c>
    </row>
    <row r="590" spans="1:8" hidden="1" x14ac:dyDescent="0.25">
      <c r="A590" t="s">
        <v>1979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6"/>
        <v>16.25</v>
      </c>
    </row>
    <row r="591" spans="1:8" hidden="1" x14ac:dyDescent="0.25">
      <c r="A591" t="s">
        <v>1980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6"/>
        <v>44.5</v>
      </c>
    </row>
    <row r="592" spans="1:8" hidden="1" x14ac:dyDescent="0.25">
      <c r="A592" t="s">
        <v>1981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6"/>
        <v>50</v>
      </c>
    </row>
    <row r="593" spans="1:11" hidden="1" x14ac:dyDescent="0.25">
      <c r="A593" t="s">
        <v>1982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6"/>
        <v>7.75</v>
      </c>
    </row>
    <row r="594" spans="1:11" hidden="1" x14ac:dyDescent="0.25"/>
    <row r="595" spans="1:11" hidden="1" x14ac:dyDescent="0.25"/>
    <row r="596" spans="1:11" ht="15.75" hidden="1" thickBot="1" x14ac:dyDescent="0.3"/>
    <row r="597" spans="1:11" ht="30" hidden="1" x14ac:dyDescent="0.25">
      <c r="A597" s="37" t="s">
        <v>2182</v>
      </c>
      <c r="B597" s="38" t="s">
        <v>311</v>
      </c>
      <c r="C597" s="38" t="s">
        <v>1545</v>
      </c>
      <c r="D597" s="38" t="s">
        <v>1527</v>
      </c>
      <c r="E597" s="38" t="s">
        <v>1546</v>
      </c>
      <c r="F597" s="38" t="s">
        <v>1547</v>
      </c>
      <c r="G597" s="40" t="s">
        <v>1861</v>
      </c>
      <c r="H597" s="38" t="s">
        <v>1862</v>
      </c>
      <c r="I597" s="65" t="s">
        <v>1989</v>
      </c>
      <c r="J597" s="66" t="s">
        <v>1990</v>
      </c>
      <c r="K597" s="67" t="s">
        <v>1991</v>
      </c>
    </row>
    <row r="598" spans="1:11" ht="15.75" hidden="1" thickBot="1" x14ac:dyDescent="0.3">
      <c r="A598" t="s">
        <v>1992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7">D598-G598</f>
        <v>11.75</v>
      </c>
      <c r="I598" s="62">
        <f>AVERAGE(D598:D667)</f>
        <v>30.341791044776119</v>
      </c>
      <c r="J598" s="63">
        <f>_xlfn.STDEV.P(D598:D667)</f>
        <v>11.882206680500419</v>
      </c>
      <c r="K598" s="64">
        <f>MEDIAN(D598:D667)</f>
        <v>31</v>
      </c>
    </row>
    <row r="599" spans="1:11" hidden="1" x14ac:dyDescent="0.25">
      <c r="A599" t="s">
        <v>1993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7"/>
        <v>18</v>
      </c>
    </row>
    <row r="600" spans="1:11" hidden="1" x14ac:dyDescent="0.25">
      <c r="A600" t="s">
        <v>1994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7"/>
        <v>15.25</v>
      </c>
    </row>
    <row r="601" spans="1:11" hidden="1" x14ac:dyDescent="0.25">
      <c r="A601" t="s">
        <v>1995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7"/>
        <v>16.850000000000001</v>
      </c>
    </row>
    <row r="602" spans="1:11" hidden="1" x14ac:dyDescent="0.25">
      <c r="A602" t="s">
        <v>1996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7"/>
        <v>51.95</v>
      </c>
    </row>
    <row r="603" spans="1:11" hidden="1" x14ac:dyDescent="0.25">
      <c r="A603" t="s">
        <v>1997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7"/>
        <v>38.450000000000003</v>
      </c>
    </row>
    <row r="604" spans="1:11" hidden="1" x14ac:dyDescent="0.25">
      <c r="A604" t="s">
        <v>1998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7"/>
        <v>34.5</v>
      </c>
    </row>
    <row r="605" spans="1:11" hidden="1" x14ac:dyDescent="0.25">
      <c r="A605" t="s">
        <v>1999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7"/>
        <v>36.25</v>
      </c>
    </row>
    <row r="606" spans="1:11" hidden="1" x14ac:dyDescent="0.25">
      <c r="A606" t="s">
        <v>2000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7"/>
        <v>31.25</v>
      </c>
    </row>
    <row r="607" spans="1:11" hidden="1" x14ac:dyDescent="0.25">
      <c r="A607" t="s">
        <v>2001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7"/>
        <v>14</v>
      </c>
    </row>
    <row r="608" spans="1:11" hidden="1" x14ac:dyDescent="0.25">
      <c r="A608" t="s">
        <v>2002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7"/>
        <v>21.75</v>
      </c>
    </row>
    <row r="609" spans="1:17" hidden="1" x14ac:dyDescent="0.25">
      <c r="A609" t="s">
        <v>2003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7"/>
        <v>7.25</v>
      </c>
    </row>
    <row r="610" spans="1:17" hidden="1" x14ac:dyDescent="0.25">
      <c r="A610" t="s">
        <v>2004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7"/>
        <v>23.5</v>
      </c>
    </row>
    <row r="611" spans="1:17" hidden="1" x14ac:dyDescent="0.25">
      <c r="A611" t="s">
        <v>2005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7"/>
        <v>13.5</v>
      </c>
    </row>
    <row r="612" spans="1:17" hidden="1" x14ac:dyDescent="0.25">
      <c r="A612" t="s">
        <v>2006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7"/>
        <v>9.5</v>
      </c>
    </row>
    <row r="613" spans="1:17" hidden="1" x14ac:dyDescent="0.25">
      <c r="A613" t="s">
        <v>2007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7"/>
        <v>8</v>
      </c>
    </row>
    <row r="614" spans="1:17" hidden="1" x14ac:dyDescent="0.25">
      <c r="A614" t="s">
        <v>2008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7"/>
        <v>24.5</v>
      </c>
    </row>
    <row r="615" spans="1:17" s="30" customFormat="1" hidden="1" x14ac:dyDescent="0.25">
      <c r="A615" t="s">
        <v>2009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7"/>
        <v>18.25</v>
      </c>
      <c r="I615"/>
      <c r="J615"/>
      <c r="K615"/>
      <c r="L615"/>
      <c r="M615"/>
      <c r="N615"/>
      <c r="O615"/>
      <c r="P615"/>
      <c r="Q615"/>
    </row>
    <row r="616" spans="1:17" s="30" customFormat="1" hidden="1" x14ac:dyDescent="0.25">
      <c r="A616" t="s">
        <v>2010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7"/>
        <v>20.000000000000004</v>
      </c>
      <c r="I616"/>
      <c r="J616"/>
      <c r="K616"/>
      <c r="L616"/>
      <c r="M616"/>
      <c r="N616"/>
      <c r="O616"/>
      <c r="P616"/>
      <c r="Q616"/>
    </row>
    <row r="617" spans="1:17" s="30" customFormat="1" hidden="1" x14ac:dyDescent="0.25">
      <c r="A617" t="s">
        <v>2011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7"/>
        <v>15.5</v>
      </c>
      <c r="I617"/>
      <c r="J617"/>
      <c r="K617"/>
      <c r="L617"/>
      <c r="M617"/>
      <c r="N617"/>
      <c r="O617"/>
      <c r="P617"/>
      <c r="Q617"/>
    </row>
    <row r="618" spans="1:17" s="30" customFormat="1" hidden="1" x14ac:dyDescent="0.25">
      <c r="A618" t="s">
        <v>2012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7"/>
        <v>24</v>
      </c>
      <c r="I618"/>
      <c r="J618"/>
      <c r="K618"/>
      <c r="L618"/>
      <c r="M618"/>
      <c r="N618"/>
      <c r="O618"/>
      <c r="P618"/>
      <c r="Q618"/>
    </row>
    <row r="619" spans="1:17" s="30" customFormat="1" hidden="1" x14ac:dyDescent="0.25">
      <c r="A619" t="s">
        <v>2013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7"/>
        <v>9.5</v>
      </c>
      <c r="I619"/>
      <c r="J619"/>
      <c r="K619"/>
      <c r="L619"/>
      <c r="M619"/>
      <c r="N619"/>
      <c r="O619"/>
      <c r="P619"/>
      <c r="Q619"/>
    </row>
    <row r="620" spans="1:17" s="30" customFormat="1" hidden="1" x14ac:dyDescent="0.25">
      <c r="A620" t="s">
        <v>2014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7"/>
        <v>16.75</v>
      </c>
      <c r="I620"/>
      <c r="J620"/>
      <c r="K620"/>
      <c r="L620"/>
      <c r="M620"/>
      <c r="N620"/>
      <c r="O620"/>
      <c r="P620"/>
      <c r="Q620"/>
    </row>
    <row r="621" spans="1:17" s="30" customFormat="1" hidden="1" x14ac:dyDescent="0.25">
      <c r="A621" t="s">
        <v>1913</v>
      </c>
      <c r="B621" s="8">
        <v>42135</v>
      </c>
      <c r="C621">
        <v>24</v>
      </c>
      <c r="D621"/>
      <c r="E621"/>
      <c r="F621"/>
      <c r="G621"/>
      <c r="H621" s="30">
        <f t="shared" si="17"/>
        <v>0</v>
      </c>
      <c r="I621"/>
      <c r="J621"/>
      <c r="K621"/>
      <c r="L621"/>
      <c r="M621"/>
      <c r="N621"/>
      <c r="O621"/>
      <c r="P621"/>
      <c r="Q621"/>
    </row>
    <row r="622" spans="1:17" s="30" customFormat="1" hidden="1" x14ac:dyDescent="0.25">
      <c r="A622" t="s">
        <v>2015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7"/>
        <v>29</v>
      </c>
      <c r="I622"/>
      <c r="J622"/>
      <c r="K622"/>
      <c r="L622"/>
      <c r="M622"/>
      <c r="N622"/>
      <c r="O622"/>
      <c r="P622"/>
      <c r="Q622"/>
    </row>
    <row r="623" spans="1:17" s="30" customFormat="1" hidden="1" x14ac:dyDescent="0.25">
      <c r="A623" t="s">
        <v>2016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7"/>
        <v>15.25</v>
      </c>
      <c r="I623"/>
      <c r="J623"/>
      <c r="K623"/>
      <c r="L623"/>
      <c r="M623"/>
      <c r="N623"/>
      <c r="O623"/>
      <c r="P623"/>
      <c r="Q623"/>
    </row>
    <row r="624" spans="1:17" s="30" customFormat="1" hidden="1" x14ac:dyDescent="0.25">
      <c r="A624" t="s">
        <v>2017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7"/>
        <v>28.7</v>
      </c>
      <c r="I624"/>
      <c r="J624"/>
      <c r="K624"/>
      <c r="L624"/>
      <c r="M624"/>
      <c r="N624"/>
      <c r="O624"/>
      <c r="P624"/>
      <c r="Q624"/>
    </row>
    <row r="625" spans="1:17" s="30" customFormat="1" hidden="1" x14ac:dyDescent="0.25">
      <c r="A625" t="s">
        <v>2018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7"/>
        <v>22.75</v>
      </c>
      <c r="I625"/>
      <c r="J625"/>
      <c r="K625"/>
      <c r="L625"/>
      <c r="M625"/>
      <c r="N625"/>
      <c r="O625"/>
      <c r="P625"/>
      <c r="Q625"/>
    </row>
    <row r="626" spans="1:17" s="30" customFormat="1" hidden="1" x14ac:dyDescent="0.25">
      <c r="A626" t="s">
        <v>2019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7"/>
        <v>37.5</v>
      </c>
      <c r="I626"/>
      <c r="J626"/>
      <c r="K626"/>
      <c r="L626"/>
      <c r="M626"/>
      <c r="N626"/>
      <c r="O626"/>
      <c r="P626"/>
      <c r="Q626"/>
    </row>
    <row r="627" spans="1:17" s="30" customFormat="1" hidden="1" x14ac:dyDescent="0.25">
      <c r="A627" t="s">
        <v>2020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7"/>
        <v>16</v>
      </c>
      <c r="I627"/>
      <c r="J627"/>
      <c r="K627"/>
      <c r="L627"/>
      <c r="M627"/>
      <c r="N627"/>
      <c r="O627"/>
      <c r="P627"/>
      <c r="Q627"/>
    </row>
    <row r="628" spans="1:17" s="30" customFormat="1" hidden="1" x14ac:dyDescent="0.25">
      <c r="A628" t="s">
        <v>2021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7"/>
        <v>43</v>
      </c>
      <c r="I628"/>
      <c r="J628"/>
      <c r="K628"/>
      <c r="L628"/>
      <c r="M628"/>
      <c r="N628"/>
      <c r="O628"/>
      <c r="P628"/>
      <c r="Q628"/>
    </row>
    <row r="629" spans="1:17" s="30" customFormat="1" hidden="1" x14ac:dyDescent="0.25">
      <c r="A629" t="s">
        <v>2022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7"/>
        <v>34.75</v>
      </c>
      <c r="I629"/>
      <c r="J629"/>
      <c r="K629"/>
      <c r="L629"/>
      <c r="M629"/>
      <c r="N629"/>
      <c r="O629"/>
      <c r="P629"/>
      <c r="Q629"/>
    </row>
    <row r="630" spans="1:17" s="30" customFormat="1" hidden="1" x14ac:dyDescent="0.25">
      <c r="A630" t="s">
        <v>2023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7"/>
        <v>31</v>
      </c>
      <c r="I630"/>
      <c r="J630"/>
      <c r="K630"/>
      <c r="L630"/>
      <c r="M630"/>
      <c r="N630"/>
      <c r="O630"/>
      <c r="P630"/>
      <c r="Q630"/>
    </row>
    <row r="631" spans="1:17" s="30" customFormat="1" hidden="1" x14ac:dyDescent="0.25">
      <c r="A631" t="s">
        <v>2024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7"/>
        <v>8.25</v>
      </c>
      <c r="I631"/>
      <c r="J631"/>
      <c r="K631"/>
      <c r="L631"/>
      <c r="M631"/>
      <c r="N631"/>
      <c r="O631"/>
      <c r="P631"/>
      <c r="Q631"/>
    </row>
    <row r="632" spans="1:17" s="30" customFormat="1" hidden="1" x14ac:dyDescent="0.25">
      <c r="A632" t="s">
        <v>2025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7"/>
        <v>32.5</v>
      </c>
      <c r="I632"/>
      <c r="J632"/>
      <c r="K632"/>
      <c r="L632"/>
      <c r="M632"/>
      <c r="N632"/>
      <c r="O632"/>
      <c r="P632"/>
      <c r="Q632"/>
    </row>
    <row r="633" spans="1:17" s="30" customFormat="1" hidden="1" x14ac:dyDescent="0.25">
      <c r="A633" t="s">
        <v>2026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7"/>
        <v>8.75</v>
      </c>
      <c r="I633"/>
      <c r="J633"/>
      <c r="K633"/>
      <c r="L633"/>
      <c r="M633"/>
      <c r="N633"/>
      <c r="O633"/>
      <c r="P633"/>
      <c r="Q633"/>
    </row>
    <row r="634" spans="1:17" s="30" customFormat="1" hidden="1" x14ac:dyDescent="0.25">
      <c r="A634" t="s">
        <v>2027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7"/>
        <v>12</v>
      </c>
      <c r="I634"/>
      <c r="J634"/>
      <c r="K634"/>
      <c r="L634"/>
      <c r="M634"/>
      <c r="N634"/>
      <c r="O634"/>
      <c r="P634"/>
      <c r="Q634"/>
    </row>
    <row r="635" spans="1:17" hidden="1" x14ac:dyDescent="0.25">
      <c r="A635" t="s">
        <v>2028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7"/>
        <v>17.5</v>
      </c>
    </row>
    <row r="636" spans="1:17" hidden="1" x14ac:dyDescent="0.25">
      <c r="A636" t="s">
        <v>2029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7"/>
        <v>13.25</v>
      </c>
    </row>
    <row r="637" spans="1:17" hidden="1" x14ac:dyDescent="0.25">
      <c r="A637" t="s">
        <v>2030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7"/>
        <v>6.75</v>
      </c>
    </row>
    <row r="638" spans="1:17" hidden="1" x14ac:dyDescent="0.25">
      <c r="A638" t="s">
        <v>2031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7"/>
        <v>28.25</v>
      </c>
    </row>
    <row r="639" spans="1:17" hidden="1" x14ac:dyDescent="0.25">
      <c r="A639" t="s">
        <v>2032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7"/>
        <v>15</v>
      </c>
    </row>
    <row r="640" spans="1:17" hidden="1" x14ac:dyDescent="0.25">
      <c r="A640" t="s">
        <v>2033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7"/>
        <v>16.25</v>
      </c>
    </row>
    <row r="641" spans="1:8" hidden="1" x14ac:dyDescent="0.25">
      <c r="A641" t="s">
        <v>2034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7"/>
        <v>21.250000000000004</v>
      </c>
    </row>
    <row r="642" spans="1:8" hidden="1" x14ac:dyDescent="0.25">
      <c r="A642" t="s">
        <v>1913</v>
      </c>
      <c r="B642" s="8">
        <v>42123</v>
      </c>
      <c r="C642">
        <v>36</v>
      </c>
      <c r="H642" s="30">
        <f t="shared" si="17"/>
        <v>0</v>
      </c>
    </row>
    <row r="643" spans="1:8" hidden="1" x14ac:dyDescent="0.25">
      <c r="A643" t="s">
        <v>2035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7"/>
        <v>31.5</v>
      </c>
    </row>
    <row r="644" spans="1:8" hidden="1" x14ac:dyDescent="0.25">
      <c r="A644" t="s">
        <v>2036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7"/>
        <v>40</v>
      </c>
    </row>
    <row r="645" spans="1:8" hidden="1" x14ac:dyDescent="0.25">
      <c r="A645" t="s">
        <v>2037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7"/>
        <v>43</v>
      </c>
    </row>
    <row r="646" spans="1:8" hidden="1" x14ac:dyDescent="0.25">
      <c r="A646" t="s">
        <v>2038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7"/>
        <v>34.75</v>
      </c>
    </row>
    <row r="647" spans="1:8" hidden="1" x14ac:dyDescent="0.25">
      <c r="A647" t="s">
        <v>2039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7"/>
        <v>41.75</v>
      </c>
    </row>
    <row r="648" spans="1:8" hidden="1" x14ac:dyDescent="0.25">
      <c r="A648" t="s">
        <v>2040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7"/>
        <v>8.25</v>
      </c>
    </row>
    <row r="649" spans="1:8" hidden="1" x14ac:dyDescent="0.25">
      <c r="A649" t="s">
        <v>2041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7"/>
        <v>13.25</v>
      </c>
    </row>
    <row r="650" spans="1:8" hidden="1" x14ac:dyDescent="0.25">
      <c r="A650" t="s">
        <v>2042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7"/>
        <v>26.500000000000004</v>
      </c>
    </row>
    <row r="651" spans="1:8" hidden="1" x14ac:dyDescent="0.25">
      <c r="A651" t="s">
        <v>2043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7"/>
        <v>35.25</v>
      </c>
    </row>
    <row r="652" spans="1:8" hidden="1" x14ac:dyDescent="0.25">
      <c r="A652" t="s">
        <v>2044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7"/>
        <v>20.75</v>
      </c>
    </row>
    <row r="653" spans="1:8" hidden="1" x14ac:dyDescent="0.25">
      <c r="A653" t="s">
        <v>2045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7"/>
        <v>2.5</v>
      </c>
    </row>
    <row r="654" spans="1:8" hidden="1" x14ac:dyDescent="0.25">
      <c r="A654" t="s">
        <v>2046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7"/>
        <v>17.25</v>
      </c>
    </row>
    <row r="655" spans="1:8" hidden="1" x14ac:dyDescent="0.25">
      <c r="A655" t="s">
        <v>2047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7"/>
        <v>15.5</v>
      </c>
    </row>
    <row r="656" spans="1:8" hidden="1" x14ac:dyDescent="0.25">
      <c r="A656" t="s">
        <v>2048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7"/>
        <v>9.25</v>
      </c>
    </row>
    <row r="657" spans="1:8" hidden="1" x14ac:dyDescent="0.25">
      <c r="A657" t="s">
        <v>2049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7"/>
        <v>14.75</v>
      </c>
    </row>
    <row r="658" spans="1:8" hidden="1" x14ac:dyDescent="0.25">
      <c r="A658" t="s">
        <v>2049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7"/>
        <v>14.75</v>
      </c>
    </row>
    <row r="659" spans="1:8" hidden="1" x14ac:dyDescent="0.25">
      <c r="A659" t="s">
        <v>2050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7"/>
        <v>26.25</v>
      </c>
    </row>
    <row r="660" spans="1:8" hidden="1" x14ac:dyDescent="0.25">
      <c r="A660" t="s">
        <v>1913</v>
      </c>
      <c r="B660" s="8">
        <v>42116</v>
      </c>
      <c r="C660">
        <v>35</v>
      </c>
      <c r="H660" s="30">
        <f t="shared" si="17"/>
        <v>0</v>
      </c>
    </row>
    <row r="661" spans="1:8" hidden="1" x14ac:dyDescent="0.25">
      <c r="A661" t="s">
        <v>2051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7"/>
        <v>22.5</v>
      </c>
    </row>
    <row r="662" spans="1:8" hidden="1" x14ac:dyDescent="0.25">
      <c r="A662" t="s">
        <v>2052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8">D662-G662</f>
        <v>47</v>
      </c>
    </row>
    <row r="663" spans="1:8" hidden="1" x14ac:dyDescent="0.25">
      <c r="A663" t="s">
        <v>2053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8"/>
        <v>14</v>
      </c>
    </row>
    <row r="664" spans="1:8" hidden="1" x14ac:dyDescent="0.25">
      <c r="A664" t="s">
        <v>2054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8"/>
        <v>13</v>
      </c>
    </row>
    <row r="665" spans="1:8" hidden="1" x14ac:dyDescent="0.25">
      <c r="A665" t="s">
        <v>2055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8"/>
        <v>18</v>
      </c>
    </row>
    <row r="666" spans="1:8" hidden="1" x14ac:dyDescent="0.25">
      <c r="A666" t="s">
        <v>2055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8"/>
        <v>18</v>
      </c>
    </row>
    <row r="667" spans="1:8" hidden="1" x14ac:dyDescent="0.25">
      <c r="A667" t="s">
        <v>2056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8"/>
        <v>33.5</v>
      </c>
    </row>
    <row r="668" spans="1:8" hidden="1" x14ac:dyDescent="0.25">
      <c r="A668" t="s">
        <v>2057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8"/>
        <v>14.75</v>
      </c>
    </row>
    <row r="669" spans="1:8" hidden="1" x14ac:dyDescent="0.25">
      <c r="A669" t="s">
        <v>2058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8"/>
        <v>16.75</v>
      </c>
    </row>
    <row r="670" spans="1:8" hidden="1" x14ac:dyDescent="0.25">
      <c r="A670" t="s">
        <v>2059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8"/>
        <v>43.5</v>
      </c>
    </row>
    <row r="671" spans="1:8" hidden="1" x14ac:dyDescent="0.25">
      <c r="A671" t="s">
        <v>2060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8"/>
        <v>6.25</v>
      </c>
    </row>
    <row r="672" spans="1:8" hidden="1" x14ac:dyDescent="0.25"/>
    <row r="673" spans="1:17" ht="15.75" hidden="1" thickBot="1" x14ac:dyDescent="0.3"/>
    <row r="674" spans="1:17" ht="30" hidden="1" x14ac:dyDescent="0.25">
      <c r="A674" s="37" t="s">
        <v>2181</v>
      </c>
      <c r="B674" s="38" t="s">
        <v>311</v>
      </c>
      <c r="C674" s="38" t="s">
        <v>1545</v>
      </c>
      <c r="D674" s="38" t="s">
        <v>1527</v>
      </c>
      <c r="E674" s="38" t="s">
        <v>1546</v>
      </c>
      <c r="F674" s="38" t="s">
        <v>1547</v>
      </c>
      <c r="G674" s="40" t="s">
        <v>1861</v>
      </c>
      <c r="H674" s="38" t="s">
        <v>1862</v>
      </c>
      <c r="I674" s="65" t="s">
        <v>1989</v>
      </c>
      <c r="J674" s="66" t="s">
        <v>1990</v>
      </c>
      <c r="K674" s="67" t="s">
        <v>1991</v>
      </c>
    </row>
    <row r="675" spans="1:17" hidden="1" x14ac:dyDescent="0.25">
      <c r="A675" s="30" t="s">
        <v>2073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9">D675-G675</f>
        <v>14.75</v>
      </c>
      <c r="I675" s="68">
        <f>AVERAGE(D675:D764)</f>
        <v>31.067241379310339</v>
      </c>
      <c r="J675" s="68">
        <f>_xlfn.STDEV.P(D675:D764)</f>
        <v>12.085975123624191</v>
      </c>
      <c r="K675" s="68">
        <f>MEDIAN(D675:D764)</f>
        <v>30.45</v>
      </c>
    </row>
    <row r="676" spans="1:17" hidden="1" x14ac:dyDescent="0.25">
      <c r="A676" t="s">
        <v>2074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9"/>
        <v>9.75</v>
      </c>
    </row>
    <row r="677" spans="1:17" hidden="1" x14ac:dyDescent="0.25">
      <c r="A677" t="s">
        <v>2070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9"/>
        <v>6.5</v>
      </c>
    </row>
    <row r="678" spans="1:17" hidden="1" x14ac:dyDescent="0.25">
      <c r="A678" t="s">
        <v>2071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9"/>
        <v>8.75</v>
      </c>
    </row>
    <row r="679" spans="1:17" hidden="1" x14ac:dyDescent="0.25">
      <c r="A679" t="s">
        <v>2070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9"/>
        <v>6.5</v>
      </c>
      <c r="M679" s="30"/>
      <c r="N679" s="30"/>
      <c r="O679" s="30"/>
      <c r="P679" s="30"/>
      <c r="Q679" s="30"/>
    </row>
    <row r="680" spans="1:17" hidden="1" x14ac:dyDescent="0.25">
      <c r="A680" t="s">
        <v>2072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9"/>
        <v>22.75</v>
      </c>
      <c r="M680" s="30"/>
      <c r="N680" s="30"/>
      <c r="O680" s="30"/>
      <c r="P680" s="30"/>
      <c r="Q680" s="30"/>
    </row>
    <row r="681" spans="1:17" hidden="1" x14ac:dyDescent="0.25">
      <c r="A681" t="s">
        <v>2067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9"/>
        <v>36.5</v>
      </c>
      <c r="M681" s="30"/>
      <c r="N681" s="30"/>
      <c r="O681" s="30"/>
      <c r="P681" s="30"/>
      <c r="Q681" s="30"/>
    </row>
    <row r="682" spans="1:17" hidden="1" x14ac:dyDescent="0.25">
      <c r="A682" t="s">
        <v>2068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9"/>
        <v>33.5</v>
      </c>
      <c r="M682" s="30"/>
      <c r="N682" s="30"/>
      <c r="O682" s="30"/>
      <c r="P682" s="30"/>
      <c r="Q682" s="30"/>
    </row>
    <row r="683" spans="1:17" hidden="1" x14ac:dyDescent="0.25">
      <c r="A683" t="s">
        <v>2069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9"/>
        <v>23.5</v>
      </c>
      <c r="M683" s="30"/>
      <c r="N683" s="30"/>
      <c r="O683" s="30"/>
      <c r="P683" s="30"/>
      <c r="Q683" s="30"/>
    </row>
    <row r="684" spans="1:17" hidden="1" x14ac:dyDescent="0.25">
      <c r="A684" t="s">
        <v>2065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9"/>
        <v>46.2</v>
      </c>
      <c r="M684" s="30"/>
      <c r="N684" s="30"/>
      <c r="O684" s="30"/>
      <c r="P684" s="30"/>
      <c r="Q684" s="30"/>
    </row>
    <row r="685" spans="1:17" hidden="1" x14ac:dyDescent="0.25">
      <c r="A685" t="s">
        <v>2066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9"/>
        <v>36.450000000000003</v>
      </c>
      <c r="M685" s="30"/>
      <c r="N685" s="30"/>
      <c r="O685" s="30"/>
      <c r="P685" s="30"/>
      <c r="Q685" s="30"/>
    </row>
    <row r="686" spans="1:17" hidden="1" x14ac:dyDescent="0.25">
      <c r="A686" t="s">
        <v>2061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8"/>
      <c r="J686" s="68"/>
      <c r="K686" s="68"/>
      <c r="M686" s="30"/>
      <c r="N686" s="30"/>
      <c r="O686" s="30"/>
      <c r="P686" s="30"/>
      <c r="Q686" s="30"/>
    </row>
    <row r="687" spans="1:17" hidden="1" x14ac:dyDescent="0.25">
      <c r="A687" t="s">
        <v>2062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20">D687-G687</f>
        <v>36</v>
      </c>
      <c r="M687" s="30"/>
      <c r="N687" s="30"/>
      <c r="O687" s="30"/>
      <c r="P687" s="30"/>
      <c r="Q687" s="30"/>
    </row>
    <row r="688" spans="1:17" hidden="1" x14ac:dyDescent="0.25">
      <c r="A688" t="s">
        <v>2063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20"/>
        <v>19</v>
      </c>
      <c r="M688" s="30"/>
      <c r="N688" s="30"/>
      <c r="O688" s="30"/>
      <c r="P688" s="30"/>
      <c r="Q688" s="30"/>
    </row>
    <row r="689" spans="1:17" hidden="1" x14ac:dyDescent="0.25">
      <c r="A689" t="s">
        <v>2064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20"/>
        <v>19.100000000000001</v>
      </c>
      <c r="M689" s="30"/>
      <c r="N689" s="30"/>
      <c r="O689" s="30"/>
      <c r="P689" s="30"/>
      <c r="Q689" s="30"/>
    </row>
    <row r="690" spans="1:17" hidden="1" x14ac:dyDescent="0.25">
      <c r="A690" t="s">
        <v>2075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20"/>
        <v>9.75</v>
      </c>
      <c r="M690" s="30"/>
      <c r="N690" s="30"/>
      <c r="O690" s="30"/>
      <c r="P690" s="30"/>
      <c r="Q690" s="30"/>
    </row>
    <row r="691" spans="1:17" hidden="1" x14ac:dyDescent="0.25">
      <c r="A691" t="s">
        <v>2076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20"/>
        <v>23.5</v>
      </c>
      <c r="M691" s="30"/>
      <c r="N691" s="30"/>
      <c r="O691" s="30"/>
      <c r="P691" s="30"/>
      <c r="Q691" s="30"/>
    </row>
    <row r="692" spans="1:17" hidden="1" x14ac:dyDescent="0.25">
      <c r="A692" t="s">
        <v>2077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20"/>
        <v>27.75</v>
      </c>
      <c r="M692" s="30"/>
      <c r="N692" s="30"/>
      <c r="O692" s="30"/>
      <c r="P692" s="30"/>
      <c r="Q692" s="30"/>
    </row>
    <row r="693" spans="1:17" hidden="1" x14ac:dyDescent="0.25">
      <c r="A693" t="s">
        <v>2078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20"/>
        <v>19</v>
      </c>
      <c r="M693" s="30"/>
      <c r="N693" s="30"/>
      <c r="O693" s="30"/>
      <c r="P693" s="30"/>
      <c r="Q693" s="30"/>
    </row>
    <row r="694" spans="1:17" hidden="1" x14ac:dyDescent="0.25">
      <c r="A694" t="s">
        <v>2079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20"/>
        <v>10.25</v>
      </c>
      <c r="M694" s="30"/>
      <c r="N694" s="30"/>
      <c r="O694" s="30"/>
      <c r="P694" s="30"/>
      <c r="Q694" s="30"/>
    </row>
    <row r="695" spans="1:17" hidden="1" x14ac:dyDescent="0.25">
      <c r="A695" t="s">
        <v>2080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20"/>
        <v>27.5</v>
      </c>
      <c r="M695" s="30"/>
      <c r="N695" s="30"/>
      <c r="O695" s="30"/>
      <c r="P695" s="30"/>
      <c r="Q695" s="30"/>
    </row>
    <row r="696" spans="1:17" hidden="1" x14ac:dyDescent="0.25">
      <c r="A696" t="s">
        <v>2081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20"/>
        <v>12</v>
      </c>
      <c r="M696" s="30"/>
      <c r="N696" s="30"/>
      <c r="O696" s="30"/>
      <c r="P696" s="30"/>
      <c r="Q696" s="30"/>
    </row>
    <row r="697" spans="1:17" hidden="1" x14ac:dyDescent="0.25">
      <c r="A697" t="s">
        <v>2082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20"/>
        <v>10.75</v>
      </c>
      <c r="M697" s="30"/>
      <c r="N697" s="30"/>
      <c r="O697" s="30"/>
      <c r="P697" s="30"/>
      <c r="Q697" s="30"/>
    </row>
    <row r="698" spans="1:17" hidden="1" x14ac:dyDescent="0.25">
      <c r="A698" t="s">
        <v>2083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20"/>
        <v>17</v>
      </c>
      <c r="M698" s="30"/>
      <c r="N698" s="30"/>
      <c r="O698" s="30"/>
      <c r="P698" s="30"/>
      <c r="Q698" s="30"/>
    </row>
    <row r="699" spans="1:17" hidden="1" x14ac:dyDescent="0.25">
      <c r="A699" t="s">
        <v>2084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20"/>
        <v>31.2</v>
      </c>
    </row>
    <row r="700" spans="1:17" hidden="1" x14ac:dyDescent="0.25">
      <c r="A700" t="s">
        <v>2085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20"/>
        <v>20.5</v>
      </c>
    </row>
    <row r="701" spans="1:17" hidden="1" x14ac:dyDescent="0.25">
      <c r="A701" t="s">
        <v>2086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20"/>
        <v>31.2</v>
      </c>
    </row>
    <row r="702" spans="1:17" hidden="1" x14ac:dyDescent="0.25">
      <c r="A702" t="s">
        <v>2087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20"/>
        <v>23.5</v>
      </c>
    </row>
    <row r="703" spans="1:17" hidden="1" x14ac:dyDescent="0.25">
      <c r="A703" t="s">
        <v>2088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20"/>
        <v>41.25</v>
      </c>
    </row>
    <row r="704" spans="1:17" hidden="1" x14ac:dyDescent="0.25">
      <c r="A704" t="s">
        <v>2089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20"/>
        <v>15.5</v>
      </c>
    </row>
    <row r="705" spans="1:8" hidden="1" x14ac:dyDescent="0.25">
      <c r="A705" t="s">
        <v>2090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20"/>
        <v>47.5</v>
      </c>
    </row>
    <row r="706" spans="1:8" hidden="1" x14ac:dyDescent="0.25">
      <c r="A706" t="s">
        <v>2091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20"/>
        <v>30.5</v>
      </c>
    </row>
    <row r="707" spans="1:8" hidden="1" x14ac:dyDescent="0.25">
      <c r="A707" t="s">
        <v>2092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20"/>
        <v>26.75</v>
      </c>
    </row>
    <row r="708" spans="1:8" hidden="1" x14ac:dyDescent="0.25">
      <c r="A708" t="s">
        <v>2093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20"/>
        <v>32.6</v>
      </c>
    </row>
    <row r="709" spans="1:8" hidden="1" x14ac:dyDescent="0.25">
      <c r="A709" t="s">
        <v>2094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20"/>
        <v>38.75</v>
      </c>
    </row>
    <row r="710" spans="1:8" hidden="1" x14ac:dyDescent="0.25">
      <c r="A710" t="s">
        <v>2095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20"/>
        <v>10</v>
      </c>
    </row>
    <row r="711" spans="1:8" hidden="1" x14ac:dyDescent="0.25">
      <c r="A711" t="s">
        <v>2027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20"/>
        <v>12</v>
      </c>
    </row>
    <row r="712" spans="1:8" hidden="1" x14ac:dyDescent="0.25">
      <c r="A712" t="s">
        <v>2096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20"/>
        <v>15.75</v>
      </c>
    </row>
    <row r="713" spans="1:8" hidden="1" x14ac:dyDescent="0.25">
      <c r="A713" t="s">
        <v>2097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20"/>
        <v>22.5</v>
      </c>
    </row>
    <row r="714" spans="1:8" hidden="1" x14ac:dyDescent="0.25">
      <c r="A714" t="s">
        <v>2098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20"/>
        <v>26</v>
      </c>
    </row>
    <row r="715" spans="1:8" hidden="1" x14ac:dyDescent="0.25">
      <c r="A715" t="s">
        <v>2031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20"/>
        <v>28.25</v>
      </c>
    </row>
    <row r="716" spans="1:8" hidden="1" x14ac:dyDescent="0.25">
      <c r="A716" t="s">
        <v>2099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20"/>
        <v>11.75</v>
      </c>
    </row>
    <row r="717" spans="1:8" hidden="1" x14ac:dyDescent="0.25">
      <c r="A717" t="s">
        <v>2100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20"/>
        <v>15.75</v>
      </c>
    </row>
    <row r="718" spans="1:8" hidden="1" x14ac:dyDescent="0.25">
      <c r="A718" t="s">
        <v>2101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20"/>
        <v>17.75</v>
      </c>
    </row>
    <row r="719" spans="1:8" hidden="1" x14ac:dyDescent="0.25">
      <c r="A719" t="s">
        <v>2102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20"/>
        <v>0.5</v>
      </c>
    </row>
    <row r="720" spans="1:8" hidden="1" x14ac:dyDescent="0.25">
      <c r="A720" t="s">
        <v>2103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20"/>
        <v>26</v>
      </c>
    </row>
    <row r="721" spans="1:8" hidden="1" x14ac:dyDescent="0.25">
      <c r="A721" t="s">
        <v>2104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20"/>
        <v>50</v>
      </c>
    </row>
    <row r="722" spans="1:8" hidden="1" x14ac:dyDescent="0.25">
      <c r="A722" t="s">
        <v>2105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20"/>
        <v>32.75</v>
      </c>
    </row>
    <row r="723" spans="1:8" hidden="1" x14ac:dyDescent="0.25">
      <c r="A723" t="s">
        <v>2106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20"/>
        <v>28</v>
      </c>
    </row>
    <row r="724" spans="1:8" hidden="1" x14ac:dyDescent="0.25">
      <c r="A724" t="s">
        <v>2107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20"/>
        <v>39.5</v>
      </c>
    </row>
    <row r="725" spans="1:8" hidden="1" x14ac:dyDescent="0.25">
      <c r="A725" t="s">
        <v>2108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20"/>
        <v>0.5</v>
      </c>
    </row>
    <row r="726" spans="1:8" hidden="1" x14ac:dyDescent="0.25">
      <c r="A726" t="s">
        <v>2109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20"/>
        <v>12.25</v>
      </c>
    </row>
    <row r="727" spans="1:8" hidden="1" x14ac:dyDescent="0.25">
      <c r="A727" t="s">
        <v>2110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20"/>
        <v>20</v>
      </c>
    </row>
    <row r="728" spans="1:8" hidden="1" x14ac:dyDescent="0.25">
      <c r="A728" t="s">
        <v>2111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20"/>
        <v>32.5</v>
      </c>
    </row>
    <row r="729" spans="1:8" hidden="1" x14ac:dyDescent="0.25">
      <c r="A729" t="s">
        <v>2112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20"/>
        <v>7.75</v>
      </c>
    </row>
    <row r="730" spans="1:8" hidden="1" x14ac:dyDescent="0.25">
      <c r="A730" t="s">
        <v>2113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20"/>
        <v>4</v>
      </c>
    </row>
    <row r="731" spans="1:8" hidden="1" x14ac:dyDescent="0.25">
      <c r="A731" t="s">
        <v>2114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20"/>
        <v>18.75</v>
      </c>
    </row>
    <row r="732" spans="1:8" hidden="1" x14ac:dyDescent="0.25">
      <c r="A732" t="s">
        <v>2115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20"/>
        <v>20</v>
      </c>
    </row>
    <row r="733" spans="1:8" hidden="1" x14ac:dyDescent="0.25">
      <c r="A733" t="s">
        <v>2116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20"/>
        <v>13</v>
      </c>
    </row>
    <row r="734" spans="1:8" hidden="1" x14ac:dyDescent="0.25">
      <c r="A734" t="s">
        <v>2117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20"/>
        <v>10.5</v>
      </c>
    </row>
    <row r="735" spans="1:8" hidden="1" x14ac:dyDescent="0.25">
      <c r="A735" t="s">
        <v>2117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20"/>
        <v>10.5</v>
      </c>
    </row>
    <row r="736" spans="1:8" hidden="1" x14ac:dyDescent="0.25">
      <c r="A736" t="s">
        <v>2118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20"/>
        <v>43.25</v>
      </c>
    </row>
    <row r="737" spans="1:12" hidden="1" x14ac:dyDescent="0.25">
      <c r="A737" t="s">
        <v>2119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20"/>
        <v>19.25</v>
      </c>
    </row>
    <row r="738" spans="1:12" hidden="1" x14ac:dyDescent="0.25">
      <c r="A738" t="s">
        <v>2120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20"/>
        <v>22</v>
      </c>
    </row>
    <row r="739" spans="1:12" hidden="1" x14ac:dyDescent="0.25">
      <c r="A739" t="s">
        <v>2121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20"/>
        <v>34.25</v>
      </c>
    </row>
    <row r="740" spans="1:12" hidden="1" x14ac:dyDescent="0.25">
      <c r="A740" t="s">
        <v>2122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20"/>
        <v>9.5</v>
      </c>
    </row>
    <row r="741" spans="1:12" hidden="1" x14ac:dyDescent="0.25">
      <c r="A741" t="s">
        <v>2123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20"/>
        <v>10.5</v>
      </c>
    </row>
    <row r="742" spans="1:12" hidden="1" x14ac:dyDescent="0.25">
      <c r="A742" t="s">
        <v>2124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20"/>
        <v>19</v>
      </c>
    </row>
    <row r="743" spans="1:12" hidden="1" x14ac:dyDescent="0.25">
      <c r="A743" s="30" t="s">
        <v>2125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20"/>
        <v>14.75</v>
      </c>
      <c r="I743" s="30"/>
      <c r="J743" s="30"/>
      <c r="K743" s="30"/>
      <c r="L743" s="30"/>
    </row>
    <row r="744" spans="1:12" hidden="1" x14ac:dyDescent="0.25">
      <c r="A744" s="30" t="s">
        <v>2127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20"/>
        <v>65</v>
      </c>
      <c r="I744" s="30"/>
      <c r="J744" s="30"/>
      <c r="K744" s="30"/>
      <c r="L744" s="30"/>
    </row>
    <row r="745" spans="1:12" hidden="1" x14ac:dyDescent="0.25">
      <c r="A745" s="30" t="s">
        <v>2129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20"/>
        <v>12</v>
      </c>
      <c r="I745" s="30"/>
      <c r="J745" s="30"/>
      <c r="K745" s="30"/>
      <c r="L745" s="30"/>
    </row>
    <row r="746" spans="1:12" hidden="1" x14ac:dyDescent="0.25">
      <c r="A746" s="30" t="s">
        <v>2131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20"/>
        <v>34</v>
      </c>
      <c r="I746" s="30"/>
      <c r="J746" s="30"/>
      <c r="K746" s="30"/>
      <c r="L746" s="30"/>
    </row>
    <row r="747" spans="1:12" hidden="1" x14ac:dyDescent="0.25">
      <c r="A747" s="30" t="s">
        <v>2133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20"/>
        <v>50.5</v>
      </c>
      <c r="I747" s="30"/>
      <c r="J747" s="30"/>
      <c r="K747" s="30"/>
      <c r="L747" s="30"/>
    </row>
    <row r="748" spans="1:12" hidden="1" x14ac:dyDescent="0.25">
      <c r="A748" s="30" t="s">
        <v>2135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20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t="15.75" hidden="1" thickBot="1" x14ac:dyDescent="0.3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7" t="s">
        <v>2180</v>
      </c>
      <c r="B751" s="38" t="s">
        <v>311</v>
      </c>
      <c r="C751" s="38" t="s">
        <v>1545</v>
      </c>
      <c r="D751" s="38" t="s">
        <v>1527</v>
      </c>
      <c r="E751" s="38" t="s">
        <v>1546</v>
      </c>
      <c r="F751" s="38" t="s">
        <v>1547</v>
      </c>
      <c r="G751" s="40" t="s">
        <v>1861</v>
      </c>
      <c r="H751" s="38" t="s">
        <v>1862</v>
      </c>
      <c r="I751" s="38"/>
      <c r="J751" s="65" t="s">
        <v>1989</v>
      </c>
      <c r="K751" s="66" t="s">
        <v>1990</v>
      </c>
      <c r="L751" s="67" t="s">
        <v>1991</v>
      </c>
    </row>
    <row r="752" spans="1:12" hidden="1" x14ac:dyDescent="0.25">
      <c r="A752" s="30" t="s">
        <v>2196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8">
        <f>AVERAGE(D752:D841)</f>
        <v>32.356081081081072</v>
      </c>
      <c r="K752" s="68">
        <f>_xlfn.STDEV.P(D752:D841)</f>
        <v>10.931963896851974</v>
      </c>
      <c r="L752" s="68">
        <f>MEDIAN(D752:D841)</f>
        <v>30.875</v>
      </c>
    </row>
    <row r="753" spans="1:12" hidden="1" x14ac:dyDescent="0.25">
      <c r="A753" s="30" t="s">
        <v>2197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2192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2193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2194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2195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2189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2190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2191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2187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2188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2183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2184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2185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2186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2198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2199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2200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2201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2202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2203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2204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2205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2206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2126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2128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2130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2132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2134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2136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2137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2138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2139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2140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2141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2142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2143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2144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2145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2146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2147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2148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2149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2150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2151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2152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2153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2154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2155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2156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2157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2158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2159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2160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2161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2162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2163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2164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2165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2166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2166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2167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2168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2169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2170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2171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2172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2173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2174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2175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2176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2177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2178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2179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t="15.75" hidden="1" thickBot="1" x14ac:dyDescent="0.3"/>
    <row r="862" spans="1:12" ht="30" hidden="1" x14ac:dyDescent="0.25">
      <c r="A862" s="37" t="s">
        <v>2207</v>
      </c>
      <c r="B862" s="38" t="s">
        <v>311</v>
      </c>
      <c r="C862" s="38" t="s">
        <v>1545</v>
      </c>
      <c r="D862" s="38" t="s">
        <v>1527</v>
      </c>
      <c r="E862" s="38" t="s">
        <v>1546</v>
      </c>
      <c r="F862" s="38" t="s">
        <v>1547</v>
      </c>
      <c r="G862" s="40" t="s">
        <v>1861</v>
      </c>
      <c r="H862" s="38" t="s">
        <v>1862</v>
      </c>
      <c r="I862" s="38"/>
      <c r="J862" s="65" t="s">
        <v>1989</v>
      </c>
      <c r="K862" s="66" t="s">
        <v>1990</v>
      </c>
      <c r="L862" s="67" t="s">
        <v>1991</v>
      </c>
    </row>
    <row r="863" spans="1:12" hidden="1" x14ac:dyDescent="0.25">
      <c r="A863" s="30" t="s">
        <v>2196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8">
        <f>AVERAGE(D863:D952)</f>
        <v>31.967123287671225</v>
      </c>
      <c r="K863" s="68">
        <f>_xlfn.STDEV.P(D863:D952)</f>
        <v>11.327818283632233</v>
      </c>
      <c r="L863" s="68">
        <f>MEDIAN(D863:D952)</f>
        <v>29.95</v>
      </c>
    </row>
    <row r="864" spans="1:12" hidden="1" x14ac:dyDescent="0.25">
      <c r="A864" t="s">
        <v>2197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2211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2212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2213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2214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2210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2190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2187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2188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2183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2184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2208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2209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2215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2216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2217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2218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2219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2220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2222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2205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2223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2224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2225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2226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2227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2228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2229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2137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2138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2230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2231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2232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2142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2233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2234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2235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2236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2237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2238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2149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2239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2240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2241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2242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2243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2244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2245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2246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2247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2248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2249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2250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2251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2252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2253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2165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2254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2254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2167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2255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2256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2257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2258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2172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2259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2260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2261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2262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2263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2178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2179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t="15.75" hidden="1" thickBot="1" x14ac:dyDescent="0.3"/>
    <row r="988" spans="1:12" ht="30" hidden="1" x14ac:dyDescent="0.25">
      <c r="A988" s="37" t="s">
        <v>2221</v>
      </c>
      <c r="B988" s="38" t="s">
        <v>311</v>
      </c>
      <c r="C988" s="38" t="s">
        <v>1545</v>
      </c>
      <c r="D988" s="38" t="s">
        <v>1527</v>
      </c>
      <c r="E988" s="38" t="s">
        <v>1546</v>
      </c>
      <c r="F988" s="38" t="s">
        <v>1547</v>
      </c>
      <c r="G988" s="40" t="s">
        <v>1861</v>
      </c>
      <c r="H988" s="38" t="s">
        <v>1862</v>
      </c>
      <c r="I988" s="38"/>
      <c r="J988" s="65" t="s">
        <v>1989</v>
      </c>
      <c r="K988" s="66" t="s">
        <v>1990</v>
      </c>
      <c r="L988" s="67" t="s">
        <v>1991</v>
      </c>
    </row>
    <row r="989" spans="1:12" hidden="1" x14ac:dyDescent="0.25">
      <c r="A989" s="30" t="s">
        <v>2264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8">
        <f>AVERAGE(D989:D1078)</f>
        <v>29.285135135135139</v>
      </c>
      <c r="K989" s="68">
        <f>_xlfn.STDEV.P(D989:D1078)</f>
        <v>11.148429563776904</v>
      </c>
      <c r="L989" s="68">
        <f>MEDIAN(D989:D1078)</f>
        <v>28.05</v>
      </c>
    </row>
    <row r="990" spans="1:12" hidden="1" x14ac:dyDescent="0.25">
      <c r="A990" t="s">
        <v>2264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2265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2266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2267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2268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2269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2270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2271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2272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2273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2274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2275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2276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2277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2278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2279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2280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2281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2282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2283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2284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2285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2286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2287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2288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2289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2290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2291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2292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2293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2294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2295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2296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2297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2298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2299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2300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2301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2302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2303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2304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2305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2306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2307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2308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2309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2310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2311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2312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2313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2314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2315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2316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2317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2318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2319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2320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2321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2322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2323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2324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2325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2326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2327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2328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2329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2330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2331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2332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2333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2334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2335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2336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t="15.75" hidden="1" thickBot="1" x14ac:dyDescent="0.3"/>
    <row r="1083" spans="1:12" ht="30" hidden="1" x14ac:dyDescent="0.25">
      <c r="A1083" s="37" t="s">
        <v>2431</v>
      </c>
      <c r="B1083" s="38" t="s">
        <v>311</v>
      </c>
      <c r="C1083" s="38" t="s">
        <v>1545</v>
      </c>
      <c r="D1083" s="38" t="s">
        <v>1527</v>
      </c>
      <c r="E1083" s="38" t="s">
        <v>1546</v>
      </c>
      <c r="F1083" s="38" t="s">
        <v>1547</v>
      </c>
      <c r="G1083" s="40" t="s">
        <v>1861</v>
      </c>
      <c r="H1083" s="38" t="s">
        <v>1862</v>
      </c>
      <c r="I1083" s="38"/>
      <c r="J1083" s="65" t="s">
        <v>1989</v>
      </c>
      <c r="K1083" s="66" t="s">
        <v>1990</v>
      </c>
      <c r="L1083" s="67" t="s">
        <v>1991</v>
      </c>
    </row>
    <row r="1084" spans="1:12" hidden="1" x14ac:dyDescent="0.25">
      <c r="A1084" s="30" t="s">
        <v>2337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8">
        <f>AVERAGE(D1084:D1157)</f>
        <v>30.879729729729728</v>
      </c>
      <c r="K1084" s="68">
        <f>_xlfn.STDEV.P(D1084:D1157)</f>
        <v>11.577342501041134</v>
      </c>
      <c r="L1084" s="68">
        <f>MEDIAN(D1084:D1157)</f>
        <v>29.425000000000001</v>
      </c>
    </row>
    <row r="1085" spans="1:12" hidden="1" x14ac:dyDescent="0.25">
      <c r="A1085" t="s">
        <v>2338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2339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2340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2341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2342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2343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2344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2345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2346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2347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2348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2349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2350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2351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2352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2353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2353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2354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2355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2356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2357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2358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2359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2360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2361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2362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2363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2364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2365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2366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2367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2368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2369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2370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2371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2372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2373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2374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2375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2376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2377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2378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2379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2380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2381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2382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2383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2384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2385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2386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2387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2388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2389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2390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2391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2392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2393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2394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2395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2397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2399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2400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2402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2403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2406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2408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2410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2410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2413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2417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2418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2420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2421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2396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2398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2401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2404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2405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2407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2409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2411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2412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2414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2415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2416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2419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2422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2423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2424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2425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2426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2427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2428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2428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2429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2430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2432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2433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2434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2435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2436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2437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2438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2439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2440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2441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2442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2443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2444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2445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2446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2447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2447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2448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2449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2450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2451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2452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2453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2454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2455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2456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2457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2458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2459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2460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2461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2462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2463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2464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2465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2466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2467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2468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2469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2470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2471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t="15.75" hidden="1" thickBot="1" x14ac:dyDescent="0.3"/>
    <row r="1225" spans="1:12" hidden="1" x14ac:dyDescent="0.25">
      <c r="A1225" s="37" t="s">
        <v>2590</v>
      </c>
      <c r="B1225" s="38" t="s">
        <v>311</v>
      </c>
      <c r="C1225" s="38" t="s">
        <v>1545</v>
      </c>
      <c r="D1225" s="38" t="s">
        <v>1527</v>
      </c>
      <c r="E1225" s="38" t="s">
        <v>1546</v>
      </c>
      <c r="F1225" s="38" t="s">
        <v>1547</v>
      </c>
      <c r="G1225" s="40" t="s">
        <v>1861</v>
      </c>
      <c r="H1225" s="38" t="s">
        <v>1862</v>
      </c>
      <c r="I1225" s="38"/>
      <c r="J1225" s="65" t="s">
        <v>1989</v>
      </c>
      <c r="K1225" s="66" t="s">
        <v>1990</v>
      </c>
      <c r="L1225" s="67" t="s">
        <v>1991</v>
      </c>
    </row>
    <row r="1226" spans="1:12" hidden="1" x14ac:dyDescent="0.25">
      <c r="A1226" s="30" t="s">
        <v>2591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8">
        <f>AVERAGE(D1226:D1363)</f>
        <v>31.134782608695623</v>
      </c>
      <c r="K1226" s="68">
        <f>_xlfn.STDEV.P(D1226:D1363)</f>
        <v>11.69209848494822</v>
      </c>
      <c r="L1226" s="68">
        <f>MEDIAN(D1226:D1363)</f>
        <v>29.5</v>
      </c>
    </row>
    <row r="1227" spans="1:12" hidden="1" x14ac:dyDescent="0.25">
      <c r="A1227" t="s">
        <v>2592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2593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2594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2595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2596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2597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2598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2599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2600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2601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2602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2603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2604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2605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2606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2607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2607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2608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2609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2610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2611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2612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2613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2614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2615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2616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2617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2618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2619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2620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2621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2622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2623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2624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2625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2626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2627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2628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2629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2630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2631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2632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2633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2634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2635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2636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2637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2638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2639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2640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2641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2642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2643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2644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2645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2646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2647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2648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2649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2649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2650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2651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2652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2653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2654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2655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2656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2656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2657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2658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2659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2660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2661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2662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2663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2664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2665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2666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2667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2668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2669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2670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2671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2672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2673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2674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2675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2676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2677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2678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2679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2680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2681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2682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2683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2684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2685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2685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2686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2686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2687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2688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2689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2690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2691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2692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2693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2694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2695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2696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2697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2698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2698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2699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2700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2701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2702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2703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2704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2705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2706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2707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2708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2709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2710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2711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2712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2713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2714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2715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2716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2717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2718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2719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2720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2721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2722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t="15.75" hidden="1" thickBot="1" x14ac:dyDescent="0.3"/>
    <row r="1367" spans="1:12" hidden="1" x14ac:dyDescent="0.25">
      <c r="A1367" s="37" t="s">
        <v>2723</v>
      </c>
      <c r="B1367" s="38" t="s">
        <v>311</v>
      </c>
      <c r="C1367" s="38" t="s">
        <v>1545</v>
      </c>
      <c r="D1367" s="38" t="s">
        <v>1527</v>
      </c>
      <c r="E1367" s="38" t="s">
        <v>1546</v>
      </c>
      <c r="F1367" s="38" t="s">
        <v>1547</v>
      </c>
      <c r="G1367" s="40" t="s">
        <v>1861</v>
      </c>
      <c r="H1367" s="38" t="s">
        <v>1862</v>
      </c>
      <c r="I1367" s="38"/>
      <c r="J1367" s="65" t="s">
        <v>1989</v>
      </c>
      <c r="K1367" s="66" t="s">
        <v>1990</v>
      </c>
      <c r="L1367" s="67" t="s">
        <v>1991</v>
      </c>
    </row>
    <row r="1368" spans="1:12" hidden="1" x14ac:dyDescent="0.25">
      <c r="A1368" s="30" t="s">
        <v>2724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8">
        <f>AVERAGE(D1368:D1505)</f>
        <v>31.066666666666638</v>
      </c>
      <c r="K1368" s="68">
        <f>_xlfn.STDEV.P(D1368:D1505)</f>
        <v>11.883419720400751</v>
      </c>
      <c r="L1368" s="68">
        <f>MEDIAN(D1368:D1505)</f>
        <v>31.5</v>
      </c>
    </row>
    <row r="1369" spans="1:12" hidden="1" x14ac:dyDescent="0.25">
      <c r="A1369" t="s">
        <v>2725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2726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2727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2728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2729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2730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2731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2732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2733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2734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2735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2736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2737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2738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2739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2740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2740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2741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2742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2743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2744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2745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2746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2747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2748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2749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2750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2751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2752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2753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2754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2755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2756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2757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2758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2759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2760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2761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2762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2763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2764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2765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2766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2767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2768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2769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2770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2771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2772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2773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2774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2775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2776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2777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2778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2779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2780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2781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2782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2782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2783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2784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2785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2786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2787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2788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2789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2789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2790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2791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2792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2793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2794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2795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2796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2797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2798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2799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2800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2801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2802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2803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2804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2805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2806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2807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2808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2809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2810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2811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2812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2813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2814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2815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2816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2817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2818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2818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2819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2819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2820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2821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2822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2823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2824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2825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2826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2827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2828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2829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2830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2831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2831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2832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2833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2834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2835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2836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2837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2838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2839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2840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2841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2842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2843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2844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2845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2846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2847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2848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2849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2850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2851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2852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2853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2854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2855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2856</v>
      </c>
      <c r="B1506" s="8">
        <v>42138</v>
      </c>
      <c r="C1506">
        <v>207</v>
      </c>
    </row>
    <row r="1507" spans="1:12" ht="15.75" hidden="1" thickBot="1" x14ac:dyDescent="0.3">
      <c r="A1507" t="s">
        <v>2857</v>
      </c>
      <c r="B1507" s="8">
        <v>42138</v>
      </c>
      <c r="C1507">
        <v>94</v>
      </c>
    </row>
    <row r="1508" spans="1:12" ht="15.75" hidden="1" thickBot="1" x14ac:dyDescent="0.3">
      <c r="A1508" s="37"/>
      <c r="B1508" s="69"/>
      <c r="C1508" s="38"/>
      <c r="D1508" s="38"/>
      <c r="E1508" s="38"/>
      <c r="F1508" s="38"/>
      <c r="G1508" s="40"/>
      <c r="H1508" s="38"/>
      <c r="I1508" s="38"/>
      <c r="J1508" s="65"/>
      <c r="K1508" s="66"/>
      <c r="L1508" s="67"/>
    </row>
    <row r="1509" spans="1:12" hidden="1" x14ac:dyDescent="0.25">
      <c r="A1509" s="37" t="s">
        <v>2859</v>
      </c>
      <c r="B1509" s="38" t="s">
        <v>311</v>
      </c>
      <c r="C1509" s="38" t="s">
        <v>1545</v>
      </c>
      <c r="D1509" s="38" t="s">
        <v>1527</v>
      </c>
      <c r="E1509" s="38" t="s">
        <v>1546</v>
      </c>
      <c r="F1509" s="38" t="s">
        <v>1547</v>
      </c>
      <c r="G1509" s="40" t="s">
        <v>1861</v>
      </c>
      <c r="H1509" s="38" t="s">
        <v>1862</v>
      </c>
      <c r="I1509" s="38"/>
      <c r="J1509" s="65" t="s">
        <v>1989</v>
      </c>
      <c r="K1509" s="66" t="s">
        <v>1990</v>
      </c>
      <c r="L1509" s="67" t="s">
        <v>1991</v>
      </c>
    </row>
    <row r="1510" spans="1:12" hidden="1" x14ac:dyDescent="0.25">
      <c r="A1510" s="30" t="s">
        <v>2856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8">
        <f>AVERAGE(D1510:D1647)</f>
        <v>30.676449275362295</v>
      </c>
      <c r="K1510" s="68">
        <f>_xlfn.STDEV.P(D1510:D1647)</f>
        <v>10.697411294647351</v>
      </c>
      <c r="L1510" s="68">
        <f>MEDIAN(D1510:D1647)</f>
        <v>29.85</v>
      </c>
    </row>
    <row r="1511" spans="1:12" hidden="1" x14ac:dyDescent="0.25">
      <c r="A1511" t="s">
        <v>2857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2858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2860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2861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2861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2862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2863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2864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2865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2866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2867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2868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2869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2870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2871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2872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2872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2873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2874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2875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2876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2877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2878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2879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2880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2881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2882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2883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2884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2885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2886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2887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2888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2889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2890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2891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2892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2893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2894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2895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2896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2897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2898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2899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2900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2901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2902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2903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2904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2905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2906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2907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2908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2909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2910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2911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2912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2913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2914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2914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2915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2916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2917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2918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2919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2920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2921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2922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2923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2924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2925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2926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2927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2928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2929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2930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2931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2932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2933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2934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2935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2936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2937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2938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2939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2940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2941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2942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2943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2944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2945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2946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2947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2948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2949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2950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2951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2951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2952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2953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2954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2955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2956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2957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2958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2959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2960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2961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2962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2963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2964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2965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2965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2966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2967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2968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2969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2970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2971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2972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2973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2974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2975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2976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2977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2978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2979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2980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2981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2982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2983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2984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2985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2986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2987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2988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2988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2" ht="15.75" thickBot="1" x14ac:dyDescent="0.3"/>
    <row r="1652" spans="1:12" ht="30" x14ac:dyDescent="0.25">
      <c r="A1652" s="37" t="s">
        <v>3023</v>
      </c>
      <c r="B1652" s="38" t="s">
        <v>311</v>
      </c>
      <c r="C1652" s="38" t="s">
        <v>1545</v>
      </c>
      <c r="D1652" s="38" t="s">
        <v>1527</v>
      </c>
      <c r="E1652" s="38" t="s">
        <v>1546</v>
      </c>
      <c r="F1652" s="38" t="s">
        <v>1547</v>
      </c>
      <c r="G1652" s="40" t="s">
        <v>1861</v>
      </c>
      <c r="H1652" s="38" t="s">
        <v>1862</v>
      </c>
      <c r="I1652" s="38"/>
      <c r="J1652" s="65" t="s">
        <v>1989</v>
      </c>
      <c r="K1652" s="66" t="s">
        <v>1990</v>
      </c>
      <c r="L1652" s="67" t="s">
        <v>1991</v>
      </c>
    </row>
    <row r="1653" spans="1:12" x14ac:dyDescent="0.25">
      <c r="A1653" s="30" t="s">
        <v>3091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8">
        <f>AVERAGE(D1653:D1790)</f>
        <v>30.329710144927517</v>
      </c>
      <c r="K1653" s="68">
        <f>_xlfn.STDEV.P(D1653:D1790)</f>
        <v>10.73113551685946</v>
      </c>
      <c r="L1653" s="68">
        <f>MEDIAN(D1653:D1790)</f>
        <v>28.85</v>
      </c>
    </row>
    <row r="1654" spans="1:12" x14ac:dyDescent="0.25">
      <c r="A1654" t="s">
        <v>3092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2" x14ac:dyDescent="0.25">
      <c r="A1655" t="s">
        <v>3093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2" x14ac:dyDescent="0.25">
      <c r="A1656" t="s">
        <v>3090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2" x14ac:dyDescent="0.25">
      <c r="A1657" t="s">
        <v>3087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2" x14ac:dyDescent="0.25">
      <c r="A1658" t="s">
        <v>3088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2" x14ac:dyDescent="0.25">
      <c r="A1659" t="s">
        <v>3089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2" x14ac:dyDescent="0.25">
      <c r="A1660" t="s">
        <v>3085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2" x14ac:dyDescent="0.25">
      <c r="A1661" t="s">
        <v>3086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2" x14ac:dyDescent="0.25">
      <c r="A1662" t="s">
        <v>3083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2" x14ac:dyDescent="0.25">
      <c r="A1663" t="s">
        <v>3084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2" x14ac:dyDescent="0.25">
      <c r="A1664" t="s">
        <v>3080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3080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3081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3082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3078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3079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3075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3076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3077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3073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3074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3071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3072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3068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3069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3070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3066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3067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3064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3065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3062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3063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3058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3059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3060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3061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3057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3054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3055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3056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3053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3052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3051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3050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3048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3049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3045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3046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3047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3042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3043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3044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3038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3038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3039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3040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3041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3037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3022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3024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3025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3026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3027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3027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3028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3029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3030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3031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3032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3033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3034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3035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3036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3094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3095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3095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3096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3097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3098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3099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3100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3101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3102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3103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3104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3105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3106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3107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3108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3109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3110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3111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3112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3113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3114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3115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3116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3116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3117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3118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3119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3119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3120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3121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3122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3123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3124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3125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3126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3127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3128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3129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3129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3130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3131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3132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3133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3134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3135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3136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3137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3138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3139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3140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3141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3142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3143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3144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3145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3146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3147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3148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3149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3150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3151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3152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3152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4" spans="1:12" hidden="1" x14ac:dyDescent="0.25"/>
    <row r="1795" spans="1:12" ht="15.75" hidden="1" thickBot="1" x14ac:dyDescent="0.3"/>
    <row r="1796" spans="1:12" ht="30" hidden="1" x14ac:dyDescent="0.25">
      <c r="A1796" s="37" t="s">
        <v>3154</v>
      </c>
      <c r="B1796" s="38" t="s">
        <v>311</v>
      </c>
      <c r="C1796" s="38" t="s">
        <v>1545</v>
      </c>
      <c r="D1796" s="38" t="s">
        <v>1527</v>
      </c>
      <c r="E1796" s="38" t="s">
        <v>1546</v>
      </c>
      <c r="F1796" s="38" t="s">
        <v>1547</v>
      </c>
      <c r="G1796" s="40" t="s">
        <v>1861</v>
      </c>
      <c r="H1796" s="38" t="s">
        <v>1862</v>
      </c>
      <c r="I1796" s="38"/>
      <c r="J1796" s="65" t="s">
        <v>1989</v>
      </c>
      <c r="K1796" s="66" t="s">
        <v>1990</v>
      </c>
      <c r="L1796" s="67" t="s">
        <v>1991</v>
      </c>
    </row>
    <row r="1797" spans="1:12" hidden="1" x14ac:dyDescent="0.25">
      <c r="A1797" s="30" t="s">
        <v>3174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8">
        <f>AVERAGE(D1797:D1934)</f>
        <v>30.167028985507226</v>
      </c>
      <c r="K1797" s="68">
        <f>_xlfn.STDEV.P(D1797:D1934)</f>
        <v>11.505168177660948</v>
      </c>
      <c r="L1797" s="68">
        <f>MEDIAN(D1797:D1934)</f>
        <v>30.125</v>
      </c>
    </row>
    <row r="1798" spans="1:12" hidden="1" x14ac:dyDescent="0.25">
      <c r="A1798" t="s">
        <v>3175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hidden="1" x14ac:dyDescent="0.25">
      <c r="A1799" t="s">
        <v>3176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hidden="1" x14ac:dyDescent="0.25">
      <c r="A1800" t="s">
        <v>3170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hidden="1" x14ac:dyDescent="0.25">
      <c r="A1801" t="s">
        <v>3170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hidden="1" x14ac:dyDescent="0.25">
      <c r="A1802" t="s">
        <v>3171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hidden="1" x14ac:dyDescent="0.25">
      <c r="A1803" t="s">
        <v>3172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hidden="1" x14ac:dyDescent="0.25">
      <c r="A1804" t="s">
        <v>3173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hidden="1" x14ac:dyDescent="0.25">
      <c r="A1805" t="s">
        <v>3169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hidden="1" x14ac:dyDescent="0.25">
      <c r="A1806" t="s">
        <v>3155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hidden="1" x14ac:dyDescent="0.25">
      <c r="A1807" t="s">
        <v>3156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hidden="1" x14ac:dyDescent="0.25">
      <c r="A1808" t="s">
        <v>3157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hidden="1" x14ac:dyDescent="0.25">
      <c r="A1809" t="s">
        <v>3158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hidden="1" x14ac:dyDescent="0.25">
      <c r="A1810" t="s">
        <v>3159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hidden="1" x14ac:dyDescent="0.25">
      <c r="A1811" t="s">
        <v>3159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hidden="1" x14ac:dyDescent="0.25">
      <c r="A1812" t="s">
        <v>3160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hidden="1" x14ac:dyDescent="0.25">
      <c r="A1813" t="s">
        <v>3161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hidden="1" x14ac:dyDescent="0.25">
      <c r="A1814" t="s">
        <v>3162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hidden="1" x14ac:dyDescent="0.25">
      <c r="A1815" t="s">
        <v>3163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hidden="1" x14ac:dyDescent="0.25">
      <c r="A1816" t="s">
        <v>3164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hidden="1" x14ac:dyDescent="0.25">
      <c r="A1817" t="s">
        <v>3165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hidden="1" x14ac:dyDescent="0.25">
      <c r="A1818" t="s">
        <v>3166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hidden="1" x14ac:dyDescent="0.25">
      <c r="A1819" t="s">
        <v>3167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hidden="1" x14ac:dyDescent="0.25">
      <c r="A1820" t="s">
        <v>3168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hidden="1" x14ac:dyDescent="0.25">
      <c r="A1821" t="s">
        <v>3177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hidden="1" x14ac:dyDescent="0.25">
      <c r="A1822" t="s">
        <v>3178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hidden="1" x14ac:dyDescent="0.25">
      <c r="A1823" t="s">
        <v>3179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hidden="1" x14ac:dyDescent="0.25">
      <c r="A1824" t="s">
        <v>3180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hidden="1" x14ac:dyDescent="0.25">
      <c r="A1825" t="s">
        <v>3181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hidden="1" x14ac:dyDescent="0.25">
      <c r="A1826" t="s">
        <v>3182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hidden="1" x14ac:dyDescent="0.25">
      <c r="A1827" t="s">
        <v>3183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hidden="1" x14ac:dyDescent="0.25">
      <c r="A1828" t="s">
        <v>3184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hidden="1" x14ac:dyDescent="0.25">
      <c r="A1829" t="s">
        <v>3185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hidden="1" x14ac:dyDescent="0.25">
      <c r="A1830" t="s">
        <v>3186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hidden="1" x14ac:dyDescent="0.25">
      <c r="A1831" t="s">
        <v>3187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hidden="1" x14ac:dyDescent="0.25">
      <c r="A1832" t="s">
        <v>3188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hidden="1" x14ac:dyDescent="0.25">
      <c r="A1833" t="s">
        <v>3189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hidden="1" x14ac:dyDescent="0.25">
      <c r="A1834" t="s">
        <v>3190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hidden="1" x14ac:dyDescent="0.25">
      <c r="A1835" t="s">
        <v>3191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hidden="1" x14ac:dyDescent="0.25">
      <c r="A1836" t="s">
        <v>3192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hidden="1" x14ac:dyDescent="0.25">
      <c r="A1837" t="s">
        <v>3193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hidden="1" x14ac:dyDescent="0.25">
      <c r="A1838" t="s">
        <v>3194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hidden="1" x14ac:dyDescent="0.25">
      <c r="A1839" t="s">
        <v>3195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hidden="1" x14ac:dyDescent="0.25">
      <c r="A1840" t="s">
        <v>3196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hidden="1" x14ac:dyDescent="0.25">
      <c r="A1841" t="s">
        <v>3197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hidden="1" x14ac:dyDescent="0.25">
      <c r="A1842" t="s">
        <v>3198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hidden="1" x14ac:dyDescent="0.25">
      <c r="A1843" t="s">
        <v>3199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hidden="1" x14ac:dyDescent="0.25">
      <c r="A1844" t="s">
        <v>3200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hidden="1" x14ac:dyDescent="0.25">
      <c r="A1845" t="s">
        <v>3201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hidden="1" x14ac:dyDescent="0.25">
      <c r="A1846" t="s">
        <v>3202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hidden="1" x14ac:dyDescent="0.25">
      <c r="A1847" t="s">
        <v>3203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hidden="1" x14ac:dyDescent="0.25">
      <c r="A1848" t="s">
        <v>3204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hidden="1" x14ac:dyDescent="0.25">
      <c r="A1849" t="s">
        <v>3205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hidden="1" x14ac:dyDescent="0.25">
      <c r="A1850" t="s">
        <v>3206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hidden="1" x14ac:dyDescent="0.25">
      <c r="A1851" t="s">
        <v>3207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hidden="1" x14ac:dyDescent="0.25">
      <c r="A1852" t="s">
        <v>3208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hidden="1" x14ac:dyDescent="0.25">
      <c r="A1853" t="s">
        <v>3209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hidden="1" x14ac:dyDescent="0.25">
      <c r="A1854" t="s">
        <v>3210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hidden="1" x14ac:dyDescent="0.25">
      <c r="A1855" t="s">
        <v>3211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hidden="1" x14ac:dyDescent="0.25">
      <c r="A1856" t="s">
        <v>3212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hidden="1" x14ac:dyDescent="0.25">
      <c r="A1857" t="s">
        <v>3212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hidden="1" x14ac:dyDescent="0.25">
      <c r="A1858" t="s">
        <v>3213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hidden="1" x14ac:dyDescent="0.25">
      <c r="A1859" t="s">
        <v>3214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hidden="1" x14ac:dyDescent="0.25">
      <c r="A1860" t="s">
        <v>3215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hidden="1" x14ac:dyDescent="0.25">
      <c r="A1861" t="s">
        <v>3216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hidden="1" x14ac:dyDescent="0.25">
      <c r="A1862" t="s">
        <v>3217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hidden="1" x14ac:dyDescent="0.25">
      <c r="A1863" t="s">
        <v>3218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hidden="1" x14ac:dyDescent="0.25">
      <c r="A1864" t="s">
        <v>3219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hidden="1" x14ac:dyDescent="0.25">
      <c r="A1865" t="s">
        <v>3220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hidden="1" x14ac:dyDescent="0.25">
      <c r="A1866" t="s">
        <v>3221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hidden="1" x14ac:dyDescent="0.25">
      <c r="A1867" t="s">
        <v>3222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hidden="1" x14ac:dyDescent="0.25">
      <c r="A1868" t="s">
        <v>3223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hidden="1" x14ac:dyDescent="0.25">
      <c r="A1869" t="s">
        <v>3224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hidden="1" x14ac:dyDescent="0.25">
      <c r="A1870" t="s">
        <v>3225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hidden="1" x14ac:dyDescent="0.25">
      <c r="A1871" t="s">
        <v>3226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hidden="1" x14ac:dyDescent="0.25">
      <c r="A1872" t="s">
        <v>3227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hidden="1" x14ac:dyDescent="0.25">
      <c r="A1873" t="s">
        <v>3228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hidden="1" x14ac:dyDescent="0.25">
      <c r="A1874" t="s">
        <v>3229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hidden="1" x14ac:dyDescent="0.25">
      <c r="A1875" t="s">
        <v>3230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hidden="1" x14ac:dyDescent="0.25">
      <c r="A1876" t="s">
        <v>3231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hidden="1" x14ac:dyDescent="0.25">
      <c r="A1877" t="s">
        <v>3232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hidden="1" x14ac:dyDescent="0.25">
      <c r="A1878" t="s">
        <v>3233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hidden="1" x14ac:dyDescent="0.25">
      <c r="A1879" t="s">
        <v>3234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hidden="1" x14ac:dyDescent="0.25">
      <c r="A1880" t="s">
        <v>3235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hidden="1" x14ac:dyDescent="0.25">
      <c r="A1881" t="s">
        <v>3236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hidden="1" x14ac:dyDescent="0.25">
      <c r="A1882" t="s">
        <v>3237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hidden="1" x14ac:dyDescent="0.25">
      <c r="A1883" t="s">
        <v>3238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hidden="1" x14ac:dyDescent="0.25">
      <c r="A1884" t="s">
        <v>3239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hidden="1" x14ac:dyDescent="0.25">
      <c r="A1885" t="s">
        <v>3240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hidden="1" x14ac:dyDescent="0.25">
      <c r="A1886" t="s">
        <v>3241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hidden="1" x14ac:dyDescent="0.25">
      <c r="A1887" t="s">
        <v>3242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hidden="1" x14ac:dyDescent="0.25">
      <c r="A1888" t="s">
        <v>3243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hidden="1" x14ac:dyDescent="0.25">
      <c r="A1889" t="s">
        <v>3244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hidden="1" x14ac:dyDescent="0.25">
      <c r="A1890" t="s">
        <v>3245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hidden="1" x14ac:dyDescent="0.25">
      <c r="A1891" t="s">
        <v>3246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hidden="1" x14ac:dyDescent="0.25">
      <c r="A1892" t="s">
        <v>3247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hidden="1" x14ac:dyDescent="0.25">
      <c r="A1893" t="s">
        <v>3248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hidden="1" x14ac:dyDescent="0.25">
      <c r="A1894" t="s">
        <v>3249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hidden="1" x14ac:dyDescent="0.25">
      <c r="A1895" t="s">
        <v>3250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hidden="1" x14ac:dyDescent="0.25">
      <c r="A1896" t="s">
        <v>3251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hidden="1" x14ac:dyDescent="0.25">
      <c r="A1897" t="s">
        <v>3252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hidden="1" x14ac:dyDescent="0.25">
      <c r="A1898" t="s">
        <v>3253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hidden="1" x14ac:dyDescent="0.25">
      <c r="A1899" t="s">
        <v>3253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hidden="1" x14ac:dyDescent="0.25">
      <c r="A1900" t="s">
        <v>3254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hidden="1" x14ac:dyDescent="0.25">
      <c r="A1901" t="s">
        <v>3255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hidden="1" x14ac:dyDescent="0.25">
      <c r="A1902" t="s">
        <v>3256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hidden="1" x14ac:dyDescent="0.25">
      <c r="A1903" t="s">
        <v>3257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hidden="1" x14ac:dyDescent="0.25">
      <c r="A1904" t="s">
        <v>3258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hidden="1" x14ac:dyDescent="0.25">
      <c r="A1905" t="s">
        <v>3259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hidden="1" x14ac:dyDescent="0.25">
      <c r="A1906" t="s">
        <v>3260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hidden="1" x14ac:dyDescent="0.25">
      <c r="A1907" t="s">
        <v>3261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hidden="1" x14ac:dyDescent="0.25">
      <c r="A1908" t="s">
        <v>3262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hidden="1" x14ac:dyDescent="0.25">
      <c r="A1909" t="s">
        <v>3263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hidden="1" x14ac:dyDescent="0.25">
      <c r="A1910" t="s">
        <v>3263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hidden="1" x14ac:dyDescent="0.25">
      <c r="A1911" t="s">
        <v>3264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hidden="1" x14ac:dyDescent="0.25">
      <c r="A1912" t="s">
        <v>3265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hidden="1" x14ac:dyDescent="0.25">
      <c r="A1913" t="s">
        <v>3266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hidden="1" x14ac:dyDescent="0.25">
      <c r="A1914" t="s">
        <v>3267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hidden="1" x14ac:dyDescent="0.25">
      <c r="A1915" t="s">
        <v>3268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hidden="1" x14ac:dyDescent="0.25">
      <c r="A1916" t="s">
        <v>3269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hidden="1" x14ac:dyDescent="0.25">
      <c r="A1917" t="s">
        <v>3270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hidden="1" x14ac:dyDescent="0.25">
      <c r="A1918" t="s">
        <v>3271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hidden="1" x14ac:dyDescent="0.25">
      <c r="A1919" t="s">
        <v>3272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hidden="1" x14ac:dyDescent="0.25">
      <c r="A1920" t="s">
        <v>3273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hidden="1" x14ac:dyDescent="0.25">
      <c r="A1921" t="s">
        <v>3274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hidden="1" x14ac:dyDescent="0.25">
      <c r="A1922" t="s">
        <v>3275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hidden="1" x14ac:dyDescent="0.25">
      <c r="A1923" t="s">
        <v>3276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hidden="1" x14ac:dyDescent="0.25">
      <c r="A1924" t="s">
        <v>3277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hidden="1" x14ac:dyDescent="0.25">
      <c r="A1925" t="s">
        <v>3278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hidden="1" x14ac:dyDescent="0.25">
      <c r="A1926" t="s">
        <v>3279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hidden="1" x14ac:dyDescent="0.25">
      <c r="A1927" t="s">
        <v>3280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hidden="1" x14ac:dyDescent="0.25">
      <c r="A1928" t="s">
        <v>3281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hidden="1" x14ac:dyDescent="0.25">
      <c r="A1929" t="s">
        <v>3282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hidden="1" x14ac:dyDescent="0.25">
      <c r="A1930" t="s">
        <v>3283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hidden="1" x14ac:dyDescent="0.25">
      <c r="A1931" t="s">
        <v>3284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hidden="1" x14ac:dyDescent="0.25">
      <c r="A1932" t="s">
        <v>3285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hidden="1" x14ac:dyDescent="0.25">
      <c r="A1933" t="s">
        <v>3286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hidden="1" x14ac:dyDescent="0.25">
      <c r="A1934" t="s">
        <v>3286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t="15.75" hidden="1" thickBot="1" x14ac:dyDescent="0.3"/>
    <row r="1936" spans="1:12" ht="30" hidden="1" x14ac:dyDescent="0.25">
      <c r="A1936" s="37" t="s">
        <v>3287</v>
      </c>
      <c r="B1936" s="38" t="s">
        <v>311</v>
      </c>
      <c r="C1936" s="38" t="s">
        <v>1545</v>
      </c>
      <c r="D1936" s="38" t="s">
        <v>1527</v>
      </c>
      <c r="E1936" s="38" t="s">
        <v>1546</v>
      </c>
      <c r="F1936" s="38" t="s">
        <v>1547</v>
      </c>
      <c r="G1936" s="40" t="s">
        <v>1861</v>
      </c>
      <c r="H1936" s="38" t="s">
        <v>1862</v>
      </c>
      <c r="I1936" s="38"/>
      <c r="J1936" s="65" t="s">
        <v>1989</v>
      </c>
      <c r="K1936" s="66" t="s">
        <v>1990</v>
      </c>
      <c r="L1936" s="67" t="s">
        <v>1991</v>
      </c>
    </row>
    <row r="1937" spans="1:12" hidden="1" x14ac:dyDescent="0.25">
      <c r="A1937" s="30" t="s">
        <v>3345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8">
        <f>AVERAGE(D1937:D2074)</f>
        <v>30.489855072463758</v>
      </c>
      <c r="K1937" s="68">
        <f>_xlfn.STDEV.P(D1937:D2074)</f>
        <v>11.038150508380614</v>
      </c>
      <c r="L1937" s="68">
        <f>MEDIAN(D1937:D2074)</f>
        <v>30.5</v>
      </c>
    </row>
    <row r="1938" spans="1:12" hidden="1" x14ac:dyDescent="0.25">
      <c r="A1938" t="s">
        <v>3224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hidden="1" x14ac:dyDescent="0.25">
      <c r="A1939" t="s">
        <v>3346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hidden="1" x14ac:dyDescent="0.25">
      <c r="A1940" t="s">
        <v>3344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hidden="1" x14ac:dyDescent="0.25">
      <c r="A1941" t="s">
        <v>3341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hidden="1" x14ac:dyDescent="0.25">
      <c r="A1942" t="s">
        <v>3342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hidden="1" x14ac:dyDescent="0.25">
      <c r="A1943" t="s">
        <v>3343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hidden="1" x14ac:dyDescent="0.25">
      <c r="A1944" t="s">
        <v>3339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hidden="1" x14ac:dyDescent="0.25">
      <c r="A1945" t="s">
        <v>3340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hidden="1" x14ac:dyDescent="0.25">
      <c r="A1946" t="s">
        <v>3337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hidden="1" x14ac:dyDescent="0.25">
      <c r="A1947" t="s">
        <v>3338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hidden="1" x14ac:dyDescent="0.25">
      <c r="A1948" t="s">
        <v>3335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hidden="1" x14ac:dyDescent="0.25">
      <c r="A1949" t="s">
        <v>3335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hidden="1" x14ac:dyDescent="0.25">
      <c r="A1950" t="s">
        <v>3213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hidden="1" x14ac:dyDescent="0.25">
      <c r="A1951" t="s">
        <v>3336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hidden="1" x14ac:dyDescent="0.25">
      <c r="A1952" t="s">
        <v>3210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hidden="1" x14ac:dyDescent="0.25">
      <c r="A1953" t="s">
        <v>3211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hidden="1" x14ac:dyDescent="0.25">
      <c r="A1954" t="s">
        <v>3332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hidden="1" x14ac:dyDescent="0.25">
      <c r="A1955" t="s">
        <v>3333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hidden="1" x14ac:dyDescent="0.25">
      <c r="A1956" t="s">
        <v>3334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hidden="1" x14ac:dyDescent="0.25">
      <c r="A1957" t="s">
        <v>3330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hidden="1" x14ac:dyDescent="0.25">
      <c r="A1958" t="s">
        <v>3331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hidden="1" x14ac:dyDescent="0.25">
      <c r="A1959" t="s">
        <v>3328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hidden="1" x14ac:dyDescent="0.25">
      <c r="A1960" t="s">
        <v>3329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hidden="1" x14ac:dyDescent="0.25">
      <c r="A1961" t="s">
        <v>3325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hidden="1" x14ac:dyDescent="0.25">
      <c r="A1962" t="s">
        <v>3326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hidden="1" x14ac:dyDescent="0.25">
      <c r="A1963" t="s">
        <v>3327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hidden="1" x14ac:dyDescent="0.25">
      <c r="A1964" t="s">
        <v>3323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hidden="1" x14ac:dyDescent="0.25">
      <c r="A1965" t="s">
        <v>3324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hidden="1" x14ac:dyDescent="0.25">
      <c r="A1966" t="s">
        <v>3322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hidden="1" x14ac:dyDescent="0.25">
      <c r="A1967" t="s">
        <v>3197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hidden="1" x14ac:dyDescent="0.25">
      <c r="A1968" t="s">
        <v>3320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hidden="1" x14ac:dyDescent="0.25">
      <c r="A1969" t="s">
        <v>3321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hidden="1" x14ac:dyDescent="0.25">
      <c r="A1970" t="s">
        <v>3316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hidden="1" x14ac:dyDescent="0.25">
      <c r="A1971" t="s">
        <v>3317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hidden="1" x14ac:dyDescent="0.25">
      <c r="A1972" t="s">
        <v>3318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hidden="1" x14ac:dyDescent="0.25">
      <c r="A1973" t="s">
        <v>3319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hidden="1" x14ac:dyDescent="0.25">
      <c r="A1974" t="s">
        <v>3315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hidden="1" x14ac:dyDescent="0.25">
      <c r="A1975" t="s">
        <v>3313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hidden="1" x14ac:dyDescent="0.25">
      <c r="A1976" t="s">
        <v>3314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hidden="1" x14ac:dyDescent="0.25">
      <c r="A1977" t="s">
        <v>3188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hidden="1" x14ac:dyDescent="0.25">
      <c r="A1978" t="s">
        <v>3312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hidden="1" x14ac:dyDescent="0.25">
      <c r="A1979" t="s">
        <v>3184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hidden="1" x14ac:dyDescent="0.25">
      <c r="A1980" t="s">
        <v>3311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hidden="1" x14ac:dyDescent="0.25">
      <c r="A1981" t="s">
        <v>3310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hidden="1" x14ac:dyDescent="0.25">
      <c r="A1982" t="s">
        <v>3308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hidden="1" x14ac:dyDescent="0.25">
      <c r="A1983" t="s">
        <v>3309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hidden="1" x14ac:dyDescent="0.25">
      <c r="A1984" t="s">
        <v>3306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hidden="1" x14ac:dyDescent="0.25">
      <c r="A1985" t="s">
        <v>3307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hidden="1" x14ac:dyDescent="0.25">
      <c r="A1986" t="s">
        <v>3179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hidden="1" x14ac:dyDescent="0.25">
      <c r="A1987" t="s">
        <v>3304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hidden="1" x14ac:dyDescent="0.25">
      <c r="A1988" t="s">
        <v>3175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hidden="1" x14ac:dyDescent="0.25">
      <c r="A1989" t="s">
        <v>3305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hidden="1" x14ac:dyDescent="0.25">
      <c r="A1990" t="s">
        <v>3300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hidden="1" x14ac:dyDescent="0.25">
      <c r="A1991" t="s">
        <v>3300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hidden="1" x14ac:dyDescent="0.25">
      <c r="A1992" t="s">
        <v>3301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hidden="1" x14ac:dyDescent="0.25">
      <c r="A1993" t="s">
        <v>3302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hidden="1" x14ac:dyDescent="0.25">
      <c r="A1994" t="s">
        <v>3303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hidden="1" x14ac:dyDescent="0.25">
      <c r="A1995" t="s">
        <v>3299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hidden="1" x14ac:dyDescent="0.25">
      <c r="A1996" t="s">
        <v>3288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hidden="1" x14ac:dyDescent="0.25">
      <c r="A1997" t="s">
        <v>3289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hidden="1" x14ac:dyDescent="0.25">
      <c r="A1998" t="s">
        <v>3290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hidden="1" x14ac:dyDescent="0.25">
      <c r="A1999" t="s">
        <v>3291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hidden="1" x14ac:dyDescent="0.25">
      <c r="A2000" t="s">
        <v>3292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hidden="1" x14ac:dyDescent="0.25">
      <c r="A2001" t="s">
        <v>3292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hidden="1" x14ac:dyDescent="0.25">
      <c r="A2002" t="s">
        <v>3293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hidden="1" x14ac:dyDescent="0.25">
      <c r="A2003" t="s">
        <v>3294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hidden="1" x14ac:dyDescent="0.25">
      <c r="A2004" t="s">
        <v>3162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hidden="1" x14ac:dyDescent="0.25">
      <c r="A2005" t="s">
        <v>3295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hidden="1" x14ac:dyDescent="0.25">
      <c r="A2006" t="s">
        <v>3164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hidden="1" x14ac:dyDescent="0.25">
      <c r="A2007" t="s">
        <v>3296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hidden="1" x14ac:dyDescent="0.25">
      <c r="A2008" t="s">
        <v>3297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hidden="1" x14ac:dyDescent="0.25">
      <c r="A2009" t="s">
        <v>3298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hidden="1" x14ac:dyDescent="0.25">
      <c r="A2010" t="s">
        <v>3298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hidden="1" x14ac:dyDescent="0.25">
      <c r="A2011" t="s">
        <v>3347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hidden="1" x14ac:dyDescent="0.25">
      <c r="A2012" t="s">
        <v>3348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hidden="1" x14ac:dyDescent="0.25">
      <c r="A2013" t="s">
        <v>3349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hidden="1" x14ac:dyDescent="0.25">
      <c r="A2014" t="s">
        <v>3350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hidden="1" x14ac:dyDescent="0.25">
      <c r="A2015" t="s">
        <v>3351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hidden="1" x14ac:dyDescent="0.25">
      <c r="A2016" t="s">
        <v>3352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hidden="1" x14ac:dyDescent="0.25">
      <c r="A2017" t="s">
        <v>3353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hidden="1" x14ac:dyDescent="0.25">
      <c r="A2018" t="s">
        <v>3354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hidden="1" x14ac:dyDescent="0.25">
      <c r="A2019" t="s">
        <v>3355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hidden="1" x14ac:dyDescent="0.25">
      <c r="A2020" t="s">
        <v>3356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hidden="1" x14ac:dyDescent="0.25">
      <c r="A2021" t="s">
        <v>3357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hidden="1" x14ac:dyDescent="0.25">
      <c r="A2022" t="s">
        <v>3237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hidden="1" x14ac:dyDescent="0.25">
      <c r="A2023" t="s">
        <v>3358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hidden="1" x14ac:dyDescent="0.25">
      <c r="A2024" t="s">
        <v>3359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hidden="1" x14ac:dyDescent="0.25">
      <c r="A2025" t="s">
        <v>3360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hidden="1" x14ac:dyDescent="0.25">
      <c r="A2026" t="s">
        <v>3241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hidden="1" x14ac:dyDescent="0.25">
      <c r="A2027" t="s">
        <v>3361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hidden="1" x14ac:dyDescent="0.25">
      <c r="A2028" t="s">
        <v>3243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hidden="1" x14ac:dyDescent="0.25">
      <c r="A2029" t="s">
        <v>3244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hidden="1" x14ac:dyDescent="0.25">
      <c r="A2030" t="s">
        <v>3362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hidden="1" x14ac:dyDescent="0.25">
      <c r="A2031" t="s">
        <v>3363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hidden="1" x14ac:dyDescent="0.25">
      <c r="A2032" t="s">
        <v>3364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hidden="1" x14ac:dyDescent="0.25">
      <c r="A2033" t="s">
        <v>3365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hidden="1" x14ac:dyDescent="0.25">
      <c r="A2034" t="s">
        <v>3366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hidden="1" x14ac:dyDescent="0.25">
      <c r="A2035" t="s">
        <v>3367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hidden="1" x14ac:dyDescent="0.25">
      <c r="A2036" t="s">
        <v>3251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hidden="1" x14ac:dyDescent="0.25">
      <c r="A2037" t="s">
        <v>3252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hidden="1" x14ac:dyDescent="0.25">
      <c r="A2038" t="s">
        <v>3368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hidden="1" x14ac:dyDescent="0.25">
      <c r="A2039" t="s">
        <v>3368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hidden="1" x14ac:dyDescent="0.25">
      <c r="A2040" t="s">
        <v>3369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hidden="1" x14ac:dyDescent="0.25">
      <c r="A2041" t="s">
        <v>3370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hidden="1" x14ac:dyDescent="0.25">
      <c r="A2042" t="s">
        <v>3371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hidden="1" x14ac:dyDescent="0.25">
      <c r="A2043" t="s">
        <v>3372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hidden="1" x14ac:dyDescent="0.25">
      <c r="A2044" t="s">
        <v>3373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hidden="1" x14ac:dyDescent="0.25">
      <c r="A2045" t="s">
        <v>3259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hidden="1" x14ac:dyDescent="0.25">
      <c r="A2046" t="s">
        <v>3374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hidden="1" x14ac:dyDescent="0.25">
      <c r="A2047" t="s">
        <v>3375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hidden="1" x14ac:dyDescent="0.25">
      <c r="A2048" t="s">
        <v>3376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hidden="1" x14ac:dyDescent="0.25">
      <c r="A2049" t="s">
        <v>3377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hidden="1" x14ac:dyDescent="0.25">
      <c r="A2050" t="s">
        <v>3377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hidden="1" x14ac:dyDescent="0.25">
      <c r="A2051" t="s">
        <v>3378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hidden="1" x14ac:dyDescent="0.25">
      <c r="A2052" t="s">
        <v>3265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hidden="1" x14ac:dyDescent="0.25">
      <c r="A2053" t="s">
        <v>3266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hidden="1" x14ac:dyDescent="0.25">
      <c r="A2054" t="s">
        <v>3267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hidden="1" x14ac:dyDescent="0.25">
      <c r="A2055" t="s">
        <v>3379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hidden="1" x14ac:dyDescent="0.25">
      <c r="A2056" t="s">
        <v>3380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hidden="1" x14ac:dyDescent="0.25">
      <c r="A2057" t="s">
        <v>3381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hidden="1" x14ac:dyDescent="0.25">
      <c r="A2058" t="s">
        <v>3271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hidden="1" x14ac:dyDescent="0.25">
      <c r="A2059" t="s">
        <v>3382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hidden="1" x14ac:dyDescent="0.25">
      <c r="A2060" t="s">
        <v>3383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hidden="1" x14ac:dyDescent="0.25">
      <c r="A2061" t="s">
        <v>3384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hidden="1" x14ac:dyDescent="0.25">
      <c r="A2062" t="s">
        <v>3275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hidden="1" x14ac:dyDescent="0.25">
      <c r="A2063" t="s">
        <v>3276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hidden="1" x14ac:dyDescent="0.25">
      <c r="A2064" t="s">
        <v>3385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hidden="1" x14ac:dyDescent="0.25">
      <c r="A2065" t="s">
        <v>3386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hidden="1" x14ac:dyDescent="0.25">
      <c r="A2066" t="s">
        <v>3387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hidden="1" x14ac:dyDescent="0.25">
      <c r="A2067" t="s">
        <v>3388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hidden="1" x14ac:dyDescent="0.25">
      <c r="A2068" t="s">
        <v>3389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hidden="1" x14ac:dyDescent="0.25">
      <c r="A2069" t="s">
        <v>3390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hidden="1" x14ac:dyDescent="0.25">
      <c r="A2070" t="s">
        <v>3391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hidden="1" x14ac:dyDescent="0.25">
      <c r="A2071" t="s">
        <v>3392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hidden="1" x14ac:dyDescent="0.25">
      <c r="A2072" t="s">
        <v>3393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hidden="1" x14ac:dyDescent="0.25">
      <c r="A2073" t="s">
        <v>3394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hidden="1" x14ac:dyDescent="0.25">
      <c r="A2074" t="s">
        <v>3394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5" spans="1:12" hidden="1" x14ac:dyDescent="0.25"/>
    <row r="2076" spans="1:12" hidden="1" x14ac:dyDescent="0.25"/>
    <row r="2077" spans="1:12" ht="15.75" hidden="1" thickBot="1" x14ac:dyDescent="0.3"/>
    <row r="2078" spans="1:12" ht="32.25" hidden="1" customHeight="1" x14ac:dyDescent="0.25">
      <c r="A2078" s="37" t="s">
        <v>3395</v>
      </c>
      <c r="B2078" s="38" t="s">
        <v>311</v>
      </c>
      <c r="C2078" s="38" t="s">
        <v>1545</v>
      </c>
      <c r="D2078" s="38" t="s">
        <v>1527</v>
      </c>
      <c r="E2078" s="38" t="s">
        <v>1546</v>
      </c>
      <c r="F2078" s="38" t="s">
        <v>1547</v>
      </c>
      <c r="G2078" s="40" t="s">
        <v>1861</v>
      </c>
      <c r="H2078" s="38" t="s">
        <v>1862</v>
      </c>
      <c r="I2078" s="38"/>
      <c r="J2078" s="65" t="s">
        <v>1989</v>
      </c>
      <c r="K2078" s="66" t="s">
        <v>1990</v>
      </c>
      <c r="L2078" s="67" t="s">
        <v>1991</v>
      </c>
    </row>
    <row r="2079" spans="1:12" hidden="1" x14ac:dyDescent="0.25">
      <c r="A2079" s="30" t="s">
        <v>3396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8">
        <f>AVERAGE(D2079:D2216)</f>
        <v>29.356296296296275</v>
      </c>
      <c r="K2079" s="68">
        <f>_xlfn.STDEV.P(D2079:D2216)</f>
        <v>10.617177607851067</v>
      </c>
      <c r="L2079" s="68">
        <f>MEDIAN(D2079:D2216)</f>
        <v>28.95</v>
      </c>
    </row>
    <row r="2080" spans="1:12" hidden="1" x14ac:dyDescent="0.25">
      <c r="A2080" t="s">
        <v>3397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hidden="1" x14ac:dyDescent="0.25">
      <c r="A2081" t="s">
        <v>3397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hidden="1" x14ac:dyDescent="0.25">
      <c r="A2082" t="s">
        <v>3398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hidden="1" x14ac:dyDescent="0.25">
      <c r="A2083" t="s">
        <v>3399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hidden="1" x14ac:dyDescent="0.25">
      <c r="A2084" t="s">
        <v>3400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hidden="1" x14ac:dyDescent="0.25">
      <c r="A2085" t="s">
        <v>3401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hidden="1" x14ac:dyDescent="0.25">
      <c r="A2086" t="s">
        <v>3402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hidden="1" x14ac:dyDescent="0.25">
      <c r="A2087" t="s">
        <v>3403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hidden="1" x14ac:dyDescent="0.25">
      <c r="A2088" t="s">
        <v>3404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hidden="1" x14ac:dyDescent="0.25">
      <c r="A2089" t="s">
        <v>3405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hidden="1" x14ac:dyDescent="0.25">
      <c r="A2090" t="s">
        <v>3406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hidden="1" x14ac:dyDescent="0.25">
      <c r="A2091" t="s">
        <v>3407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hidden="1" x14ac:dyDescent="0.25">
      <c r="A2092" t="s">
        <v>3408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hidden="1" x14ac:dyDescent="0.25">
      <c r="A2093" t="s">
        <v>3409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hidden="1" x14ac:dyDescent="0.25">
      <c r="A2094" t="s">
        <v>3410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hidden="1" x14ac:dyDescent="0.25">
      <c r="A2095" t="s">
        <v>3411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hidden="1" x14ac:dyDescent="0.25">
      <c r="A2096" t="s">
        <v>3412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hidden="1" x14ac:dyDescent="0.25">
      <c r="A2097" t="s">
        <v>3413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hidden="1" x14ac:dyDescent="0.25">
      <c r="A2098" t="s">
        <v>3414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hidden="1" x14ac:dyDescent="0.25">
      <c r="A2099" t="s">
        <v>3415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hidden="1" x14ac:dyDescent="0.25">
      <c r="A2100" t="s">
        <v>3416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hidden="1" x14ac:dyDescent="0.25">
      <c r="A2101" t="s">
        <v>3417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hidden="1" x14ac:dyDescent="0.25">
      <c r="A2102" t="s">
        <v>3418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hidden="1" x14ac:dyDescent="0.25">
      <c r="A2103" t="s">
        <v>3418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hidden="1" x14ac:dyDescent="0.25">
      <c r="A2104" t="s">
        <v>3419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hidden="1" x14ac:dyDescent="0.25">
      <c r="A2105" t="s">
        <v>3420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hidden="1" x14ac:dyDescent="0.25">
      <c r="A2106" t="s">
        <v>3421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hidden="1" x14ac:dyDescent="0.25">
      <c r="A2107" t="s">
        <v>3421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hidden="1" x14ac:dyDescent="0.25">
      <c r="A2108" t="s">
        <v>3422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hidden="1" x14ac:dyDescent="0.25">
      <c r="A2109" t="s">
        <v>3423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hidden="1" x14ac:dyDescent="0.25">
      <c r="A2110" t="s">
        <v>3424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hidden="1" x14ac:dyDescent="0.25">
      <c r="A2111" t="s">
        <v>3425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hidden="1" x14ac:dyDescent="0.25">
      <c r="A2112" t="s">
        <v>3426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hidden="1" x14ac:dyDescent="0.25">
      <c r="A2113" t="s">
        <v>3427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hidden="1" x14ac:dyDescent="0.25">
      <c r="A2114" t="s">
        <v>3428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hidden="1" x14ac:dyDescent="0.25">
      <c r="A2115" t="s">
        <v>3429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hidden="1" x14ac:dyDescent="0.25">
      <c r="A2116" t="s">
        <v>3430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hidden="1" x14ac:dyDescent="0.25">
      <c r="A2117" t="s">
        <v>3431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hidden="1" x14ac:dyDescent="0.25">
      <c r="A2118" t="s">
        <v>3431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hidden="1" x14ac:dyDescent="0.25">
      <c r="A2119" t="s">
        <v>3432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hidden="1" x14ac:dyDescent="0.25">
      <c r="A2120" t="s">
        <v>3433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hidden="1" x14ac:dyDescent="0.25">
      <c r="A2121" t="s">
        <v>3434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hidden="1" x14ac:dyDescent="0.25">
      <c r="A2122" t="s">
        <v>3435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hidden="1" x14ac:dyDescent="0.25">
      <c r="A2123" t="s">
        <v>3436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hidden="1" x14ac:dyDescent="0.25">
      <c r="A2124" t="s">
        <v>3437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hidden="1" x14ac:dyDescent="0.25">
      <c r="A2125" t="s">
        <v>3438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hidden="1" x14ac:dyDescent="0.25">
      <c r="A2126" t="s">
        <v>3439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hidden="1" x14ac:dyDescent="0.25">
      <c r="A2127" t="s">
        <v>3440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hidden="1" x14ac:dyDescent="0.25">
      <c r="A2128" t="s">
        <v>3441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hidden="1" x14ac:dyDescent="0.25">
      <c r="A2129" t="s">
        <v>3442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hidden="1" x14ac:dyDescent="0.25">
      <c r="A2130" t="s">
        <v>3443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hidden="1" x14ac:dyDescent="0.25">
      <c r="A2131" t="s">
        <v>3444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hidden="1" x14ac:dyDescent="0.25">
      <c r="A2132" t="s">
        <v>3445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hidden="1" x14ac:dyDescent="0.25">
      <c r="A2133" t="s">
        <v>3446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hidden="1" x14ac:dyDescent="0.25">
      <c r="A2134" t="s">
        <v>3447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hidden="1" x14ac:dyDescent="0.25">
      <c r="A2135" t="s">
        <v>3448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hidden="1" x14ac:dyDescent="0.25">
      <c r="A2136" t="s">
        <v>3449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hidden="1" x14ac:dyDescent="0.25">
      <c r="A2137" t="s">
        <v>3450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hidden="1" x14ac:dyDescent="0.25">
      <c r="A2138" t="s">
        <v>3451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hidden="1" x14ac:dyDescent="0.25">
      <c r="A2139" t="s">
        <v>3452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hidden="1" x14ac:dyDescent="0.25">
      <c r="A2140" t="s">
        <v>3453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hidden="1" x14ac:dyDescent="0.25">
      <c r="A2141" t="s">
        <v>3454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hidden="1" x14ac:dyDescent="0.25">
      <c r="A2142" t="s">
        <v>3454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hidden="1" x14ac:dyDescent="0.25">
      <c r="B2143" s="8"/>
    </row>
    <row r="2144" spans="1:7" ht="15.75" hidden="1" thickBot="1" x14ac:dyDescent="0.3">
      <c r="B2144" s="8"/>
    </row>
    <row r="2145" spans="1:12" ht="29.25" hidden="1" customHeight="1" x14ac:dyDescent="0.25">
      <c r="A2145" s="37" t="s">
        <v>3455</v>
      </c>
      <c r="B2145" s="38" t="s">
        <v>311</v>
      </c>
      <c r="C2145" s="38" t="s">
        <v>1545</v>
      </c>
      <c r="D2145" s="38" t="s">
        <v>1527</v>
      </c>
      <c r="E2145" s="38" t="s">
        <v>1546</v>
      </c>
      <c r="F2145" s="38" t="s">
        <v>1547</v>
      </c>
      <c r="G2145" s="40" t="s">
        <v>1861</v>
      </c>
      <c r="H2145" s="38" t="s">
        <v>1862</v>
      </c>
      <c r="I2145" s="38"/>
      <c r="J2145" s="65" t="s">
        <v>1989</v>
      </c>
      <c r="K2145" s="66" t="s">
        <v>1990</v>
      </c>
      <c r="L2145" s="67" t="s">
        <v>1991</v>
      </c>
    </row>
    <row r="2146" spans="1:12" hidden="1" x14ac:dyDescent="0.25">
      <c r="A2146" s="30" t="s">
        <v>3456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8">
        <f>AVERAGE(D2146:D2283)</f>
        <v>29.509057971014467</v>
      </c>
      <c r="K2146" s="68">
        <f>_xlfn.STDEV.P(D2146:D2283)</f>
        <v>10.762877752644961</v>
      </c>
      <c r="L2146" s="68">
        <f>MEDIAN(D2146:D2283)</f>
        <v>29</v>
      </c>
    </row>
    <row r="2147" spans="1:12" hidden="1" x14ac:dyDescent="0.25">
      <c r="A2147" s="30" t="s">
        <v>3457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hidden="1" x14ac:dyDescent="0.25">
      <c r="A2148" t="s">
        <v>3458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hidden="1" x14ac:dyDescent="0.25">
      <c r="A2149" t="s">
        <v>3459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hidden="1" x14ac:dyDescent="0.25">
      <c r="A2150" t="s">
        <v>3460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hidden="1" x14ac:dyDescent="0.25">
      <c r="A2151" t="s">
        <v>3460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hidden="1" x14ac:dyDescent="0.25">
      <c r="A2152" t="s">
        <v>3461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hidden="1" x14ac:dyDescent="0.25">
      <c r="A2153" t="s">
        <v>3462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hidden="1" x14ac:dyDescent="0.25">
      <c r="A2154" t="s">
        <v>3463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hidden="1" x14ac:dyDescent="0.25">
      <c r="A2155" t="s">
        <v>3464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hidden="1" x14ac:dyDescent="0.25">
      <c r="A2156" t="s">
        <v>3465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hidden="1" x14ac:dyDescent="0.25">
      <c r="A2157" t="s">
        <v>3466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hidden="1" x14ac:dyDescent="0.25">
      <c r="A2158" t="s">
        <v>3467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hidden="1" x14ac:dyDescent="0.25">
      <c r="A2159" t="s">
        <v>3468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hidden="1" x14ac:dyDescent="0.25">
      <c r="A2160" t="s">
        <v>3469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hidden="1" x14ac:dyDescent="0.25">
      <c r="A2161" t="s">
        <v>3470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hidden="1" x14ac:dyDescent="0.25">
      <c r="A2162" t="s">
        <v>3471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hidden="1" x14ac:dyDescent="0.25">
      <c r="A2163" t="s">
        <v>3471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hidden="1" x14ac:dyDescent="0.25">
      <c r="A2164" t="s">
        <v>3039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hidden="1" x14ac:dyDescent="0.25">
      <c r="A2165" t="s">
        <v>3472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hidden="1" x14ac:dyDescent="0.25">
      <c r="A2166" t="s">
        <v>3473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hidden="1" x14ac:dyDescent="0.25">
      <c r="A2167" t="s">
        <v>3474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hidden="1" x14ac:dyDescent="0.25">
      <c r="A2168" t="s">
        <v>3475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hidden="1" x14ac:dyDescent="0.25">
      <c r="A2169" t="s">
        <v>3476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hidden="1" x14ac:dyDescent="0.25">
      <c r="A2170" t="s">
        <v>3477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hidden="1" x14ac:dyDescent="0.25">
      <c r="A2171" t="s">
        <v>3478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hidden="1" x14ac:dyDescent="0.25">
      <c r="A2172" t="s">
        <v>3479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hidden="1" x14ac:dyDescent="0.25">
      <c r="A2173" t="s">
        <v>3480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hidden="1" x14ac:dyDescent="0.25">
      <c r="A2174" t="s">
        <v>3481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hidden="1" x14ac:dyDescent="0.25">
      <c r="A2175" t="s">
        <v>3482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hidden="1" x14ac:dyDescent="0.25">
      <c r="A2176" t="s">
        <v>3483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hidden="1" x14ac:dyDescent="0.25">
      <c r="A2177" t="s">
        <v>3484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hidden="1" x14ac:dyDescent="0.25">
      <c r="A2178" t="s">
        <v>3485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hidden="1" x14ac:dyDescent="0.25">
      <c r="A2179" t="s">
        <v>3486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hidden="1" x14ac:dyDescent="0.25">
      <c r="A2180" t="s">
        <v>3487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hidden="1" x14ac:dyDescent="0.25">
      <c r="A2181" t="s">
        <v>3488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hidden="1" x14ac:dyDescent="0.25">
      <c r="A2182" t="s">
        <v>3489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hidden="1" x14ac:dyDescent="0.25">
      <c r="A2183" t="s">
        <v>3490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hidden="1" x14ac:dyDescent="0.25">
      <c r="A2184" t="s">
        <v>3491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hidden="1" x14ac:dyDescent="0.25">
      <c r="A2185" t="s">
        <v>3492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hidden="1" x14ac:dyDescent="0.25">
      <c r="A2186" t="s">
        <v>3493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hidden="1" x14ac:dyDescent="0.25">
      <c r="A2187" t="s">
        <v>3494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hidden="1" x14ac:dyDescent="0.25">
      <c r="A2188" t="s">
        <v>3495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hidden="1" x14ac:dyDescent="0.25">
      <c r="A2189" t="s">
        <v>3496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hidden="1" x14ac:dyDescent="0.25">
      <c r="A2190" t="s">
        <v>3497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hidden="1" x14ac:dyDescent="0.25">
      <c r="A2191" t="s">
        <v>3498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hidden="1" x14ac:dyDescent="0.25">
      <c r="A2192" t="s">
        <v>3499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hidden="1" x14ac:dyDescent="0.25">
      <c r="A2193" t="s">
        <v>3500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hidden="1" x14ac:dyDescent="0.25">
      <c r="A2194" t="s">
        <v>3501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hidden="1" x14ac:dyDescent="0.25">
      <c r="A2195" t="s">
        <v>3502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hidden="1" x14ac:dyDescent="0.25">
      <c r="A2196" t="s">
        <v>3503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hidden="1" x14ac:dyDescent="0.25">
      <c r="A2197" t="s">
        <v>3504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hidden="1" x14ac:dyDescent="0.25">
      <c r="A2198" t="s">
        <v>3505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hidden="1" x14ac:dyDescent="0.25">
      <c r="A2199" t="s">
        <v>3506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hidden="1" x14ac:dyDescent="0.25">
      <c r="A2200" t="s">
        <v>3507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hidden="1" x14ac:dyDescent="0.25">
      <c r="A2201" t="s">
        <v>3508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hidden="1" x14ac:dyDescent="0.25">
      <c r="A2202" t="s">
        <v>3509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hidden="1" x14ac:dyDescent="0.25">
      <c r="A2203" t="s">
        <v>3510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hidden="1" x14ac:dyDescent="0.25">
      <c r="A2204" t="s">
        <v>3511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hidden="1" x14ac:dyDescent="0.25">
      <c r="A2205" t="s">
        <v>3512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hidden="1" x14ac:dyDescent="0.25">
      <c r="A2206" t="s">
        <v>3512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hidden="1" x14ac:dyDescent="0.25">
      <c r="A2207" t="s">
        <v>3513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hidden="1" x14ac:dyDescent="0.25">
      <c r="A2208" t="s">
        <v>3514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hidden="1" x14ac:dyDescent="0.25">
      <c r="A2209" t="s">
        <v>3515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hidden="1" x14ac:dyDescent="0.25">
      <c r="A2210" t="s">
        <v>3516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hidden="1" x14ac:dyDescent="0.25">
      <c r="A2211" t="s">
        <v>3517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hidden="1" x14ac:dyDescent="0.25">
      <c r="A2212" t="s">
        <v>3518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hidden="1" x14ac:dyDescent="0.25">
      <c r="A2213" t="s">
        <v>3519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hidden="1" x14ac:dyDescent="0.25">
      <c r="A2214" t="s">
        <v>3520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hidden="1" x14ac:dyDescent="0.25">
      <c r="A2215" t="s">
        <v>3521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hidden="1" x14ac:dyDescent="0.25">
      <c r="A2216" t="s">
        <v>3522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hidden="1" x14ac:dyDescent="0.25">
      <c r="A2217" t="s">
        <v>3523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hidden="1" x14ac:dyDescent="0.25">
      <c r="A2218" t="s">
        <v>3524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hidden="1" x14ac:dyDescent="0.25">
      <c r="A2219" t="s">
        <v>3525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hidden="1" x14ac:dyDescent="0.25">
      <c r="A2220" t="s">
        <v>3526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hidden="1" x14ac:dyDescent="0.25">
      <c r="A2221" t="s">
        <v>3527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hidden="1" x14ac:dyDescent="0.25">
      <c r="A2222" t="s">
        <v>3527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hidden="1" x14ac:dyDescent="0.25">
      <c r="A2223" t="s">
        <v>3528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hidden="1" x14ac:dyDescent="0.25">
      <c r="A2224" t="s">
        <v>3529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hidden="1" x14ac:dyDescent="0.25">
      <c r="A2225" t="s">
        <v>3530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hidden="1" x14ac:dyDescent="0.25">
      <c r="A2226" t="s">
        <v>3531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hidden="1" x14ac:dyDescent="0.25">
      <c r="A2227" t="s">
        <v>3532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hidden="1" x14ac:dyDescent="0.25">
      <c r="A2228" t="s">
        <v>3533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hidden="1" x14ac:dyDescent="0.25">
      <c r="A2229" t="s">
        <v>3534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hidden="1" x14ac:dyDescent="0.25">
      <c r="A2230" t="s">
        <v>3535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hidden="1" x14ac:dyDescent="0.25">
      <c r="A2231" t="s">
        <v>3406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hidden="1" x14ac:dyDescent="0.25">
      <c r="A2232" t="s">
        <v>3536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hidden="1" x14ac:dyDescent="0.25">
      <c r="A2233" t="s">
        <v>3537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hidden="1" x14ac:dyDescent="0.25">
      <c r="A2234" t="s">
        <v>3538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hidden="1" x14ac:dyDescent="0.25">
      <c r="A2235" t="s">
        <v>3539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hidden="1" x14ac:dyDescent="0.25">
      <c r="A2236" t="s">
        <v>3540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hidden="1" x14ac:dyDescent="0.25">
      <c r="A2237" t="s">
        <v>3541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hidden="1" x14ac:dyDescent="0.25">
      <c r="A2238" t="s">
        <v>3542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hidden="1" x14ac:dyDescent="0.25">
      <c r="A2239" t="s">
        <v>3543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hidden="1" x14ac:dyDescent="0.25">
      <c r="A2240" t="s">
        <v>3544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hidden="1" x14ac:dyDescent="0.25">
      <c r="A2241" t="s">
        <v>3545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hidden="1" x14ac:dyDescent="0.25">
      <c r="A2242" t="s">
        <v>3546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hidden="1" x14ac:dyDescent="0.25">
      <c r="A2243" t="s">
        <v>3418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hidden="1" x14ac:dyDescent="0.25">
      <c r="A2244" t="s">
        <v>3418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hidden="1" x14ac:dyDescent="0.25">
      <c r="A2245" t="s">
        <v>3547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hidden="1" x14ac:dyDescent="0.25">
      <c r="A2246" t="s">
        <v>3548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hidden="1" x14ac:dyDescent="0.25">
      <c r="A2247" t="s">
        <v>3549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hidden="1" x14ac:dyDescent="0.25">
      <c r="A2248" t="s">
        <v>3549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hidden="1" x14ac:dyDescent="0.25">
      <c r="A2249" t="s">
        <v>3550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hidden="1" x14ac:dyDescent="0.25">
      <c r="A2250" t="s">
        <v>3551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hidden="1" x14ac:dyDescent="0.25">
      <c r="A2251" t="s">
        <v>3552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hidden="1" x14ac:dyDescent="0.25">
      <c r="A2252" t="s">
        <v>3553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hidden="1" x14ac:dyDescent="0.25">
      <c r="A2253" t="s">
        <v>3426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hidden="1" x14ac:dyDescent="0.25">
      <c r="A2254" t="s">
        <v>3427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hidden="1" x14ac:dyDescent="0.25">
      <c r="A2255" t="s">
        <v>3554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hidden="1" x14ac:dyDescent="0.25">
      <c r="A2256" t="s">
        <v>3555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hidden="1" x14ac:dyDescent="0.25">
      <c r="A2257" t="s">
        <v>3556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hidden="1" x14ac:dyDescent="0.25">
      <c r="A2258" t="s">
        <v>3557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hidden="1" x14ac:dyDescent="0.25">
      <c r="A2259" t="s">
        <v>3557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hidden="1" x14ac:dyDescent="0.25">
      <c r="A2260" t="s">
        <v>3558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hidden="1" x14ac:dyDescent="0.25">
      <c r="A2261" t="s">
        <v>3559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hidden="1" x14ac:dyDescent="0.25">
      <c r="A2262" t="s">
        <v>3560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hidden="1" x14ac:dyDescent="0.25">
      <c r="A2263" t="s">
        <v>3561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hidden="1" x14ac:dyDescent="0.25">
      <c r="A2264" t="s">
        <v>3562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hidden="1" x14ac:dyDescent="0.25">
      <c r="A2265" t="s">
        <v>3563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hidden="1" x14ac:dyDescent="0.25">
      <c r="A2266" t="s">
        <v>3564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hidden="1" x14ac:dyDescent="0.25">
      <c r="A2267" t="s">
        <v>3439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hidden="1" x14ac:dyDescent="0.25">
      <c r="A2268" t="s">
        <v>3565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hidden="1" x14ac:dyDescent="0.25">
      <c r="A2269" t="s">
        <v>3566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hidden="1" x14ac:dyDescent="0.25">
      <c r="A2270" t="s">
        <v>3567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hidden="1" x14ac:dyDescent="0.25">
      <c r="A2271" t="s">
        <v>3443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hidden="1" x14ac:dyDescent="0.25">
      <c r="A2272" t="s">
        <v>3568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hidden="1" x14ac:dyDescent="0.25">
      <c r="A2273" t="s">
        <v>3569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hidden="1" x14ac:dyDescent="0.25">
      <c r="A2274" t="s">
        <v>3570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hidden="1" x14ac:dyDescent="0.25">
      <c r="A2275" t="s">
        <v>3571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hidden="1" x14ac:dyDescent="0.25">
      <c r="A2276" t="s">
        <v>3572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hidden="1" x14ac:dyDescent="0.25">
      <c r="A2277" t="s">
        <v>3573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hidden="1" x14ac:dyDescent="0.25">
      <c r="A2278" t="s">
        <v>3574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hidden="1" x14ac:dyDescent="0.25">
      <c r="A2279" t="s">
        <v>3575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hidden="1" x14ac:dyDescent="0.25">
      <c r="A2280" t="s">
        <v>3576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hidden="1" x14ac:dyDescent="0.25">
      <c r="A2281" t="s">
        <v>3577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hidden="1" x14ac:dyDescent="0.25">
      <c r="A2282" t="s">
        <v>3578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hidden="1" x14ac:dyDescent="0.25">
      <c r="A2283" t="s">
        <v>3578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4" spans="1:12" hidden="1" x14ac:dyDescent="0.25"/>
    <row r="2285" spans="1:12" hidden="1" x14ac:dyDescent="0.25"/>
    <row r="2286" spans="1:12" ht="15.75" hidden="1" thickBot="1" x14ac:dyDescent="0.3"/>
    <row r="2287" spans="1:12" ht="30" hidden="1" x14ac:dyDescent="0.25">
      <c r="A2287" s="37" t="s">
        <v>3579</v>
      </c>
      <c r="B2287" s="38" t="s">
        <v>311</v>
      </c>
      <c r="C2287" s="38" t="s">
        <v>1545</v>
      </c>
      <c r="D2287" s="38" t="s">
        <v>1527</v>
      </c>
      <c r="E2287" s="38" t="s">
        <v>1546</v>
      </c>
      <c r="F2287" s="38" t="s">
        <v>1547</v>
      </c>
      <c r="G2287" s="40" t="s">
        <v>1861</v>
      </c>
      <c r="H2287" s="38" t="s">
        <v>1862</v>
      </c>
      <c r="I2287" s="38"/>
      <c r="J2287" s="65" t="s">
        <v>1989</v>
      </c>
      <c r="K2287" s="66" t="s">
        <v>1990</v>
      </c>
      <c r="L2287" s="67" t="s">
        <v>1991</v>
      </c>
    </row>
    <row r="2288" spans="1:12" hidden="1" x14ac:dyDescent="0.25">
      <c r="A2288" s="30" t="s">
        <v>3580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8">
        <f>AVERAGE(D2288:D2425)</f>
        <v>30.970289855072448</v>
      </c>
      <c r="K2288" s="68">
        <f>_xlfn.STDEV.P(D2288:D2425)</f>
        <v>11.306897403863383</v>
      </c>
      <c r="L2288" s="68">
        <f>MEDIAN(D2288:D2425)</f>
        <v>30.25</v>
      </c>
    </row>
    <row r="2289" spans="1:7" hidden="1" x14ac:dyDescent="0.25">
      <c r="A2289" t="s">
        <v>3581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hidden="1" x14ac:dyDescent="0.25">
      <c r="A2290" t="s">
        <v>3582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hidden="1" x14ac:dyDescent="0.25">
      <c r="A2291" t="s">
        <v>3583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hidden="1" x14ac:dyDescent="0.25">
      <c r="A2292" t="s">
        <v>3584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hidden="1" x14ac:dyDescent="0.25">
      <c r="A2293" t="s">
        <v>3585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hidden="1" x14ac:dyDescent="0.25">
      <c r="A2294" t="s">
        <v>3586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hidden="1" x14ac:dyDescent="0.25">
      <c r="A2295" t="s">
        <v>3587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hidden="1" x14ac:dyDescent="0.25">
      <c r="A2296" t="s">
        <v>3588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hidden="1" x14ac:dyDescent="0.25">
      <c r="A2297" t="s">
        <v>3589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hidden="1" x14ac:dyDescent="0.25">
      <c r="A2298" t="s">
        <v>3590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hidden="1" x14ac:dyDescent="0.25">
      <c r="A2299" t="s">
        <v>3591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hidden="1" x14ac:dyDescent="0.25">
      <c r="A2300" t="s">
        <v>3592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hidden="1" x14ac:dyDescent="0.25">
      <c r="A2301" t="s">
        <v>3593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hidden="1" x14ac:dyDescent="0.25">
      <c r="A2302" t="s">
        <v>3594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hidden="1" x14ac:dyDescent="0.25">
      <c r="A2303" t="s">
        <v>3595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hidden="1" x14ac:dyDescent="0.25">
      <c r="A2304" t="s">
        <v>3580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hidden="1" x14ac:dyDescent="0.25">
      <c r="A2305" t="s">
        <v>3581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hidden="1" x14ac:dyDescent="0.25">
      <c r="A2306" t="s">
        <v>3582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hidden="1" x14ac:dyDescent="0.25">
      <c r="A2307" t="s">
        <v>3583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hidden="1" x14ac:dyDescent="0.25">
      <c r="A2308" t="s">
        <v>3584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hidden="1" x14ac:dyDescent="0.25">
      <c r="A2309" t="s">
        <v>3585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hidden="1" x14ac:dyDescent="0.25">
      <c r="A2310" t="s">
        <v>3586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hidden="1" x14ac:dyDescent="0.25">
      <c r="A2311" t="s">
        <v>3587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hidden="1" x14ac:dyDescent="0.25">
      <c r="A2312" t="s">
        <v>3588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hidden="1" x14ac:dyDescent="0.25">
      <c r="A2313" t="s">
        <v>3589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hidden="1" x14ac:dyDescent="0.25">
      <c r="A2314" t="s">
        <v>3590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hidden="1" x14ac:dyDescent="0.25">
      <c r="A2315" t="s">
        <v>3591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hidden="1" x14ac:dyDescent="0.25">
      <c r="A2316" t="s">
        <v>3592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hidden="1" x14ac:dyDescent="0.25">
      <c r="A2317" t="s">
        <v>3593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hidden="1" x14ac:dyDescent="0.25">
      <c r="A2318" t="s">
        <v>3594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hidden="1" x14ac:dyDescent="0.25">
      <c r="A2319" t="s">
        <v>3595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hidden="1" x14ac:dyDescent="0.25">
      <c r="A2320" t="s">
        <v>3596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hidden="1" x14ac:dyDescent="0.25">
      <c r="A2321" t="s">
        <v>3596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hidden="1" x14ac:dyDescent="0.25">
      <c r="A2322" t="s">
        <v>3597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hidden="1" x14ac:dyDescent="0.25">
      <c r="A2323" t="s">
        <v>3598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hidden="1" x14ac:dyDescent="0.25">
      <c r="A2324" t="s">
        <v>3599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hidden="1" x14ac:dyDescent="0.25">
      <c r="A2325" t="s">
        <v>3600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hidden="1" x14ac:dyDescent="0.25">
      <c r="A2326" t="s">
        <v>3601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hidden="1" x14ac:dyDescent="0.25">
      <c r="A2327" t="s">
        <v>3602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hidden="1" x14ac:dyDescent="0.25">
      <c r="A2328" t="s">
        <v>3603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hidden="1" x14ac:dyDescent="0.25">
      <c r="A2329" t="s">
        <v>3604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hidden="1" x14ac:dyDescent="0.25">
      <c r="A2330" t="s">
        <v>3605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hidden="1" x14ac:dyDescent="0.25">
      <c r="A2331" t="s">
        <v>3606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hidden="1" x14ac:dyDescent="0.25">
      <c r="A2332" t="s">
        <v>3607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hidden="1" x14ac:dyDescent="0.25">
      <c r="A2333" t="s">
        <v>3608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hidden="1" x14ac:dyDescent="0.25">
      <c r="A2334" t="s">
        <v>3609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hidden="1" x14ac:dyDescent="0.25">
      <c r="A2335" t="s">
        <v>3610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hidden="1" x14ac:dyDescent="0.25">
      <c r="A2336" t="s">
        <v>3611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hidden="1" x14ac:dyDescent="0.25">
      <c r="A2337" t="s">
        <v>3612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hidden="1" x14ac:dyDescent="0.25">
      <c r="A2338" t="s">
        <v>3613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hidden="1" x14ac:dyDescent="0.25">
      <c r="A2339" t="s">
        <v>3614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hidden="1" x14ac:dyDescent="0.25">
      <c r="A2340" t="s">
        <v>3615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hidden="1" x14ac:dyDescent="0.25">
      <c r="A2341" t="s">
        <v>3616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hidden="1" x14ac:dyDescent="0.25">
      <c r="A2342" t="s">
        <v>3617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hidden="1" x14ac:dyDescent="0.25">
      <c r="A2343" t="s">
        <v>3618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hidden="1" x14ac:dyDescent="0.25">
      <c r="A2344" t="s">
        <v>3619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hidden="1" x14ac:dyDescent="0.25">
      <c r="A2345" t="s">
        <v>3620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hidden="1" x14ac:dyDescent="0.25">
      <c r="A2346" t="s">
        <v>3621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hidden="1" x14ac:dyDescent="0.25">
      <c r="A2347" t="s">
        <v>3622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hidden="1" x14ac:dyDescent="0.25">
      <c r="A2348" t="s">
        <v>3623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hidden="1" x14ac:dyDescent="0.25">
      <c r="A2349" t="s">
        <v>3624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hidden="1" x14ac:dyDescent="0.25">
      <c r="A2350" t="s">
        <v>3625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hidden="1" x14ac:dyDescent="0.25">
      <c r="A2351" t="s">
        <v>3626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hidden="1" x14ac:dyDescent="0.25">
      <c r="A2352" t="s">
        <v>3627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hidden="1" x14ac:dyDescent="0.25">
      <c r="A2353" t="s">
        <v>3628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hidden="1" x14ac:dyDescent="0.25">
      <c r="A2354" t="s">
        <v>3629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hidden="1" x14ac:dyDescent="0.25">
      <c r="A2355" t="s">
        <v>3630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hidden="1" x14ac:dyDescent="0.25">
      <c r="A2356" t="s">
        <v>3631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hidden="1" x14ac:dyDescent="0.25">
      <c r="A2357" t="s">
        <v>3632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hidden="1" x14ac:dyDescent="0.25">
      <c r="A2358" t="s">
        <v>3633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hidden="1" x14ac:dyDescent="0.25">
      <c r="A2359" t="s">
        <v>3634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hidden="1" x14ac:dyDescent="0.25">
      <c r="A2360" t="s">
        <v>3635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hidden="1" x14ac:dyDescent="0.25">
      <c r="A2361" t="s">
        <v>3636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hidden="1" x14ac:dyDescent="0.25">
      <c r="A2362" t="s">
        <v>3637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hidden="1" x14ac:dyDescent="0.25">
      <c r="A2363" t="s">
        <v>3638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hidden="1" x14ac:dyDescent="0.25">
      <c r="A2364" t="s">
        <v>3639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hidden="1" x14ac:dyDescent="0.25">
      <c r="A2365" t="s">
        <v>3640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hidden="1" x14ac:dyDescent="0.25">
      <c r="A2366" t="s">
        <v>3641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hidden="1" x14ac:dyDescent="0.25">
      <c r="A2367" t="s">
        <v>3642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hidden="1" x14ac:dyDescent="0.25">
      <c r="A2368" t="s">
        <v>3643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hidden="1" x14ac:dyDescent="0.25">
      <c r="A2369" t="s">
        <v>3644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hidden="1" x14ac:dyDescent="0.25">
      <c r="A2370" t="s">
        <v>3645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hidden="1" x14ac:dyDescent="0.25">
      <c r="A2371" t="s">
        <v>3646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hidden="1" x14ac:dyDescent="0.25">
      <c r="A2372" t="s">
        <v>3647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hidden="1" x14ac:dyDescent="0.25">
      <c r="A2373" t="s">
        <v>3648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hidden="1" x14ac:dyDescent="0.25">
      <c r="A2374" t="s">
        <v>3649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hidden="1" x14ac:dyDescent="0.25">
      <c r="A2375" t="s">
        <v>3650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hidden="1" x14ac:dyDescent="0.25">
      <c r="A2376" t="s">
        <v>3651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hidden="1" x14ac:dyDescent="0.25">
      <c r="A2377" t="s">
        <v>3652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hidden="1" x14ac:dyDescent="0.25">
      <c r="A2378" t="s">
        <v>3653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hidden="1" x14ac:dyDescent="0.25">
      <c r="A2379" t="s">
        <v>3654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hidden="1" x14ac:dyDescent="0.25">
      <c r="A2380" t="s">
        <v>3654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hidden="1" x14ac:dyDescent="0.25">
      <c r="A2381" t="s">
        <v>3655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hidden="1" x14ac:dyDescent="0.25">
      <c r="A2382" t="s">
        <v>3656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hidden="1" x14ac:dyDescent="0.25">
      <c r="A2383" t="s">
        <v>3657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hidden="1" x14ac:dyDescent="0.25">
      <c r="A2384" t="s">
        <v>3658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hidden="1" x14ac:dyDescent="0.25">
      <c r="A2385" t="s">
        <v>3659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hidden="1" x14ac:dyDescent="0.25">
      <c r="A2386" t="s">
        <v>3660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hidden="1" x14ac:dyDescent="0.25">
      <c r="A2387" t="s">
        <v>3661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hidden="1" x14ac:dyDescent="0.25">
      <c r="A2388" t="s">
        <v>3662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hidden="1" x14ac:dyDescent="0.25">
      <c r="A2389" t="s">
        <v>3663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hidden="1" x14ac:dyDescent="0.25">
      <c r="A2390" t="s">
        <v>3664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hidden="1" x14ac:dyDescent="0.25">
      <c r="A2391" t="s">
        <v>3665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hidden="1" x14ac:dyDescent="0.25">
      <c r="A2392" t="s">
        <v>3666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hidden="1" x14ac:dyDescent="0.25">
      <c r="A2393" t="s">
        <v>3667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hidden="1" x14ac:dyDescent="0.25">
      <c r="A2394" t="s">
        <v>3668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hidden="1" x14ac:dyDescent="0.25">
      <c r="A2395" t="s">
        <v>3669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hidden="1" x14ac:dyDescent="0.25">
      <c r="A2396" t="s">
        <v>3670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hidden="1" x14ac:dyDescent="0.25">
      <c r="A2397" t="s">
        <v>3671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hidden="1" x14ac:dyDescent="0.25">
      <c r="A2398" t="s">
        <v>3672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hidden="1" x14ac:dyDescent="0.25">
      <c r="A2399" t="s">
        <v>3673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hidden="1" x14ac:dyDescent="0.25">
      <c r="A2400" t="s">
        <v>3674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hidden="1" x14ac:dyDescent="0.25">
      <c r="A2401" t="s">
        <v>3675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hidden="1" x14ac:dyDescent="0.25">
      <c r="A2402" t="s">
        <v>3676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hidden="1" x14ac:dyDescent="0.25">
      <c r="A2403" t="s">
        <v>3677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hidden="1" x14ac:dyDescent="0.25">
      <c r="A2404" t="s">
        <v>3677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hidden="1" x14ac:dyDescent="0.25">
      <c r="A2405" t="s">
        <v>3678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hidden="1" x14ac:dyDescent="0.25">
      <c r="A2406" t="s">
        <v>3678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hidden="1" x14ac:dyDescent="0.25">
      <c r="A2407" t="s">
        <v>3679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hidden="1" x14ac:dyDescent="0.25">
      <c r="A2408" t="s">
        <v>3680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hidden="1" x14ac:dyDescent="0.25">
      <c r="A2409" t="s">
        <v>3681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hidden="1" x14ac:dyDescent="0.25">
      <c r="A2410" t="s">
        <v>3682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hidden="1" x14ac:dyDescent="0.25">
      <c r="A2411" t="s">
        <v>3683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hidden="1" x14ac:dyDescent="0.25">
      <c r="A2412" t="s">
        <v>3684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hidden="1" x14ac:dyDescent="0.25">
      <c r="A2413" t="s">
        <v>3685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hidden="1" x14ac:dyDescent="0.25">
      <c r="A2414" t="s">
        <v>3686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hidden="1" x14ac:dyDescent="0.25">
      <c r="A2415" t="s">
        <v>3687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hidden="1" x14ac:dyDescent="0.25">
      <c r="A2416" t="s">
        <v>3688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hidden="1" x14ac:dyDescent="0.25">
      <c r="A2417" t="s">
        <v>3689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hidden="1" x14ac:dyDescent="0.25">
      <c r="A2418" t="s">
        <v>3690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hidden="1" x14ac:dyDescent="0.25">
      <c r="A2419" t="s">
        <v>3691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hidden="1" x14ac:dyDescent="0.25">
      <c r="A2420" t="s">
        <v>3692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hidden="1" x14ac:dyDescent="0.25">
      <c r="A2421" t="s">
        <v>3693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hidden="1" x14ac:dyDescent="0.25">
      <c r="A2422" t="s">
        <v>3694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hidden="1" x14ac:dyDescent="0.25">
      <c r="A2423" t="s">
        <v>3695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hidden="1" x14ac:dyDescent="0.25">
      <c r="A2424" t="s">
        <v>3696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hidden="1" x14ac:dyDescent="0.25">
      <c r="A2425" t="s">
        <v>3697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hidden="1" x14ac:dyDescent="0.25">
      <c r="A2426" t="s">
        <v>3698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hidden="1" x14ac:dyDescent="0.25">
      <c r="A2427" t="s">
        <v>3699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hidden="1" x14ac:dyDescent="0.25">
      <c r="A2428" t="s">
        <v>3700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hidden="1" x14ac:dyDescent="0.25">
      <c r="A2429" t="s">
        <v>3701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hidden="1" x14ac:dyDescent="0.25">
      <c r="A2430" t="s">
        <v>3702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hidden="1" x14ac:dyDescent="0.25">
      <c r="A2431" t="s">
        <v>3703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hidden="1" x14ac:dyDescent="0.25">
      <c r="A2432" t="s">
        <v>3704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hidden="1" x14ac:dyDescent="0.25">
      <c r="A2433" t="s">
        <v>3705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hidden="1" x14ac:dyDescent="0.25">
      <c r="A2434" t="s">
        <v>3706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hidden="1" x14ac:dyDescent="0.25">
      <c r="A2435" t="s">
        <v>3707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hidden="1" x14ac:dyDescent="0.25">
      <c r="A2436" t="s">
        <v>3708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hidden="1" x14ac:dyDescent="0.25">
      <c r="A2437" t="s">
        <v>3709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hidden="1" x14ac:dyDescent="0.25">
      <c r="A2438" t="s">
        <v>3710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hidden="1" x14ac:dyDescent="0.25">
      <c r="A2439" t="s">
        <v>3711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hidden="1" x14ac:dyDescent="0.25">
      <c r="A2440" t="s">
        <v>3712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hidden="1" x14ac:dyDescent="0.25">
      <c r="A2441" t="s">
        <v>3713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2" spans="1:12" hidden="1" x14ac:dyDescent="0.25"/>
    <row r="2443" spans="1:12" ht="15.75" hidden="1" thickBot="1" x14ac:dyDescent="0.3"/>
    <row r="2444" spans="1:12" ht="30" hidden="1" x14ac:dyDescent="0.25">
      <c r="A2444" s="37" t="s">
        <v>3714</v>
      </c>
      <c r="B2444" s="38" t="s">
        <v>311</v>
      </c>
      <c r="C2444" s="38" t="s">
        <v>1545</v>
      </c>
      <c r="D2444" s="38" t="s">
        <v>1527</v>
      </c>
      <c r="E2444" s="38" t="s">
        <v>1546</v>
      </c>
      <c r="F2444" s="38" t="s">
        <v>1547</v>
      </c>
      <c r="G2444" s="40" t="s">
        <v>1861</v>
      </c>
      <c r="H2444" s="38" t="s">
        <v>1862</v>
      </c>
      <c r="I2444" s="38"/>
      <c r="J2444" s="65" t="s">
        <v>1989</v>
      </c>
      <c r="K2444" s="66" t="s">
        <v>1990</v>
      </c>
      <c r="L2444" s="67" t="s">
        <v>1991</v>
      </c>
    </row>
    <row r="2445" spans="1:12" hidden="1" x14ac:dyDescent="0.25">
      <c r="A2445" t="s">
        <v>3715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8">
        <f>AVERAGE(D2445:D2582)</f>
        <v>31.827898550724619</v>
      </c>
      <c r="K2445" s="68">
        <f>_xlfn.STDEV.P(D2445:D2572)</f>
        <v>10.533598117478112</v>
      </c>
      <c r="L2445" s="68">
        <f>MEDIAN(D2445:D2572)</f>
        <v>30.625</v>
      </c>
    </row>
    <row r="2446" spans="1:12" hidden="1" x14ac:dyDescent="0.25">
      <c r="A2446" t="s">
        <v>3716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hidden="1" x14ac:dyDescent="0.25">
      <c r="A2447" t="s">
        <v>3717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hidden="1" x14ac:dyDescent="0.25">
      <c r="A2448" t="s">
        <v>3718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hidden="1" x14ac:dyDescent="0.25">
      <c r="A2449" t="s">
        <v>3719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hidden="1" x14ac:dyDescent="0.25">
      <c r="A2450" t="s">
        <v>3720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hidden="1" x14ac:dyDescent="0.25">
      <c r="A2451" t="s">
        <v>3721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hidden="1" x14ac:dyDescent="0.25">
      <c r="A2452" t="s">
        <v>3722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hidden="1" x14ac:dyDescent="0.25">
      <c r="A2453" t="s">
        <v>3723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hidden="1" x14ac:dyDescent="0.25">
      <c r="A2454" t="s">
        <v>3724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hidden="1" x14ac:dyDescent="0.25">
      <c r="A2455" t="s">
        <v>3725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hidden="1" x14ac:dyDescent="0.25">
      <c r="A2456" t="s">
        <v>3726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hidden="1" x14ac:dyDescent="0.25">
      <c r="A2457" t="s">
        <v>3727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hidden="1" x14ac:dyDescent="0.25">
      <c r="A2458" t="s">
        <v>3728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hidden="1" x14ac:dyDescent="0.25">
      <c r="A2459" t="s">
        <v>3729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hidden="1" x14ac:dyDescent="0.25">
      <c r="A2460" t="s">
        <v>3730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hidden="1" x14ac:dyDescent="0.25">
      <c r="A2461" t="s">
        <v>3731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hidden="1" x14ac:dyDescent="0.25">
      <c r="A2462" t="s">
        <v>3731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hidden="1" x14ac:dyDescent="0.25">
      <c r="A2463" t="s">
        <v>3732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hidden="1" x14ac:dyDescent="0.25">
      <c r="A2464" t="s">
        <v>3733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hidden="1" x14ac:dyDescent="0.25">
      <c r="A2465" t="s">
        <v>3734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hidden="1" x14ac:dyDescent="0.25">
      <c r="A2466" t="s">
        <v>3735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hidden="1" x14ac:dyDescent="0.25">
      <c r="A2467" t="s">
        <v>3736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hidden="1" x14ac:dyDescent="0.25">
      <c r="A2468" t="s">
        <v>3737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hidden="1" x14ac:dyDescent="0.25">
      <c r="A2469" t="s">
        <v>3738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hidden="1" x14ac:dyDescent="0.25">
      <c r="A2470" t="s">
        <v>3739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hidden="1" x14ac:dyDescent="0.25">
      <c r="A2471" t="s">
        <v>3740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hidden="1" x14ac:dyDescent="0.25">
      <c r="A2472" t="s">
        <v>3741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hidden="1" x14ac:dyDescent="0.25">
      <c r="A2473" t="s">
        <v>3742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hidden="1" x14ac:dyDescent="0.25">
      <c r="A2474" t="s">
        <v>3743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hidden="1" x14ac:dyDescent="0.25">
      <c r="A2475" t="s">
        <v>3744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hidden="1" x14ac:dyDescent="0.25">
      <c r="A2476" t="s">
        <v>3745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hidden="1" x14ac:dyDescent="0.25">
      <c r="A2477" t="s">
        <v>3746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hidden="1" x14ac:dyDescent="0.25">
      <c r="A2478" t="s">
        <v>3747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hidden="1" x14ac:dyDescent="0.25">
      <c r="A2479" t="s">
        <v>3748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hidden="1" x14ac:dyDescent="0.25">
      <c r="A2480" t="s">
        <v>3749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hidden="1" x14ac:dyDescent="0.25">
      <c r="A2481" t="s">
        <v>3750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hidden="1" x14ac:dyDescent="0.25">
      <c r="A2482" t="s">
        <v>3751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hidden="1" x14ac:dyDescent="0.25">
      <c r="A2483" t="s">
        <v>3752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hidden="1" x14ac:dyDescent="0.25">
      <c r="A2484" t="s">
        <v>3753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hidden="1" x14ac:dyDescent="0.25">
      <c r="A2485" t="s">
        <v>3754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hidden="1" x14ac:dyDescent="0.25">
      <c r="A2486" t="s">
        <v>3755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hidden="1" x14ac:dyDescent="0.25">
      <c r="A2487" t="s">
        <v>3756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hidden="1" x14ac:dyDescent="0.25">
      <c r="A2488" t="s">
        <v>3757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hidden="1" x14ac:dyDescent="0.25">
      <c r="A2489" t="s">
        <v>3758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hidden="1" x14ac:dyDescent="0.25">
      <c r="A2490" t="s">
        <v>3759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hidden="1" x14ac:dyDescent="0.25">
      <c r="A2491" t="s">
        <v>3760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hidden="1" x14ac:dyDescent="0.25">
      <c r="A2492" t="s">
        <v>3761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hidden="1" x14ac:dyDescent="0.25">
      <c r="A2493" t="s">
        <v>3762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hidden="1" x14ac:dyDescent="0.25">
      <c r="A2494" t="s">
        <v>3763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hidden="1" x14ac:dyDescent="0.25">
      <c r="A2495" t="s">
        <v>3764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hidden="1" x14ac:dyDescent="0.25">
      <c r="A2496" t="s">
        <v>3765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hidden="1" x14ac:dyDescent="0.25">
      <c r="A2497" t="s">
        <v>3766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hidden="1" x14ac:dyDescent="0.25">
      <c r="A2498" t="s">
        <v>3767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hidden="1" x14ac:dyDescent="0.25">
      <c r="A2499" t="s">
        <v>3768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hidden="1" x14ac:dyDescent="0.25">
      <c r="A2500" t="s">
        <v>3769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hidden="1" x14ac:dyDescent="0.25">
      <c r="A2501" t="s">
        <v>3770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hidden="1" x14ac:dyDescent="0.25">
      <c r="A2502" t="s">
        <v>3771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hidden="1" x14ac:dyDescent="0.25">
      <c r="A2503" t="s">
        <v>3772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hidden="1" x14ac:dyDescent="0.25">
      <c r="A2504" t="s">
        <v>3773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hidden="1" x14ac:dyDescent="0.25">
      <c r="A2505" t="s">
        <v>3774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hidden="1" x14ac:dyDescent="0.25">
      <c r="A2506" t="s">
        <v>3775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hidden="1" x14ac:dyDescent="0.25">
      <c r="A2507" t="s">
        <v>3776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hidden="1" x14ac:dyDescent="0.25">
      <c r="A2508" t="s">
        <v>3777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hidden="1" x14ac:dyDescent="0.25">
      <c r="A2509" t="s">
        <v>3778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hidden="1" x14ac:dyDescent="0.25">
      <c r="A2510" t="s">
        <v>3779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hidden="1" x14ac:dyDescent="0.25">
      <c r="A2511" t="s">
        <v>3780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hidden="1" x14ac:dyDescent="0.25">
      <c r="A2512" t="s">
        <v>3781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hidden="1" x14ac:dyDescent="0.25">
      <c r="A2513" t="s">
        <v>3782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hidden="1" x14ac:dyDescent="0.25">
      <c r="A2514" t="s">
        <v>3783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hidden="1" x14ac:dyDescent="0.25">
      <c r="A2515" t="s">
        <v>3784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hidden="1" x14ac:dyDescent="0.25">
      <c r="A2516" t="s">
        <v>3785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hidden="1" x14ac:dyDescent="0.25">
      <c r="A2517" t="s">
        <v>3786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hidden="1" x14ac:dyDescent="0.25">
      <c r="A2518" t="s">
        <v>3787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hidden="1" x14ac:dyDescent="0.25">
      <c r="A2519" t="s">
        <v>2472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hidden="1" x14ac:dyDescent="0.25">
      <c r="A2520" t="s">
        <v>2473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hidden="1" x14ac:dyDescent="0.25">
      <c r="A2521" t="s">
        <v>2474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hidden="1" x14ac:dyDescent="0.25">
      <c r="A2522" t="s">
        <v>2475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hidden="1" x14ac:dyDescent="0.25">
      <c r="A2523" t="s">
        <v>2476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hidden="1" x14ac:dyDescent="0.25">
      <c r="A2524" t="s">
        <v>2477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hidden="1" x14ac:dyDescent="0.25">
      <c r="A2525" t="s">
        <v>2478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hidden="1" x14ac:dyDescent="0.25">
      <c r="A2526" t="s">
        <v>2479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hidden="1" x14ac:dyDescent="0.25">
      <c r="A2527" t="s">
        <v>2480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hidden="1" x14ac:dyDescent="0.25">
      <c r="A2528" t="s">
        <v>2481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hidden="1" x14ac:dyDescent="0.25">
      <c r="A2529" t="s">
        <v>2482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hidden="1" x14ac:dyDescent="0.25">
      <c r="A2530" t="s">
        <v>2483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hidden="1" x14ac:dyDescent="0.25">
      <c r="A2531" t="s">
        <v>2484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hidden="1" x14ac:dyDescent="0.25">
      <c r="A2532" t="s">
        <v>2485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hidden="1" x14ac:dyDescent="0.25">
      <c r="A2533" t="s">
        <v>2486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hidden="1" x14ac:dyDescent="0.25">
      <c r="A2534" t="s">
        <v>2487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hidden="1" x14ac:dyDescent="0.25">
      <c r="A2535" t="s">
        <v>2488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hidden="1" x14ac:dyDescent="0.25">
      <c r="A2536" t="s">
        <v>2489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hidden="1" x14ac:dyDescent="0.25">
      <c r="A2537" t="s">
        <v>2490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hidden="1" x14ac:dyDescent="0.25">
      <c r="A2538" t="s">
        <v>2491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hidden="1" x14ac:dyDescent="0.25">
      <c r="A2539" t="s">
        <v>2492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hidden="1" x14ac:dyDescent="0.25">
      <c r="A2540" t="s">
        <v>2493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hidden="1" x14ac:dyDescent="0.25">
      <c r="A2541" t="s">
        <v>2494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hidden="1" x14ac:dyDescent="0.25">
      <c r="A2542" t="s">
        <v>2495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hidden="1" x14ac:dyDescent="0.25">
      <c r="A2543" t="s">
        <v>2495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hidden="1" x14ac:dyDescent="0.25">
      <c r="A2544" t="s">
        <v>2496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hidden="1" x14ac:dyDescent="0.25">
      <c r="A2545" t="s">
        <v>2497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hidden="1" x14ac:dyDescent="0.25">
      <c r="A2546" t="s">
        <v>2498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hidden="1" x14ac:dyDescent="0.25">
      <c r="A2547" t="s">
        <v>2498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hidden="1" x14ac:dyDescent="0.25">
      <c r="A2548" t="s">
        <v>2499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hidden="1" x14ac:dyDescent="0.25">
      <c r="A2549" t="s">
        <v>2500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hidden="1" x14ac:dyDescent="0.25">
      <c r="A2550" t="s">
        <v>2501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hidden="1" x14ac:dyDescent="0.25">
      <c r="A2551" t="s">
        <v>2502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hidden="1" x14ac:dyDescent="0.25">
      <c r="A2552" t="s">
        <v>2503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hidden="1" x14ac:dyDescent="0.25">
      <c r="A2553" t="s">
        <v>2504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hidden="1" x14ac:dyDescent="0.25">
      <c r="A2554" t="s">
        <v>2505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hidden="1" x14ac:dyDescent="0.25">
      <c r="A2555" t="s">
        <v>2506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hidden="1" x14ac:dyDescent="0.25">
      <c r="A2556" t="s">
        <v>2507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hidden="1" x14ac:dyDescent="0.25">
      <c r="A2557" t="s">
        <v>2508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hidden="1" x14ac:dyDescent="0.25">
      <c r="A2558" t="s">
        <v>2509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hidden="1" x14ac:dyDescent="0.25">
      <c r="A2559" t="s">
        <v>2510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hidden="1" x14ac:dyDescent="0.25">
      <c r="A2560" t="s">
        <v>2511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hidden="1" x14ac:dyDescent="0.25">
      <c r="A2561" t="s">
        <v>2512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hidden="1" x14ac:dyDescent="0.25">
      <c r="A2562" t="s">
        <v>2513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hidden="1" x14ac:dyDescent="0.25">
      <c r="A2563" t="s">
        <v>2514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hidden="1" x14ac:dyDescent="0.25">
      <c r="A2564" t="s">
        <v>2515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hidden="1" x14ac:dyDescent="0.25">
      <c r="A2565" t="s">
        <v>2516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hidden="1" x14ac:dyDescent="0.25">
      <c r="A2566" t="s">
        <v>2517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hidden="1" x14ac:dyDescent="0.25">
      <c r="A2567" t="s">
        <v>2526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hidden="1" x14ac:dyDescent="0.25">
      <c r="A2568" t="s">
        <v>2527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hidden="1" x14ac:dyDescent="0.25">
      <c r="A2569" t="s">
        <v>2528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hidden="1" x14ac:dyDescent="0.25">
      <c r="A2570" t="s">
        <v>2529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hidden="1" x14ac:dyDescent="0.25">
      <c r="A2571" t="s">
        <v>2530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hidden="1" x14ac:dyDescent="0.25">
      <c r="A2572" t="s">
        <v>2531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hidden="1" x14ac:dyDescent="0.25">
      <c r="A2573" t="s">
        <v>2532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hidden="1" x14ac:dyDescent="0.25">
      <c r="A2574" t="s">
        <v>2533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hidden="1" x14ac:dyDescent="0.25">
      <c r="A2575" t="s">
        <v>2535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hidden="1" x14ac:dyDescent="0.25">
      <c r="A2576" t="s">
        <v>2536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12" hidden="1" x14ac:dyDescent="0.25">
      <c r="A2577" t="s">
        <v>2537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12" hidden="1" x14ac:dyDescent="0.25">
      <c r="A2578" t="s">
        <v>2538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12" hidden="1" x14ac:dyDescent="0.25">
      <c r="A2579" t="s">
        <v>2539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12" hidden="1" x14ac:dyDescent="0.25">
      <c r="A2580" t="s">
        <v>2540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12" hidden="1" x14ac:dyDescent="0.25">
      <c r="A2581" t="s">
        <v>2541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12" hidden="1" x14ac:dyDescent="0.25">
      <c r="A2582" t="s">
        <v>2544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  <row r="2583" spans="1:12" hidden="1" x14ac:dyDescent="0.25"/>
    <row r="2584" spans="1:12" hidden="1" x14ac:dyDescent="0.25"/>
    <row r="2585" spans="1:12" ht="15.75" thickBot="1" x14ac:dyDescent="0.3"/>
    <row r="2586" spans="1:12" ht="30" x14ac:dyDescent="0.25">
      <c r="A2586" s="37" t="s">
        <v>3830</v>
      </c>
      <c r="B2586" s="38" t="s">
        <v>311</v>
      </c>
      <c r="C2586" s="38" t="s">
        <v>1545</v>
      </c>
      <c r="D2586" s="38" t="s">
        <v>1527</v>
      </c>
      <c r="E2586" s="38" t="s">
        <v>1546</v>
      </c>
      <c r="F2586" s="38" t="s">
        <v>1547</v>
      </c>
      <c r="G2586" s="40" t="s">
        <v>1861</v>
      </c>
      <c r="H2586" s="38" t="s">
        <v>1862</v>
      </c>
      <c r="I2586" s="38"/>
      <c r="J2586" s="65" t="s">
        <v>1989</v>
      </c>
      <c r="K2586" s="66" t="s">
        <v>1990</v>
      </c>
      <c r="L2586" s="67" t="s">
        <v>1991</v>
      </c>
    </row>
    <row r="2587" spans="1:12" x14ac:dyDescent="0.25">
      <c r="A2587" s="30" t="s">
        <v>3843</v>
      </c>
      <c r="B2587" s="8">
        <v>42111</v>
      </c>
      <c r="C2587" s="30">
        <v>245</v>
      </c>
      <c r="D2587" s="30">
        <v>52</v>
      </c>
      <c r="E2587" s="30">
        <v>45.564895695799997</v>
      </c>
      <c r="F2587" s="30">
        <v>-1.21745219379</v>
      </c>
      <c r="G2587" s="30">
        <v>6</v>
      </c>
      <c r="H2587" s="30"/>
      <c r="I2587" s="30"/>
      <c r="J2587" s="68">
        <f>AVERAGE(D2587:D2724)</f>
        <v>30.743137254901963</v>
      </c>
      <c r="K2587" s="68">
        <f>_xlfn.STDEV.P(D2587:D2714)</f>
        <v>12.105808116669934</v>
      </c>
      <c r="L2587" s="68">
        <f>MEDIAN(D2587:D2714)</f>
        <v>27.5</v>
      </c>
    </row>
    <row r="2588" spans="1:12" x14ac:dyDescent="0.25">
      <c r="A2588" t="s">
        <v>3844</v>
      </c>
      <c r="B2588" s="8">
        <v>42111</v>
      </c>
      <c r="C2588">
        <v>55</v>
      </c>
      <c r="D2588">
        <v>52.25</v>
      </c>
      <c r="E2588">
        <v>33.498371281099999</v>
      </c>
      <c r="F2588">
        <v>-2.1300287359999999</v>
      </c>
      <c r="G2588">
        <v>1.75</v>
      </c>
    </row>
    <row r="2589" spans="1:12" x14ac:dyDescent="0.25">
      <c r="A2589" t="s">
        <v>3845</v>
      </c>
      <c r="B2589" s="8">
        <v>42111</v>
      </c>
      <c r="C2589">
        <v>78</v>
      </c>
      <c r="D2589">
        <v>24.75</v>
      </c>
      <c r="E2589">
        <v>38.001475325800001</v>
      </c>
      <c r="F2589">
        <v>-3.8704133647000001</v>
      </c>
      <c r="G2589">
        <v>7</v>
      </c>
    </row>
    <row r="2590" spans="1:12" x14ac:dyDescent="0.25">
      <c r="A2590" t="s">
        <v>3846</v>
      </c>
      <c r="B2590" s="8">
        <v>42112</v>
      </c>
      <c r="C2590">
        <v>150</v>
      </c>
      <c r="D2590">
        <v>20.95</v>
      </c>
      <c r="E2590">
        <v>41.169120694599997</v>
      </c>
      <c r="F2590">
        <v>-1.13520915441</v>
      </c>
      <c r="G2590">
        <v>-0.75</v>
      </c>
    </row>
    <row r="2591" spans="1:12" x14ac:dyDescent="0.25">
      <c r="A2591" t="s">
        <v>3847</v>
      </c>
      <c r="B2591" s="8">
        <v>42113</v>
      </c>
      <c r="C2591">
        <v>284</v>
      </c>
      <c r="D2591">
        <v>26</v>
      </c>
      <c r="E2591">
        <v>45.823468988000002</v>
      </c>
      <c r="F2591">
        <v>-1.08005845671</v>
      </c>
      <c r="G2591">
        <v>-0.25</v>
      </c>
    </row>
    <row r="2592" spans="1:12" x14ac:dyDescent="0.25">
      <c r="A2592" t="s">
        <v>3848</v>
      </c>
      <c r="B2592" s="8">
        <v>42113</v>
      </c>
      <c r="C2592">
        <v>211</v>
      </c>
      <c r="D2592">
        <v>29.5</v>
      </c>
      <c r="E2592">
        <v>45.022899528700002</v>
      </c>
      <c r="F2592">
        <v>-1.3928269010000001</v>
      </c>
      <c r="G2592">
        <v>0.5</v>
      </c>
    </row>
    <row r="2593" spans="1:7" x14ac:dyDescent="0.25">
      <c r="A2593" t="s">
        <v>3849</v>
      </c>
      <c r="B2593" s="8">
        <v>42113</v>
      </c>
      <c r="C2593">
        <v>74</v>
      </c>
      <c r="D2593">
        <v>47.25</v>
      </c>
      <c r="E2593">
        <v>36.549458945300003</v>
      </c>
      <c r="F2593">
        <v>-2.7072246264299999</v>
      </c>
      <c r="G2593">
        <v>-0.25</v>
      </c>
    </row>
    <row r="2594" spans="1:7" x14ac:dyDescent="0.25">
      <c r="A2594" t="s">
        <v>3850</v>
      </c>
      <c r="B2594" s="8">
        <v>42114</v>
      </c>
      <c r="C2594">
        <v>152</v>
      </c>
      <c r="D2594">
        <v>11</v>
      </c>
      <c r="E2594">
        <v>38.4315169467</v>
      </c>
      <c r="F2594">
        <v>-3.5754370118300002E-2</v>
      </c>
      <c r="G2594">
        <v>3</v>
      </c>
    </row>
    <row r="2595" spans="1:7" x14ac:dyDescent="0.25">
      <c r="A2595" t="s">
        <v>3851</v>
      </c>
      <c r="B2595" s="8">
        <v>42114</v>
      </c>
      <c r="C2595">
        <v>57</v>
      </c>
      <c r="D2595">
        <v>13.5</v>
      </c>
      <c r="E2595">
        <v>34.622513678799997</v>
      </c>
      <c r="F2595">
        <v>-0.42592024220000002</v>
      </c>
      <c r="G2595">
        <v>-2</v>
      </c>
    </row>
    <row r="2596" spans="1:7" x14ac:dyDescent="0.25">
      <c r="A2596" t="s">
        <v>3852</v>
      </c>
      <c r="B2596" s="8">
        <v>42115</v>
      </c>
      <c r="C2596">
        <v>278</v>
      </c>
      <c r="D2596">
        <v>27.5</v>
      </c>
      <c r="E2596">
        <v>39.757102664400001</v>
      </c>
      <c r="F2596">
        <v>-6.1673183477000002</v>
      </c>
      <c r="G2596">
        <v>11</v>
      </c>
    </row>
    <row r="2597" spans="1:7" x14ac:dyDescent="0.25">
      <c r="A2597" t="s">
        <v>3853</v>
      </c>
      <c r="B2597" s="8">
        <v>42115</v>
      </c>
      <c r="C2597">
        <v>74</v>
      </c>
      <c r="D2597">
        <v>45.75</v>
      </c>
      <c r="E2597">
        <v>31.972986312900002</v>
      </c>
      <c r="F2597">
        <v>-3.5116852820100002</v>
      </c>
      <c r="G2597">
        <v>1.75</v>
      </c>
    </row>
    <row r="2598" spans="1:7" x14ac:dyDescent="0.25">
      <c r="A2598" t="s">
        <v>3868</v>
      </c>
      <c r="B2598" s="8">
        <v>42116</v>
      </c>
      <c r="C2598">
        <v>281</v>
      </c>
      <c r="D2598">
        <v>19.75</v>
      </c>
      <c r="E2598">
        <v>41.076805497700001</v>
      </c>
      <c r="F2598">
        <v>-2.9107328675500002</v>
      </c>
      <c r="G2598">
        <v>7</v>
      </c>
    </row>
    <row r="2599" spans="1:7" x14ac:dyDescent="0.25">
      <c r="A2599" t="s">
        <v>3868</v>
      </c>
      <c r="B2599" s="8">
        <v>42116</v>
      </c>
      <c r="C2599">
        <v>261</v>
      </c>
      <c r="D2599">
        <v>19.75</v>
      </c>
      <c r="E2599">
        <v>41.076805497700001</v>
      </c>
      <c r="F2599">
        <v>-2.9107328675500002</v>
      </c>
      <c r="G2599">
        <v>7</v>
      </c>
    </row>
    <row r="2600" spans="1:7" x14ac:dyDescent="0.25">
      <c r="A2600" t="s">
        <v>3869</v>
      </c>
      <c r="B2600" s="8">
        <v>42116</v>
      </c>
      <c r="C2600">
        <v>74</v>
      </c>
      <c r="D2600">
        <v>44.25</v>
      </c>
      <c r="E2600">
        <v>33.662241225599999</v>
      </c>
      <c r="F2600">
        <v>-2.2139971067899999</v>
      </c>
      <c r="G2600">
        <v>-0.5</v>
      </c>
    </row>
    <row r="2601" spans="1:7" x14ac:dyDescent="0.25">
      <c r="A2601" t="s">
        <v>3870</v>
      </c>
      <c r="B2601" s="8">
        <v>42116</v>
      </c>
      <c r="C2601">
        <v>55</v>
      </c>
      <c r="D2601">
        <v>33.25</v>
      </c>
      <c r="E2601">
        <v>35.656494701600003</v>
      </c>
      <c r="F2601">
        <v>-5.7234547469599999</v>
      </c>
      <c r="G2601">
        <v>19</v>
      </c>
    </row>
    <row r="2602" spans="1:7" x14ac:dyDescent="0.25">
      <c r="A2602" t="s">
        <v>3871</v>
      </c>
      <c r="B2602" s="8">
        <v>42117</v>
      </c>
      <c r="C2602">
        <v>53</v>
      </c>
      <c r="D2602">
        <v>28</v>
      </c>
      <c r="E2602">
        <v>33.155797767999999</v>
      </c>
      <c r="F2602">
        <v>-6.4665701122300003</v>
      </c>
      <c r="G2602">
        <v>10</v>
      </c>
    </row>
    <row r="2603" spans="1:7" x14ac:dyDescent="0.25">
      <c r="A2603" t="s">
        <v>3872</v>
      </c>
      <c r="B2603" s="8">
        <v>42117</v>
      </c>
      <c r="C2603">
        <v>79</v>
      </c>
      <c r="D2603">
        <v>19.25</v>
      </c>
      <c r="E2603">
        <v>36.423197914100001</v>
      </c>
      <c r="F2603">
        <v>-1.9328976758300001</v>
      </c>
      <c r="G2603">
        <v>7</v>
      </c>
    </row>
    <row r="2604" spans="1:7" x14ac:dyDescent="0.25">
      <c r="A2604" t="s">
        <v>3873</v>
      </c>
      <c r="B2604" s="8">
        <v>42118</v>
      </c>
      <c r="C2604">
        <v>283</v>
      </c>
      <c r="D2604">
        <v>41.7</v>
      </c>
      <c r="E2604">
        <v>46.896088083099997</v>
      </c>
      <c r="F2604">
        <v>-7.9366903126099997</v>
      </c>
      <c r="G2604">
        <v>17.2</v>
      </c>
    </row>
    <row r="2605" spans="1:7" x14ac:dyDescent="0.25">
      <c r="A2605" t="s">
        <v>3874</v>
      </c>
      <c r="B2605" s="8">
        <v>42118</v>
      </c>
      <c r="C2605">
        <v>94</v>
      </c>
      <c r="D2605">
        <v>21</v>
      </c>
      <c r="E2605">
        <v>36.469462292300001</v>
      </c>
      <c r="F2605">
        <v>-2.3350252738499999</v>
      </c>
      <c r="G2605">
        <v>14</v>
      </c>
    </row>
    <row r="2606" spans="1:7" x14ac:dyDescent="0.25">
      <c r="A2606" t="s">
        <v>3875</v>
      </c>
      <c r="B2606" s="8">
        <v>42118</v>
      </c>
      <c r="C2606">
        <v>56</v>
      </c>
      <c r="D2606">
        <v>32</v>
      </c>
      <c r="E2606">
        <v>32.679412475699998</v>
      </c>
      <c r="F2606">
        <v>-0.57744408970700001</v>
      </c>
      <c r="G2606">
        <v>-0.5</v>
      </c>
    </row>
    <row r="2607" spans="1:7" x14ac:dyDescent="0.25">
      <c r="A2607" t="s">
        <v>3876</v>
      </c>
      <c r="B2607" s="8">
        <v>42119</v>
      </c>
      <c r="C2607">
        <v>147</v>
      </c>
      <c r="D2607">
        <v>44.5</v>
      </c>
      <c r="E2607">
        <v>35.348509352999997</v>
      </c>
      <c r="F2607">
        <v>-0.94956265451099997</v>
      </c>
      <c r="G2607">
        <v>-0.5</v>
      </c>
    </row>
    <row r="2608" spans="1:7" x14ac:dyDescent="0.25">
      <c r="A2608" t="s">
        <v>3877</v>
      </c>
      <c r="B2608" s="8">
        <v>42119</v>
      </c>
      <c r="C2608">
        <v>76</v>
      </c>
      <c r="D2608">
        <v>32.950000000000003</v>
      </c>
      <c r="E2608">
        <v>35.499056960099999</v>
      </c>
      <c r="F2608">
        <v>-1.0187633387399999</v>
      </c>
      <c r="G2608">
        <v>17.2</v>
      </c>
    </row>
    <row r="2609" spans="1:7" x14ac:dyDescent="0.25">
      <c r="A2609" t="s">
        <v>3878</v>
      </c>
      <c r="B2609" s="8">
        <v>42120</v>
      </c>
      <c r="C2609">
        <v>266</v>
      </c>
      <c r="D2609">
        <v>14.5</v>
      </c>
      <c r="E2609">
        <v>45.073187825799998</v>
      </c>
      <c r="F2609">
        <v>0.87917031396900003</v>
      </c>
      <c r="G2609">
        <v>14</v>
      </c>
    </row>
    <row r="2610" spans="1:7" x14ac:dyDescent="0.25">
      <c r="A2610" t="s">
        <v>3879</v>
      </c>
      <c r="B2610" s="8">
        <v>42120</v>
      </c>
      <c r="C2610">
        <v>96</v>
      </c>
      <c r="D2610">
        <v>27.85</v>
      </c>
      <c r="E2610">
        <v>36.641068304999997</v>
      </c>
      <c r="F2610">
        <v>-3.1630107382800001</v>
      </c>
      <c r="G2610">
        <v>17.100000000000001</v>
      </c>
    </row>
    <row r="2611" spans="1:7" x14ac:dyDescent="0.25">
      <c r="A2611" t="s">
        <v>3854</v>
      </c>
      <c r="B2611" s="8">
        <v>42144</v>
      </c>
      <c r="C2611">
        <v>276</v>
      </c>
      <c r="D2611">
        <v>23.75</v>
      </c>
      <c r="E2611">
        <v>40.8804134648</v>
      </c>
      <c r="F2611">
        <v>-0.64661985848000003</v>
      </c>
      <c r="G2611">
        <v>12</v>
      </c>
    </row>
    <row r="2612" spans="1:7" x14ac:dyDescent="0.25">
      <c r="A2612" t="s">
        <v>3855</v>
      </c>
      <c r="B2612" s="8">
        <v>42144</v>
      </c>
      <c r="C2612">
        <v>256</v>
      </c>
      <c r="D2612">
        <v>22.25</v>
      </c>
      <c r="E2612">
        <v>40.312056396999999</v>
      </c>
      <c r="F2612">
        <v>-1.1165651105000001</v>
      </c>
      <c r="G2612">
        <v>12</v>
      </c>
    </row>
    <row r="2613" spans="1:7" x14ac:dyDescent="0.25">
      <c r="A2613" t="s">
        <v>3856</v>
      </c>
      <c r="B2613" s="8">
        <v>42145</v>
      </c>
      <c r="C2613">
        <v>223</v>
      </c>
      <c r="D2613">
        <v>53.25</v>
      </c>
      <c r="E2613">
        <v>38.3151309044</v>
      </c>
      <c r="F2613">
        <v>-9.3282595443399998</v>
      </c>
      <c r="G2613">
        <v>18</v>
      </c>
    </row>
    <row r="2614" spans="1:7" x14ac:dyDescent="0.25">
      <c r="A2614" t="s">
        <v>3857</v>
      </c>
      <c r="B2614" s="8">
        <v>42145</v>
      </c>
      <c r="C2614">
        <v>109</v>
      </c>
      <c r="D2614">
        <v>60.85</v>
      </c>
      <c r="E2614">
        <v>36.887336293700002</v>
      </c>
      <c r="F2614">
        <v>-9.7110886307099999</v>
      </c>
      <c r="G2614">
        <v>5.75</v>
      </c>
    </row>
    <row r="2615" spans="1:7" x14ac:dyDescent="0.25">
      <c r="A2615" t="s">
        <v>3858</v>
      </c>
      <c r="B2615" s="8">
        <v>42145</v>
      </c>
      <c r="C2615">
        <v>34</v>
      </c>
      <c r="D2615">
        <v>46.6</v>
      </c>
      <c r="E2615">
        <v>34.069513215699999</v>
      </c>
      <c r="F2615">
        <v>-5.5440939481999996</v>
      </c>
      <c r="G2615">
        <v>5.75</v>
      </c>
    </row>
    <row r="2616" spans="1:7" x14ac:dyDescent="0.25">
      <c r="A2616" t="s">
        <v>3859</v>
      </c>
      <c r="B2616" s="8">
        <v>42145</v>
      </c>
      <c r="C2616">
        <v>114</v>
      </c>
      <c r="D2616">
        <v>31.25</v>
      </c>
      <c r="E2616">
        <v>36.9233730881</v>
      </c>
      <c r="F2616">
        <v>-1.41902283397</v>
      </c>
      <c r="G2616">
        <v>18</v>
      </c>
    </row>
    <row r="2617" spans="1:7" x14ac:dyDescent="0.25">
      <c r="A2617" t="s">
        <v>3860</v>
      </c>
      <c r="B2617" s="8">
        <v>42146</v>
      </c>
      <c r="C2617">
        <v>278</v>
      </c>
      <c r="D2617">
        <v>27</v>
      </c>
      <c r="E2617">
        <v>39.187069383100003</v>
      </c>
      <c r="F2617">
        <v>-2.4118499552400001</v>
      </c>
      <c r="G2617">
        <v>10</v>
      </c>
    </row>
    <row r="2618" spans="1:7" x14ac:dyDescent="0.25">
      <c r="A2618" t="s">
        <v>3861</v>
      </c>
      <c r="B2618" s="8">
        <v>42146</v>
      </c>
      <c r="C2618">
        <v>58</v>
      </c>
      <c r="D2618">
        <v>20.25</v>
      </c>
      <c r="E2618">
        <v>32.66353737</v>
      </c>
      <c r="F2618">
        <v>-0.27556731847799998</v>
      </c>
      <c r="G2618">
        <v>5</v>
      </c>
    </row>
    <row r="2619" spans="1:7" x14ac:dyDescent="0.25">
      <c r="A2619" t="s">
        <v>3862</v>
      </c>
      <c r="B2619" s="8">
        <v>42147</v>
      </c>
      <c r="C2619">
        <v>117</v>
      </c>
      <c r="D2619">
        <v>33.450000000000003</v>
      </c>
      <c r="E2619">
        <v>74.339500284300001</v>
      </c>
      <c r="F2619">
        <v>-1.3822172615199999</v>
      </c>
      <c r="G2619">
        <v>-0.75</v>
      </c>
    </row>
    <row r="2620" spans="1:7" x14ac:dyDescent="0.25">
      <c r="A2620" t="s">
        <v>3863</v>
      </c>
      <c r="B2620" s="8">
        <v>42147</v>
      </c>
      <c r="C2620">
        <v>61</v>
      </c>
      <c r="D2620">
        <v>26.7</v>
      </c>
      <c r="E2620">
        <v>72.896007331899995</v>
      </c>
      <c r="F2620">
        <v>-1.4217450815799999</v>
      </c>
      <c r="G2620">
        <v>-0.75</v>
      </c>
    </row>
    <row r="2621" spans="1:7" x14ac:dyDescent="0.25">
      <c r="A2621" t="s">
        <v>3864</v>
      </c>
      <c r="B2621" s="8">
        <v>42147</v>
      </c>
      <c r="C2621">
        <v>34</v>
      </c>
      <c r="D2621">
        <v>30.5</v>
      </c>
      <c r="E2621">
        <v>35.110944377199999</v>
      </c>
      <c r="F2621">
        <v>-0.66356653955599998</v>
      </c>
      <c r="G2621">
        <v>10</v>
      </c>
    </row>
    <row r="2622" spans="1:7" x14ac:dyDescent="0.25">
      <c r="A2622" t="s">
        <v>3865</v>
      </c>
      <c r="B2622" s="8">
        <v>42148</v>
      </c>
      <c r="C2622">
        <v>281</v>
      </c>
      <c r="D2622">
        <v>11.25</v>
      </c>
      <c r="E2622">
        <v>41.197515732200003</v>
      </c>
      <c r="F2622">
        <v>-7.1051702314099998</v>
      </c>
      <c r="G2622">
        <v>7</v>
      </c>
    </row>
    <row r="2623" spans="1:7" x14ac:dyDescent="0.25">
      <c r="A2623" t="s">
        <v>3866</v>
      </c>
      <c r="B2623" s="8">
        <v>42148</v>
      </c>
      <c r="C2623">
        <v>209</v>
      </c>
      <c r="D2623">
        <v>16.75</v>
      </c>
      <c r="E2623">
        <v>40.366524370100002</v>
      </c>
      <c r="F2623">
        <v>-6.0326308732799996</v>
      </c>
      <c r="G2623">
        <v>7</v>
      </c>
    </row>
    <row r="2624" spans="1:7" x14ac:dyDescent="0.25">
      <c r="A2624" t="s">
        <v>3867</v>
      </c>
      <c r="B2624" s="8">
        <v>42148</v>
      </c>
      <c r="C2624">
        <v>72</v>
      </c>
      <c r="D2624">
        <v>25.75</v>
      </c>
      <c r="E2624">
        <v>34.611833798900001</v>
      </c>
      <c r="F2624">
        <v>-2.4270241387199998</v>
      </c>
      <c r="G2624">
        <v>15</v>
      </c>
    </row>
    <row r="2625" spans="1:7" x14ac:dyDescent="0.25">
      <c r="A2625" t="s">
        <v>3831</v>
      </c>
      <c r="B2625" s="8">
        <v>42161</v>
      </c>
      <c r="C2625">
        <v>133</v>
      </c>
      <c r="D2625">
        <v>20.7</v>
      </c>
      <c r="E2625">
        <v>39.208345804899999</v>
      </c>
      <c r="F2625">
        <v>-9.7310340665999995</v>
      </c>
      <c r="G2625">
        <v>10.199999999999999</v>
      </c>
    </row>
    <row r="2626" spans="1:7" x14ac:dyDescent="0.25">
      <c r="A2626" t="s">
        <v>3832</v>
      </c>
      <c r="B2626" s="8">
        <v>42161</v>
      </c>
      <c r="C2626">
        <v>109</v>
      </c>
      <c r="D2626">
        <v>34.200000000000003</v>
      </c>
      <c r="E2626">
        <v>38.338398405</v>
      </c>
      <c r="F2626">
        <v>-1.46044146044</v>
      </c>
      <c r="G2626">
        <v>10.199999999999999</v>
      </c>
    </row>
    <row r="2627" spans="1:7" x14ac:dyDescent="0.25">
      <c r="A2627" t="s">
        <v>3833</v>
      </c>
      <c r="B2627" s="8">
        <v>42161</v>
      </c>
      <c r="C2627">
        <v>153</v>
      </c>
      <c r="D2627">
        <v>37.5</v>
      </c>
      <c r="E2627">
        <v>38.861471142399999</v>
      </c>
      <c r="F2627">
        <v>-6.4702633946599999</v>
      </c>
      <c r="G2627">
        <v>20</v>
      </c>
    </row>
    <row r="2628" spans="1:7" x14ac:dyDescent="0.25">
      <c r="A2628" t="s">
        <v>3834</v>
      </c>
      <c r="B2628" s="8">
        <v>42162</v>
      </c>
      <c r="C2628">
        <v>90</v>
      </c>
      <c r="D2628">
        <v>26.25</v>
      </c>
      <c r="E2628">
        <v>36.980809956400002</v>
      </c>
      <c r="F2628">
        <v>-2.4252529110999999</v>
      </c>
      <c r="G2628">
        <v>19</v>
      </c>
    </row>
    <row r="2629" spans="1:7" x14ac:dyDescent="0.25">
      <c r="A2629" t="s">
        <v>3835</v>
      </c>
      <c r="B2629" s="8">
        <v>42163</v>
      </c>
      <c r="C2629">
        <v>146</v>
      </c>
      <c r="D2629">
        <v>54.75</v>
      </c>
      <c r="E2629">
        <v>40.109047468500002</v>
      </c>
      <c r="F2629">
        <v>-2.5937026083800001</v>
      </c>
      <c r="G2629">
        <v>-1</v>
      </c>
    </row>
    <row r="2630" spans="1:7" x14ac:dyDescent="0.25">
      <c r="A2630" t="s">
        <v>3836</v>
      </c>
      <c r="B2630" s="8">
        <v>42164</v>
      </c>
      <c r="C2630">
        <v>280</v>
      </c>
      <c r="D2630">
        <v>17.45</v>
      </c>
      <c r="E2630">
        <v>45.207710336200002</v>
      </c>
      <c r="F2630">
        <v>-1.4005115238100001</v>
      </c>
      <c r="G2630">
        <v>2.2000000000000002</v>
      </c>
    </row>
    <row r="2631" spans="1:7" x14ac:dyDescent="0.25">
      <c r="A2631" t="s">
        <v>3837</v>
      </c>
      <c r="B2631" s="8">
        <v>42165</v>
      </c>
      <c r="C2631">
        <v>279</v>
      </c>
      <c r="D2631">
        <v>43.25</v>
      </c>
      <c r="E2631">
        <v>44.754339635400001</v>
      </c>
      <c r="F2631">
        <v>-0.55335097432400004</v>
      </c>
      <c r="G2631">
        <v>15</v>
      </c>
    </row>
    <row r="2632" spans="1:7" x14ac:dyDescent="0.25">
      <c r="A2632" t="s">
        <v>3837</v>
      </c>
      <c r="B2632" s="8">
        <v>42165</v>
      </c>
      <c r="C2632">
        <v>204</v>
      </c>
      <c r="D2632">
        <v>43.25</v>
      </c>
      <c r="E2632">
        <v>44.754339635400001</v>
      </c>
      <c r="F2632">
        <v>-0.55335097432400004</v>
      </c>
      <c r="G2632">
        <v>15</v>
      </c>
    </row>
    <row r="2633" spans="1:7" x14ac:dyDescent="0.25">
      <c r="A2633" t="s">
        <v>3838</v>
      </c>
      <c r="B2633" s="8">
        <v>42165</v>
      </c>
      <c r="C2633">
        <v>57</v>
      </c>
      <c r="D2633">
        <v>26.5</v>
      </c>
      <c r="E2633">
        <v>29.295408734399999</v>
      </c>
      <c r="F2633">
        <v>-0.659952332453</v>
      </c>
      <c r="G2633">
        <v>8</v>
      </c>
    </row>
    <row r="2634" spans="1:7" x14ac:dyDescent="0.25">
      <c r="A2634" t="s">
        <v>3839</v>
      </c>
      <c r="B2634" s="8">
        <v>42166</v>
      </c>
      <c r="C2634">
        <v>106</v>
      </c>
      <c r="D2634">
        <v>26.85</v>
      </c>
      <c r="E2634">
        <v>41.353136205699997</v>
      </c>
      <c r="F2634">
        <v>-7.2880815266200001</v>
      </c>
      <c r="G2634">
        <v>-0.5</v>
      </c>
    </row>
    <row r="2635" spans="1:7" x14ac:dyDescent="0.25">
      <c r="A2635" t="s">
        <v>3840</v>
      </c>
      <c r="B2635" s="8">
        <v>42166</v>
      </c>
      <c r="C2635">
        <v>33</v>
      </c>
      <c r="D2635">
        <v>27.2</v>
      </c>
      <c r="E2635">
        <v>30.885577029</v>
      </c>
      <c r="F2635">
        <v>-5.4081720743000004</v>
      </c>
      <c r="G2635">
        <v>-0.75</v>
      </c>
    </row>
    <row r="2636" spans="1:7" x14ac:dyDescent="0.25">
      <c r="A2636" t="s">
        <v>3841</v>
      </c>
      <c r="B2636" s="8">
        <v>42167</v>
      </c>
      <c r="C2636">
        <v>276</v>
      </c>
      <c r="D2636">
        <v>19.350000000000001</v>
      </c>
      <c r="E2636">
        <v>44.255246324600002</v>
      </c>
      <c r="F2636">
        <v>-1.52373162811</v>
      </c>
      <c r="G2636">
        <v>1.1000000000000001</v>
      </c>
    </row>
    <row r="2637" spans="1:7" x14ac:dyDescent="0.25">
      <c r="A2637" t="s">
        <v>3842</v>
      </c>
      <c r="B2637" s="8">
        <v>42167</v>
      </c>
      <c r="C2637">
        <v>260</v>
      </c>
      <c r="D2637">
        <v>31.85</v>
      </c>
      <c r="E2637">
        <v>43.552028070299997</v>
      </c>
      <c r="F2637">
        <v>-0.76617895306100003</v>
      </c>
      <c r="G2637">
        <v>1.1000000000000001</v>
      </c>
    </row>
  </sheetData>
  <autoFilter ref="A2586:H2633">
    <sortState ref="A2587:H2637">
      <sortCondition ref="B2586:B2633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28" sqref="B28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O3" sqref="O3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20"/>
  <sheetViews>
    <sheetView workbookViewId="0">
      <selection activeCell="B22" sqref="B22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workbookViewId="0">
      <selection activeCell="G25" sqref="G25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A2" t="s">
        <v>1533</v>
      </c>
      <c r="B2">
        <v>593</v>
      </c>
      <c r="C2" t="s">
        <v>727</v>
      </c>
      <c r="D2" s="9">
        <v>3.2843163265299999</v>
      </c>
      <c r="E2" s="9">
        <v>-0.202931098591</v>
      </c>
      <c r="F2">
        <v>3400</v>
      </c>
      <c r="J2" s="30" t="s">
        <v>1533</v>
      </c>
    </row>
    <row r="3" spans="1:16" x14ac:dyDescent="0.25">
      <c r="A3" t="s">
        <v>1534</v>
      </c>
      <c r="B3">
        <v>610</v>
      </c>
      <c r="C3" t="s">
        <v>725</v>
      </c>
      <c r="D3" s="9">
        <v>3.3427567216599998</v>
      </c>
      <c r="E3" s="9">
        <v>-0.31491652908099999</v>
      </c>
      <c r="F3">
        <v>4500</v>
      </c>
      <c r="J3" s="30" t="s">
        <v>1534</v>
      </c>
    </row>
    <row r="4" spans="1:16" x14ac:dyDescent="0.25">
      <c r="A4" t="s">
        <v>1535</v>
      </c>
      <c r="B4">
        <v>604</v>
      </c>
      <c r="C4" t="s">
        <v>724</v>
      </c>
      <c r="D4" s="9">
        <v>14.738330046</v>
      </c>
      <c r="E4" s="9">
        <v>0</v>
      </c>
      <c r="F4">
        <v>6000</v>
      </c>
      <c r="J4" s="30" t="s">
        <v>1535</v>
      </c>
    </row>
    <row r="5" spans="1:16" x14ac:dyDescent="0.25">
      <c r="A5" t="s">
        <v>1536</v>
      </c>
      <c r="B5">
        <v>610</v>
      </c>
      <c r="C5" t="s">
        <v>154</v>
      </c>
      <c r="D5" s="9">
        <v>1.9370503597099999</v>
      </c>
      <c r="E5" s="9">
        <v>-5.5910650995799997E-3</v>
      </c>
      <c r="F5">
        <v>3000</v>
      </c>
      <c r="J5" s="30" t="s">
        <v>1536</v>
      </c>
    </row>
    <row r="6" spans="1:16" x14ac:dyDescent="0.25">
      <c r="A6" t="s">
        <v>1537</v>
      </c>
      <c r="B6">
        <v>595</v>
      </c>
      <c r="C6" t="s">
        <v>726</v>
      </c>
      <c r="D6" s="9">
        <v>3.36885634844</v>
      </c>
      <c r="E6" s="9">
        <v>-0.442218928728</v>
      </c>
      <c r="F6">
        <v>3300</v>
      </c>
      <c r="J6" s="30" t="s">
        <v>1537</v>
      </c>
    </row>
    <row r="7" spans="1:16" x14ac:dyDescent="0.25">
      <c r="A7" t="s">
        <v>1538</v>
      </c>
      <c r="B7">
        <v>614</v>
      </c>
      <c r="C7" t="s">
        <v>729</v>
      </c>
      <c r="D7" s="9">
        <v>3.1108918429200001</v>
      </c>
      <c r="E7" s="9">
        <v>-2.00906601354E-2</v>
      </c>
      <c r="F7">
        <v>3900</v>
      </c>
      <c r="J7" s="30" t="s">
        <v>1538</v>
      </c>
    </row>
    <row r="8" spans="1:16" x14ac:dyDescent="0.25">
      <c r="A8" t="s">
        <v>1539</v>
      </c>
      <c r="B8">
        <v>610</v>
      </c>
      <c r="C8" t="s">
        <v>729</v>
      </c>
      <c r="D8" s="9">
        <v>3.33228518091</v>
      </c>
      <c r="E8" s="9">
        <v>1.6186217046200001E-2</v>
      </c>
      <c r="F8">
        <v>3200</v>
      </c>
      <c r="J8" s="30" t="s">
        <v>1539</v>
      </c>
    </row>
    <row r="9" spans="1:16" x14ac:dyDescent="0.25">
      <c r="A9" t="s">
        <v>1540</v>
      </c>
      <c r="B9">
        <v>609</v>
      </c>
      <c r="C9" t="s">
        <v>728</v>
      </c>
      <c r="D9" s="9">
        <v>2.35717548566</v>
      </c>
      <c r="E9" s="9">
        <v>-0.21261555416799999</v>
      </c>
      <c r="F9">
        <v>2900</v>
      </c>
      <c r="J9" s="30" t="s">
        <v>1540</v>
      </c>
    </row>
    <row r="10" spans="1:16" x14ac:dyDescent="0.25">
      <c r="A10" t="s">
        <v>1541</v>
      </c>
      <c r="B10">
        <v>597</v>
      </c>
      <c r="C10" t="s">
        <v>729</v>
      </c>
      <c r="D10" s="9">
        <v>4.2336769688000002</v>
      </c>
      <c r="E10" s="9">
        <v>-1.1971855604899999</v>
      </c>
      <c r="F10">
        <v>4300</v>
      </c>
      <c r="J10" s="30" t="s">
        <v>1541</v>
      </c>
    </row>
    <row r="11" spans="1:16" x14ac:dyDescent="0.25">
      <c r="D11" s="9"/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F2" sqref="F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1548</v>
      </c>
      <c r="L1" s="30" t="s">
        <v>2534</v>
      </c>
      <c r="M1" s="30" t="s">
        <v>2559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4">
        <v>15212</v>
      </c>
      <c r="K2" s="54">
        <v>112.5</v>
      </c>
      <c r="L2" s="30" t="s">
        <v>1553</v>
      </c>
      <c r="M2" s="30" t="s">
        <v>2589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4">
        <v>90012</v>
      </c>
      <c r="K3" s="54">
        <v>22.5</v>
      </c>
      <c r="L3" s="30" t="s">
        <v>2523</v>
      </c>
      <c r="M3" s="30" t="s">
        <v>2578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4">
        <v>30315</v>
      </c>
      <c r="K4" s="54">
        <v>22.5</v>
      </c>
      <c r="L4" s="30" t="s">
        <v>1620</v>
      </c>
      <c r="M4" s="30" t="s">
        <v>2579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4">
        <v>85004</v>
      </c>
      <c r="K5" s="54">
        <v>0</v>
      </c>
      <c r="L5" s="30" t="s">
        <v>1660</v>
      </c>
      <c r="M5" s="30" t="s">
        <v>2580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4">
        <v>33125</v>
      </c>
      <c r="K6" s="54">
        <v>112.5</v>
      </c>
      <c r="L6" s="30" t="s">
        <v>1680</v>
      </c>
      <c r="M6" s="30" t="s">
        <v>2581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4">
        <v>20003</v>
      </c>
      <c r="K7" s="54">
        <v>22.5</v>
      </c>
      <c r="L7" s="30" t="s">
        <v>1673</v>
      </c>
      <c r="M7" s="30" t="s">
        <v>2582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4">
        <v>19148</v>
      </c>
      <c r="K8" s="54">
        <v>22.5</v>
      </c>
      <c r="L8" s="30" t="s">
        <v>1551</v>
      </c>
      <c r="M8" s="30" t="s">
        <v>2583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4" t="s">
        <v>1682</v>
      </c>
      <c r="K9" s="54">
        <v>337.5</v>
      </c>
      <c r="L9" s="30" t="s">
        <v>1641</v>
      </c>
      <c r="M9" s="30" t="s">
        <v>2584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4">
        <v>55403</v>
      </c>
      <c r="K10" s="54">
        <v>90</v>
      </c>
      <c r="L10" s="30" t="s">
        <v>1606</v>
      </c>
      <c r="M10" s="30" t="s">
        <v>2585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4">
        <v>60616</v>
      </c>
      <c r="K11" s="54">
        <v>112.5</v>
      </c>
      <c r="L11" s="30" t="s">
        <v>2524</v>
      </c>
      <c r="M11" s="30" t="s">
        <v>2586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4">
        <v>21201</v>
      </c>
      <c r="K12" s="54">
        <v>22.5</v>
      </c>
      <c r="L12" s="30" t="s">
        <v>1647</v>
      </c>
      <c r="M12" s="30" t="s">
        <v>2587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4">
        <v>53214</v>
      </c>
      <c r="K13" s="54">
        <v>135</v>
      </c>
      <c r="L13" s="30" t="s">
        <v>1666</v>
      </c>
      <c r="M13" s="30" t="s">
        <v>2588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4">
        <v>80205</v>
      </c>
      <c r="K14" s="54">
        <v>0</v>
      </c>
      <c r="L14" s="30" t="s">
        <v>1652</v>
      </c>
      <c r="M14" s="30" t="s">
        <v>2562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4">
        <v>76011</v>
      </c>
      <c r="K15" s="54">
        <v>135</v>
      </c>
      <c r="L15" s="30" t="s">
        <v>1634</v>
      </c>
      <c r="M15" s="30" t="s">
        <v>2560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4">
        <v>63102</v>
      </c>
      <c r="K16" s="54">
        <v>157.5</v>
      </c>
      <c r="L16" s="30" t="s">
        <v>1622</v>
      </c>
      <c r="M16" s="30" t="s">
        <v>2563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4">
        <v>10451</v>
      </c>
      <c r="K17" s="54">
        <v>67.5</v>
      </c>
      <c r="L17" s="30" t="s">
        <v>2522</v>
      </c>
      <c r="M17" s="30" t="s">
        <v>2574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4">
        <v>92806</v>
      </c>
      <c r="K18" s="54">
        <v>45</v>
      </c>
      <c r="L18" s="30" t="s">
        <v>2519</v>
      </c>
      <c r="M18" s="30" t="s">
        <v>2577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4">
        <v>48201</v>
      </c>
      <c r="K19" s="54">
        <v>157.5</v>
      </c>
      <c r="L19" s="30" t="s">
        <v>1574</v>
      </c>
      <c r="M19" s="30" t="s">
        <v>2576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4">
        <v>64129</v>
      </c>
      <c r="K20" s="54">
        <v>45</v>
      </c>
      <c r="L20" s="30" t="s">
        <v>1636</v>
      </c>
      <c r="M20" s="30" t="s">
        <v>2565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4">
        <v>11368</v>
      </c>
      <c r="K21" s="54">
        <v>22.5</v>
      </c>
      <c r="L21" s="30" t="s">
        <v>2520</v>
      </c>
      <c r="M21" s="30" t="s">
        <v>2575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4">
        <v>92101</v>
      </c>
      <c r="K22" s="54">
        <v>0</v>
      </c>
      <c r="L22" s="30" t="s">
        <v>1631</v>
      </c>
      <c r="M22" s="30" t="s">
        <v>2573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4" t="s">
        <v>1683</v>
      </c>
      <c r="K23" s="53">
        <v>45</v>
      </c>
      <c r="L23" s="30" t="s">
        <v>2521</v>
      </c>
      <c r="M23" s="30" t="s">
        <v>2566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3">
        <v>33705</v>
      </c>
      <c r="K24" s="53">
        <v>45</v>
      </c>
      <c r="L24" s="30" t="s">
        <v>1658</v>
      </c>
      <c r="M24" s="30" t="s">
        <v>2567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3">
        <v>94107</v>
      </c>
      <c r="K25" s="53">
        <v>112.5</v>
      </c>
      <c r="L25" s="30" t="s">
        <v>2518</v>
      </c>
      <c r="M25" s="30" t="s">
        <v>2564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3">
        <v>45202</v>
      </c>
      <c r="K26" s="53">
        <v>112.5</v>
      </c>
      <c r="L26" s="30" t="s">
        <v>1572</v>
      </c>
      <c r="M26" s="30" t="s">
        <v>2568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4">
        <v>60613</v>
      </c>
      <c r="K27" s="54">
        <v>45</v>
      </c>
      <c r="L27" s="30" t="s">
        <v>2525</v>
      </c>
      <c r="M27" s="30" t="s">
        <v>2561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4">
        <v>44115</v>
      </c>
      <c r="K28" s="54">
        <v>0</v>
      </c>
      <c r="L28" s="30" t="s">
        <v>1560</v>
      </c>
      <c r="M28" s="30" t="s">
        <v>2569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4">
        <v>77002</v>
      </c>
      <c r="K29" s="54">
        <v>67.5</v>
      </c>
      <c r="L29" s="30" t="s">
        <v>1616</v>
      </c>
      <c r="M29" s="30" t="s">
        <v>2570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4">
        <v>98134</v>
      </c>
      <c r="K30" s="54">
        <v>45</v>
      </c>
      <c r="L30" s="30" t="s">
        <v>1639</v>
      </c>
      <c r="M30" s="30" t="s">
        <v>2571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4">
        <v>94621</v>
      </c>
      <c r="K31" s="54">
        <v>45</v>
      </c>
      <c r="L31" s="30" t="s">
        <v>1624</v>
      </c>
      <c r="M31" s="30" t="s">
        <v>2572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95"/>
  <sheetViews>
    <sheetView topLeftCell="A2" zoomScale="70" zoomScaleNormal="70" workbookViewId="0">
      <selection activeCell="B2" sqref="B2:B36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15.28515625" customWidth="1"/>
    <col min="8" max="8" width="18.85546875" bestFit="1" customWidth="1"/>
    <col min="9" max="9" width="15.140625" customWidth="1"/>
  </cols>
  <sheetData>
    <row r="1" spans="1:9" s="30" customFormat="1" x14ac:dyDescent="0.25">
      <c r="A1" s="38" t="s">
        <v>311</v>
      </c>
      <c r="B1" s="38" t="s">
        <v>1527</v>
      </c>
      <c r="C1" s="38" t="s">
        <v>3007</v>
      </c>
    </row>
    <row r="2" spans="1:9" ht="17.25" customHeight="1" x14ac:dyDescent="0.25">
      <c r="A2" s="8">
        <v>42195</v>
      </c>
      <c r="B2" s="31">
        <v>27.95</v>
      </c>
      <c r="C2" s="30" t="s">
        <v>2991</v>
      </c>
      <c r="D2" s="31"/>
      <c r="E2" s="31"/>
      <c r="H2" s="21"/>
      <c r="I2" s="5"/>
    </row>
    <row r="3" spans="1:9" ht="19.5" customHeight="1" x14ac:dyDescent="0.25">
      <c r="A3" s="33">
        <v>42185</v>
      </c>
      <c r="B3" s="31">
        <v>42.75</v>
      </c>
      <c r="C3" s="8" t="s">
        <v>2991</v>
      </c>
      <c r="D3" s="35"/>
      <c r="E3" s="13"/>
      <c r="H3" s="2"/>
      <c r="I3" s="5"/>
    </row>
    <row r="4" spans="1:9" ht="36" customHeight="1" x14ac:dyDescent="0.25">
      <c r="A4" s="33">
        <v>42166</v>
      </c>
      <c r="B4" s="31">
        <v>30.2</v>
      </c>
      <c r="C4" s="8" t="s">
        <v>2991</v>
      </c>
      <c r="D4" s="35"/>
      <c r="E4" s="13"/>
      <c r="H4" s="5"/>
      <c r="I4" s="5"/>
    </row>
    <row r="5" spans="1:9" ht="25.5" customHeight="1" x14ac:dyDescent="0.25">
      <c r="A5" s="8">
        <v>42165</v>
      </c>
      <c r="B5" s="30">
        <v>21.75</v>
      </c>
      <c r="C5" s="30" t="s">
        <v>2992</v>
      </c>
      <c r="D5" s="35"/>
      <c r="E5" s="13"/>
      <c r="H5" s="5"/>
      <c r="I5" s="5"/>
    </row>
    <row r="6" spans="1:9" ht="36.75" customHeight="1" x14ac:dyDescent="0.25">
      <c r="A6" s="8">
        <v>42168</v>
      </c>
      <c r="B6" s="30">
        <v>37.75</v>
      </c>
      <c r="C6" s="30" t="s">
        <v>2993</v>
      </c>
      <c r="D6" s="35"/>
      <c r="E6" s="13"/>
      <c r="H6" s="5"/>
      <c r="I6" s="5"/>
    </row>
    <row r="7" spans="1:9" x14ac:dyDescent="0.25">
      <c r="A7" s="8">
        <v>42167</v>
      </c>
      <c r="B7" s="31">
        <v>26.7</v>
      </c>
      <c r="C7" s="30" t="s">
        <v>2994</v>
      </c>
      <c r="D7" s="35"/>
      <c r="E7" s="36"/>
      <c r="H7" s="5"/>
      <c r="I7" s="5"/>
    </row>
    <row r="8" spans="1:9" x14ac:dyDescent="0.25">
      <c r="A8" s="8">
        <v>42170</v>
      </c>
      <c r="B8" s="31">
        <v>51.5</v>
      </c>
      <c r="C8" s="30" t="s">
        <v>2995</v>
      </c>
      <c r="D8" s="35"/>
      <c r="E8" s="13"/>
      <c r="F8" s="5"/>
      <c r="H8" s="5"/>
      <c r="I8" s="5"/>
    </row>
    <row r="9" spans="1:9" x14ac:dyDescent="0.25">
      <c r="A9" s="33">
        <v>42169</v>
      </c>
      <c r="B9" s="31">
        <v>62.5</v>
      </c>
      <c r="C9" s="56" t="s">
        <v>2991</v>
      </c>
      <c r="D9" s="35"/>
      <c r="E9" s="13"/>
      <c r="F9" s="5"/>
      <c r="H9" s="5"/>
      <c r="I9" s="5"/>
    </row>
    <row r="10" spans="1:9" x14ac:dyDescent="0.25">
      <c r="A10" s="8">
        <v>42172</v>
      </c>
      <c r="B10" s="31">
        <v>39.25</v>
      </c>
      <c r="C10" s="30" t="s">
        <v>2996</v>
      </c>
      <c r="D10" s="35"/>
      <c r="E10" s="13"/>
      <c r="F10" s="5"/>
      <c r="H10" s="5" t="s">
        <v>3153</v>
      </c>
      <c r="I10" s="5"/>
    </row>
    <row r="11" spans="1:9" x14ac:dyDescent="0.25">
      <c r="A11" s="33">
        <v>42171</v>
      </c>
      <c r="B11" s="31">
        <v>37.25</v>
      </c>
      <c r="C11" s="8" t="s">
        <v>2991</v>
      </c>
      <c r="D11" s="35"/>
      <c r="E11" s="13"/>
      <c r="F11" s="5"/>
      <c r="H11" s="5"/>
      <c r="I11" s="5"/>
    </row>
    <row r="12" spans="1:9" x14ac:dyDescent="0.25">
      <c r="A12" s="33">
        <v>42174</v>
      </c>
      <c r="B12" s="31">
        <v>31.25</v>
      </c>
      <c r="C12" s="33" t="s">
        <v>2997</v>
      </c>
      <c r="D12" s="5"/>
      <c r="F12" s="5"/>
      <c r="H12" s="5"/>
      <c r="I12" s="5"/>
    </row>
    <row r="13" spans="1:9" x14ac:dyDescent="0.25">
      <c r="A13" s="33">
        <v>42161</v>
      </c>
      <c r="B13" s="31">
        <v>52.25</v>
      </c>
      <c r="C13" s="8" t="s">
        <v>2998</v>
      </c>
      <c r="D13" s="5"/>
      <c r="F13" s="5"/>
    </row>
    <row r="14" spans="1:9" x14ac:dyDescent="0.25">
      <c r="A14" s="33">
        <v>42162</v>
      </c>
      <c r="B14" s="31">
        <v>22.45</v>
      </c>
      <c r="C14" s="8" t="s">
        <v>2991</v>
      </c>
      <c r="D14" s="5"/>
      <c r="F14" s="5"/>
    </row>
    <row r="15" spans="1:9" ht="15" customHeight="1" x14ac:dyDescent="0.25">
      <c r="A15" s="8">
        <v>42160</v>
      </c>
      <c r="B15" s="31">
        <v>33.200000000000003</v>
      </c>
      <c r="C15" s="5" t="s">
        <v>2991</v>
      </c>
      <c r="D15" s="5"/>
      <c r="F15" s="5"/>
    </row>
    <row r="16" spans="1:9" x14ac:dyDescent="0.25">
      <c r="A16" s="33">
        <v>42194</v>
      </c>
      <c r="B16" s="31">
        <v>38</v>
      </c>
      <c r="C16" s="8" t="s">
        <v>3014</v>
      </c>
      <c r="D16" s="5"/>
      <c r="F16" s="5"/>
    </row>
    <row r="17" spans="1:11" x14ac:dyDescent="0.25">
      <c r="A17" s="71">
        <v>42193</v>
      </c>
      <c r="B17" s="31">
        <v>29.75</v>
      </c>
      <c r="C17" s="5" t="s">
        <v>3015</v>
      </c>
      <c r="D17" s="5"/>
      <c r="E17" s="5"/>
      <c r="F17" s="5"/>
    </row>
    <row r="18" spans="1:11" x14ac:dyDescent="0.25">
      <c r="A18" s="8">
        <v>42173</v>
      </c>
      <c r="B18" s="30">
        <v>30.7</v>
      </c>
      <c r="C18" s="5" t="s">
        <v>2999</v>
      </c>
      <c r="D18" s="5"/>
      <c r="F18" s="5"/>
    </row>
    <row r="19" spans="1:11" x14ac:dyDescent="0.25">
      <c r="A19" s="8">
        <v>42190</v>
      </c>
      <c r="B19" s="30">
        <v>34.950000000000003</v>
      </c>
      <c r="C19" s="5" t="s">
        <v>2991</v>
      </c>
      <c r="D19" s="5"/>
      <c r="F19" s="5"/>
    </row>
    <row r="20" spans="1:11" x14ac:dyDescent="0.25">
      <c r="A20" s="8">
        <v>42189</v>
      </c>
      <c r="B20" s="30">
        <v>9.4499999999999993</v>
      </c>
      <c r="C20" s="5" t="s">
        <v>3016</v>
      </c>
      <c r="D20" s="5"/>
      <c r="F20" s="5"/>
    </row>
    <row r="21" spans="1:11" x14ac:dyDescent="0.25">
      <c r="A21" s="33">
        <v>42192</v>
      </c>
      <c r="B21" s="31">
        <v>30.7</v>
      </c>
      <c r="C21" s="34" t="s">
        <v>3017</v>
      </c>
      <c r="D21" s="5"/>
      <c r="F21" s="5"/>
    </row>
    <row r="22" spans="1:11" x14ac:dyDescent="0.25">
      <c r="A22" s="8">
        <v>42191</v>
      </c>
      <c r="B22" s="31">
        <v>23.5</v>
      </c>
      <c r="C22" s="5" t="s">
        <v>3018</v>
      </c>
      <c r="D22" s="5"/>
      <c r="F22" s="5"/>
    </row>
    <row r="23" spans="1:11" x14ac:dyDescent="0.25">
      <c r="A23" s="8">
        <v>42186</v>
      </c>
      <c r="B23" s="31">
        <v>31.25</v>
      </c>
      <c r="C23" s="5" t="s">
        <v>3000</v>
      </c>
      <c r="D23" s="5"/>
      <c r="F23" s="5"/>
    </row>
    <row r="24" spans="1:11" x14ac:dyDescent="0.25">
      <c r="A24" s="8">
        <v>42188</v>
      </c>
      <c r="B24" s="30">
        <v>23.5</v>
      </c>
      <c r="C24" s="5" t="s">
        <v>3001</v>
      </c>
      <c r="D24" s="5"/>
      <c r="F24" s="5"/>
      <c r="H24" s="23"/>
      <c r="K24" s="23"/>
    </row>
    <row r="25" spans="1:11" x14ac:dyDescent="0.25">
      <c r="A25" s="8">
        <v>42187</v>
      </c>
      <c r="B25" s="30">
        <v>34.25</v>
      </c>
      <c r="C25" s="5" t="s">
        <v>2991</v>
      </c>
      <c r="D25" s="5"/>
      <c r="E25" s="5"/>
      <c r="F25" s="5"/>
      <c r="H25" s="23"/>
      <c r="K25" s="23"/>
    </row>
    <row r="26" spans="1:11" x14ac:dyDescent="0.25">
      <c r="A26" s="8">
        <v>42179</v>
      </c>
      <c r="B26" s="31">
        <v>28.75</v>
      </c>
      <c r="C26" s="30" t="s">
        <v>3002</v>
      </c>
      <c r="D26" s="5"/>
      <c r="F26" s="5"/>
      <c r="H26" s="23"/>
      <c r="K26" s="23"/>
    </row>
    <row r="27" spans="1:11" x14ac:dyDescent="0.25">
      <c r="A27" s="8">
        <v>42180</v>
      </c>
      <c r="B27" s="31">
        <v>27.75</v>
      </c>
      <c r="C27" s="5" t="s">
        <v>2991</v>
      </c>
      <c r="D27" s="5"/>
      <c r="F27" s="5"/>
      <c r="H27" s="23"/>
      <c r="K27" s="23"/>
    </row>
    <row r="28" spans="1:11" x14ac:dyDescent="0.25">
      <c r="A28" s="8">
        <v>42181</v>
      </c>
      <c r="B28" s="31">
        <v>52.5</v>
      </c>
      <c r="C28" s="5" t="s">
        <v>3003</v>
      </c>
      <c r="D28" s="5"/>
      <c r="E28" s="5"/>
      <c r="F28" s="5"/>
      <c r="H28" s="23"/>
      <c r="K28" s="23"/>
    </row>
    <row r="29" spans="1:11" x14ac:dyDescent="0.25">
      <c r="A29" s="8">
        <v>42175</v>
      </c>
      <c r="B29" s="31">
        <v>38.75</v>
      </c>
      <c r="C29" s="5" t="s">
        <v>2991</v>
      </c>
      <c r="D29" s="5"/>
      <c r="E29" s="5"/>
      <c r="F29" s="5"/>
      <c r="H29" s="23"/>
      <c r="K29" s="23"/>
    </row>
    <row r="30" spans="1:11" x14ac:dyDescent="0.25">
      <c r="A30" s="8">
        <v>42176</v>
      </c>
      <c r="B30" s="31">
        <v>39.5</v>
      </c>
      <c r="C30" s="5" t="s">
        <v>2991</v>
      </c>
      <c r="D30" s="5"/>
      <c r="E30" s="5"/>
      <c r="F30" s="5"/>
      <c r="H30" s="23"/>
      <c r="K30" s="23"/>
    </row>
    <row r="31" spans="1:11" x14ac:dyDescent="0.25">
      <c r="A31" s="8">
        <v>42177</v>
      </c>
      <c r="B31" s="31">
        <v>44.75</v>
      </c>
      <c r="C31" s="5" t="s">
        <v>3004</v>
      </c>
      <c r="D31" s="5"/>
      <c r="F31" s="5"/>
      <c r="H31" s="23"/>
      <c r="K31" s="23"/>
    </row>
    <row r="32" spans="1:11" x14ac:dyDescent="0.25">
      <c r="A32" s="8">
        <v>42178</v>
      </c>
      <c r="B32" s="31">
        <v>30.6</v>
      </c>
      <c r="C32" s="5" t="s">
        <v>3005</v>
      </c>
      <c r="D32" s="5"/>
      <c r="F32" s="5"/>
      <c r="H32" s="23"/>
      <c r="K32" s="23"/>
    </row>
    <row r="33" spans="1:11" x14ac:dyDescent="0.25">
      <c r="A33" s="8">
        <v>42163</v>
      </c>
      <c r="B33" s="31">
        <v>30.25</v>
      </c>
      <c r="C33" s="5" t="s">
        <v>3006</v>
      </c>
      <c r="D33" s="5"/>
      <c r="E33" s="5"/>
      <c r="F33" s="5"/>
      <c r="H33" s="23"/>
      <c r="K33" s="23"/>
    </row>
    <row r="34" spans="1:11" x14ac:dyDescent="0.25">
      <c r="A34" s="8">
        <v>42164</v>
      </c>
      <c r="B34" s="31">
        <v>14.7</v>
      </c>
      <c r="C34" s="5" t="s">
        <v>2992</v>
      </c>
      <c r="D34" s="5"/>
      <c r="F34" s="5"/>
      <c r="H34" s="23"/>
      <c r="K34" s="23"/>
    </row>
    <row r="35" spans="1:11" x14ac:dyDescent="0.25">
      <c r="A35" s="33">
        <v>42183</v>
      </c>
      <c r="B35" s="31">
        <v>44.2</v>
      </c>
      <c r="C35" s="8" t="s">
        <v>2991</v>
      </c>
      <c r="D35" s="5"/>
      <c r="F35" s="5"/>
      <c r="H35" s="23"/>
      <c r="K35" s="23"/>
    </row>
    <row r="36" spans="1:11" x14ac:dyDescent="0.25">
      <c r="A36" s="8">
        <v>42184</v>
      </c>
      <c r="B36" s="31">
        <v>46.75</v>
      </c>
      <c r="C36" s="5" t="s">
        <v>2991</v>
      </c>
      <c r="D36" s="5"/>
      <c r="E36" s="5"/>
      <c r="F36" s="5"/>
      <c r="H36" s="23"/>
      <c r="J36" s="23"/>
      <c r="K36" s="23"/>
    </row>
    <row r="37" spans="1:11" x14ac:dyDescent="0.25">
      <c r="A37" s="13"/>
      <c r="D37" s="5"/>
      <c r="F37" s="5"/>
      <c r="G37" s="24"/>
      <c r="H37" s="23"/>
      <c r="I37" s="23"/>
      <c r="J37" s="24"/>
      <c r="K37" s="23"/>
    </row>
    <row r="38" spans="1:11" x14ac:dyDescent="0.25">
      <c r="A38" s="13"/>
      <c r="D38" s="5"/>
      <c r="F38" s="5"/>
      <c r="G38" s="24"/>
      <c r="H38" s="23"/>
      <c r="I38" s="23"/>
      <c r="J38" s="24"/>
      <c r="K38" s="23"/>
    </row>
    <row r="39" spans="1:11" x14ac:dyDescent="0.25">
      <c r="A39" s="13"/>
      <c r="D39" s="5"/>
      <c r="F39" s="5"/>
      <c r="H39" s="23"/>
      <c r="K39" s="23"/>
    </row>
    <row r="40" spans="1:11" x14ac:dyDescent="0.25">
      <c r="A40" s="13"/>
      <c r="D40" s="5"/>
      <c r="F40" s="5"/>
      <c r="H40" s="23"/>
      <c r="K40" s="23"/>
    </row>
    <row r="41" spans="1:11" x14ac:dyDescent="0.25">
      <c r="A41" s="13"/>
      <c r="C41" s="25"/>
      <c r="D41" s="5"/>
      <c r="F41" s="5"/>
      <c r="H41" s="23"/>
      <c r="K41" s="23"/>
    </row>
    <row r="42" spans="1:11" x14ac:dyDescent="0.25">
      <c r="A42" s="13"/>
      <c r="D42" s="5"/>
      <c r="F42" s="5"/>
      <c r="H42" s="23"/>
      <c r="K42" s="23"/>
    </row>
    <row r="43" spans="1:11" x14ac:dyDescent="0.25">
      <c r="A43" s="13"/>
      <c r="D43" s="5"/>
      <c r="F43" s="5"/>
      <c r="H43" s="23"/>
      <c r="K43" s="23"/>
    </row>
    <row r="44" spans="1:11" x14ac:dyDescent="0.25">
      <c r="A44" s="13"/>
      <c r="C44" s="25"/>
      <c r="D44" s="5"/>
      <c r="E44" s="5"/>
      <c r="F44" s="5"/>
      <c r="H44" s="23"/>
      <c r="K44" s="23"/>
    </row>
    <row r="45" spans="1:11" x14ac:dyDescent="0.25">
      <c r="A45" s="13"/>
      <c r="D45" s="5"/>
      <c r="F45" s="5"/>
      <c r="H45" s="23"/>
      <c r="K45" s="23"/>
    </row>
    <row r="46" spans="1:11" x14ac:dyDescent="0.25">
      <c r="A46" s="13"/>
      <c r="D46" s="5"/>
      <c r="F46" s="5"/>
      <c r="H46" s="23"/>
      <c r="J46" s="23"/>
      <c r="K46" s="23"/>
    </row>
    <row r="47" spans="1:11" x14ac:dyDescent="0.25">
      <c r="A47" s="13"/>
      <c r="D47" s="5"/>
      <c r="F47" s="5"/>
      <c r="H47" s="23"/>
      <c r="J47" s="23"/>
      <c r="K47" s="23"/>
    </row>
    <row r="48" spans="1:11" x14ac:dyDescent="0.25">
      <c r="A48" s="13"/>
      <c r="D48" s="5"/>
      <c r="F48" s="5"/>
      <c r="G48" s="24"/>
      <c r="H48" s="23"/>
      <c r="I48" s="23"/>
      <c r="J48" s="24"/>
      <c r="K48" s="23"/>
    </row>
    <row r="49" spans="1:10" x14ac:dyDescent="0.25">
      <c r="A49" s="13"/>
      <c r="D49" s="5"/>
      <c r="F49" s="5"/>
      <c r="G49" s="24"/>
      <c r="H49" s="23"/>
      <c r="I49" s="24"/>
      <c r="J49" s="24"/>
    </row>
    <row r="50" spans="1:10" x14ac:dyDescent="0.25">
      <c r="C50" s="25"/>
      <c r="D50" s="5"/>
      <c r="E50" s="5"/>
      <c r="F50" s="5"/>
    </row>
    <row r="51" spans="1:10" x14ac:dyDescent="0.25">
      <c r="C51" s="25"/>
      <c r="D51" s="5"/>
      <c r="E51" s="5"/>
      <c r="F51" s="5"/>
    </row>
    <row r="52" spans="1:10" x14ac:dyDescent="0.25">
      <c r="C52" s="25"/>
      <c r="D52" s="5"/>
      <c r="F52" s="5"/>
    </row>
    <row r="53" spans="1:10" x14ac:dyDescent="0.25">
      <c r="C53" s="25"/>
      <c r="D53" s="5"/>
      <c r="F53" s="5"/>
    </row>
    <row r="54" spans="1:10" x14ac:dyDescent="0.25">
      <c r="C54" s="25"/>
      <c r="D54" s="5"/>
      <c r="E54" s="5"/>
      <c r="F54" s="5"/>
    </row>
    <row r="55" spans="1:10" x14ac:dyDescent="0.25">
      <c r="C55" s="25"/>
      <c r="D55" s="5"/>
      <c r="E55" s="5"/>
      <c r="F55" s="5"/>
    </row>
    <row r="56" spans="1:10" x14ac:dyDescent="0.25">
      <c r="D56" s="5"/>
      <c r="F56" s="5"/>
    </row>
    <row r="57" spans="1:10" x14ac:dyDescent="0.25">
      <c r="D57" s="5"/>
      <c r="F57" s="5"/>
    </row>
    <row r="58" spans="1:10" x14ac:dyDescent="0.25">
      <c r="D58" s="5"/>
      <c r="F58" s="5"/>
    </row>
    <row r="59" spans="1:10" x14ac:dyDescent="0.25">
      <c r="C59" s="25"/>
      <c r="D59" s="5"/>
      <c r="F59" s="5"/>
    </row>
    <row r="60" spans="1:10" x14ac:dyDescent="0.25">
      <c r="D60" s="5"/>
      <c r="F60" s="5"/>
    </row>
    <row r="61" spans="1:10" x14ac:dyDescent="0.25">
      <c r="D61" s="5"/>
      <c r="F61" s="5"/>
    </row>
    <row r="62" spans="1:10" x14ac:dyDescent="0.25">
      <c r="C62" s="25"/>
      <c r="D62" s="5"/>
      <c r="E62" s="5"/>
      <c r="F62" s="5"/>
    </row>
    <row r="63" spans="1:10" x14ac:dyDescent="0.25">
      <c r="C63" s="25"/>
      <c r="D63" s="5"/>
      <c r="E63" s="5"/>
      <c r="F63" s="5"/>
    </row>
    <row r="64" spans="1:10" x14ac:dyDescent="0.25">
      <c r="C64" s="25"/>
      <c r="D64" s="5"/>
      <c r="F64" s="5"/>
    </row>
    <row r="65" spans="1:6" x14ac:dyDescent="0.25">
      <c r="C65" s="25"/>
      <c r="D65" s="5"/>
      <c r="E65" s="5"/>
      <c r="F65" s="5"/>
    </row>
    <row r="66" spans="1:6" x14ac:dyDescent="0.25">
      <c r="C66" s="25"/>
      <c r="D66" s="5"/>
      <c r="E66" s="5"/>
      <c r="F66" s="5"/>
    </row>
    <row r="67" spans="1:6" x14ac:dyDescent="0.25">
      <c r="C67" s="25"/>
      <c r="D67" s="5"/>
      <c r="E67" s="5"/>
      <c r="F67" s="5"/>
    </row>
    <row r="68" spans="1:6" x14ac:dyDescent="0.25">
      <c r="C68" s="25"/>
      <c r="D68" s="5"/>
      <c r="F68" s="5"/>
    </row>
    <row r="69" spans="1:6" x14ac:dyDescent="0.25">
      <c r="D69" s="5"/>
      <c r="F69" s="5"/>
    </row>
    <row r="70" spans="1:6" x14ac:dyDescent="0.25">
      <c r="C70" s="25"/>
      <c r="D70" s="5"/>
      <c r="E70" s="5"/>
      <c r="F70" s="5"/>
    </row>
    <row r="71" spans="1:6" x14ac:dyDescent="0.25">
      <c r="A71" s="2"/>
      <c r="C71" s="25"/>
      <c r="D71" s="5"/>
      <c r="E71" s="5"/>
      <c r="F71" s="5"/>
    </row>
    <row r="72" spans="1:6" x14ac:dyDescent="0.25">
      <c r="C72" s="25"/>
      <c r="D72" s="5"/>
      <c r="E72" s="5"/>
      <c r="F72" s="5"/>
    </row>
    <row r="73" spans="1:6" x14ac:dyDescent="0.25">
      <c r="C73" s="25"/>
      <c r="D73" s="5"/>
      <c r="F73" s="5"/>
    </row>
    <row r="74" spans="1:6" x14ac:dyDescent="0.25">
      <c r="C74" s="25"/>
      <c r="D74" s="5"/>
      <c r="F74" s="5"/>
    </row>
    <row r="75" spans="1:6" x14ac:dyDescent="0.25">
      <c r="C75" s="25"/>
      <c r="D75" s="5"/>
      <c r="E75" s="5"/>
      <c r="F75" s="5"/>
    </row>
    <row r="76" spans="1:6" x14ac:dyDescent="0.25">
      <c r="C76" s="25"/>
      <c r="D76" s="5"/>
      <c r="E76" s="5"/>
      <c r="F76" s="5"/>
    </row>
    <row r="77" spans="1:6" x14ac:dyDescent="0.25">
      <c r="C77" s="25"/>
      <c r="D77" s="5"/>
      <c r="F77" s="5"/>
    </row>
    <row r="78" spans="1:6" x14ac:dyDescent="0.25">
      <c r="C78" s="25"/>
      <c r="D78" s="5"/>
      <c r="F78" s="5"/>
    </row>
    <row r="79" spans="1:6" x14ac:dyDescent="0.25">
      <c r="C79" s="25"/>
      <c r="D79" s="5"/>
      <c r="E79" s="5"/>
      <c r="F79" s="5"/>
    </row>
    <row r="80" spans="1:6" x14ac:dyDescent="0.25">
      <c r="D80" s="5"/>
      <c r="F80" s="5"/>
    </row>
    <row r="81" spans="1:6" x14ac:dyDescent="0.25">
      <c r="C81" s="25"/>
      <c r="D81" s="5"/>
      <c r="E81" s="5"/>
      <c r="F81" s="5"/>
    </row>
    <row r="82" spans="1:6" x14ac:dyDescent="0.25">
      <c r="C82" s="25"/>
      <c r="D82" s="5"/>
      <c r="E82" s="5"/>
      <c r="F82" s="5"/>
    </row>
    <row r="83" spans="1:6" x14ac:dyDescent="0.25">
      <c r="A83" s="2"/>
      <c r="C83" s="25"/>
      <c r="D83" s="5"/>
      <c r="E83" s="5"/>
      <c r="F83" s="5"/>
    </row>
    <row r="84" spans="1:6" x14ac:dyDescent="0.25">
      <c r="C84" s="25"/>
      <c r="D84" s="5"/>
      <c r="F84" s="5"/>
    </row>
    <row r="85" spans="1:6" x14ac:dyDescent="0.25">
      <c r="C85" s="25"/>
      <c r="D85" s="5"/>
      <c r="E85" s="5"/>
      <c r="F85" s="5"/>
    </row>
    <row r="86" spans="1:6" x14ac:dyDescent="0.25">
      <c r="C86" s="25"/>
      <c r="D86" s="5"/>
      <c r="F86" s="5"/>
    </row>
    <row r="87" spans="1:6" x14ac:dyDescent="0.25">
      <c r="C87" s="25"/>
      <c r="D87" s="5"/>
      <c r="F87" s="5"/>
    </row>
    <row r="88" spans="1:6" x14ac:dyDescent="0.25">
      <c r="D88" s="5"/>
      <c r="F88" s="5"/>
    </row>
    <row r="89" spans="1:6" x14ac:dyDescent="0.25">
      <c r="D89" s="5"/>
      <c r="F89" s="5"/>
    </row>
    <row r="90" spans="1:6" x14ac:dyDescent="0.25">
      <c r="D90" s="5"/>
      <c r="F90" s="5"/>
    </row>
    <row r="91" spans="1:6" x14ac:dyDescent="0.25">
      <c r="C91" s="25"/>
      <c r="D91" s="5"/>
      <c r="E91" s="5"/>
      <c r="F91" s="5"/>
    </row>
    <row r="92" spans="1:6" x14ac:dyDescent="0.25">
      <c r="C92" s="25"/>
      <c r="D92" s="5"/>
      <c r="E92" s="5"/>
      <c r="F92" s="5"/>
    </row>
    <row r="93" spans="1:6" x14ac:dyDescent="0.25">
      <c r="D93" s="5"/>
      <c r="E93" s="5"/>
      <c r="F93" s="5"/>
    </row>
    <row r="94" spans="1:6" x14ac:dyDescent="0.25">
      <c r="D94" s="5"/>
      <c r="F94" s="5"/>
    </row>
    <row r="95" spans="1:6" x14ac:dyDescent="0.25">
      <c r="C95" s="25"/>
      <c r="D95" s="5"/>
      <c r="F95" s="5"/>
    </row>
    <row r="96" spans="1:6" x14ac:dyDescent="0.25">
      <c r="C96" s="25"/>
      <c r="D96" s="5"/>
      <c r="F96" s="5"/>
    </row>
    <row r="97" spans="3:6" x14ac:dyDescent="0.25">
      <c r="D97" s="5"/>
      <c r="F97" s="5"/>
    </row>
    <row r="98" spans="3:6" x14ac:dyDescent="0.25">
      <c r="D98" s="5"/>
      <c r="F98" s="5"/>
    </row>
    <row r="99" spans="3:6" x14ac:dyDescent="0.25">
      <c r="D99" s="5"/>
      <c r="F99" s="5"/>
    </row>
    <row r="100" spans="3:6" x14ac:dyDescent="0.25">
      <c r="D100" s="5"/>
      <c r="F100" s="5"/>
    </row>
    <row r="101" spans="3:6" x14ac:dyDescent="0.25">
      <c r="C101" s="25"/>
      <c r="D101" s="5"/>
      <c r="E101" s="5"/>
      <c r="F101" s="5"/>
    </row>
    <row r="102" spans="3:6" x14ac:dyDescent="0.25">
      <c r="D102" s="5"/>
      <c r="F102" s="5"/>
    </row>
    <row r="103" spans="3:6" x14ac:dyDescent="0.25">
      <c r="D103" s="5"/>
      <c r="F103" s="5"/>
    </row>
    <row r="104" spans="3:6" x14ac:dyDescent="0.25">
      <c r="C104" s="25"/>
      <c r="D104" s="5"/>
      <c r="E104" s="5"/>
      <c r="F104" s="5"/>
    </row>
    <row r="105" spans="3:6" x14ac:dyDescent="0.25">
      <c r="C105" s="25"/>
      <c r="D105" s="5"/>
      <c r="E105" s="5"/>
      <c r="F105" s="5"/>
    </row>
    <row r="106" spans="3:6" x14ac:dyDescent="0.25">
      <c r="C106" s="25"/>
      <c r="D106" s="5"/>
      <c r="E106" s="5"/>
      <c r="F106" s="5"/>
    </row>
    <row r="107" spans="3:6" x14ac:dyDescent="0.25">
      <c r="C107" s="25"/>
      <c r="D107" s="5"/>
      <c r="E107" s="5"/>
      <c r="F107" s="5"/>
    </row>
    <row r="108" spans="3:6" x14ac:dyDescent="0.25">
      <c r="C108" s="25"/>
      <c r="D108" s="5"/>
      <c r="E108" s="5"/>
      <c r="F108" s="5"/>
    </row>
    <row r="109" spans="3:6" x14ac:dyDescent="0.25">
      <c r="C109" s="25"/>
      <c r="D109" s="5"/>
      <c r="E109" s="5"/>
      <c r="F109" s="5"/>
    </row>
    <row r="110" spans="3:6" x14ac:dyDescent="0.25">
      <c r="C110" s="25"/>
      <c r="D110" s="5"/>
      <c r="E110" s="5"/>
      <c r="F110" s="5"/>
    </row>
    <row r="111" spans="3:6" x14ac:dyDescent="0.25">
      <c r="C111" s="25"/>
      <c r="D111" s="5"/>
      <c r="F111" s="5"/>
    </row>
    <row r="112" spans="3:6" x14ac:dyDescent="0.25">
      <c r="C112" s="25"/>
      <c r="D112" s="5"/>
      <c r="E112" s="5"/>
      <c r="F112" s="5"/>
    </row>
    <row r="113" spans="4:4" x14ac:dyDescent="0.25">
      <c r="D113" s="7"/>
    </row>
    <row r="114" spans="4:4" x14ac:dyDescent="0.25">
      <c r="D114" s="7"/>
    </row>
    <row r="115" spans="4:4" x14ac:dyDescent="0.25">
      <c r="D115" s="7"/>
    </row>
    <row r="116" spans="4:4" x14ac:dyDescent="0.25">
      <c r="D116" s="7"/>
    </row>
    <row r="117" spans="4:4" x14ac:dyDescent="0.25">
      <c r="D117" s="7"/>
    </row>
    <row r="118" spans="4:4" x14ac:dyDescent="0.25">
      <c r="D118" s="7"/>
    </row>
    <row r="119" spans="4:4" x14ac:dyDescent="0.25">
      <c r="D119" s="7"/>
    </row>
    <row r="120" spans="4:4" x14ac:dyDescent="0.25">
      <c r="D120" s="7"/>
    </row>
    <row r="121" spans="4:4" x14ac:dyDescent="0.25">
      <c r="D121" s="7"/>
    </row>
    <row r="122" spans="4:4" x14ac:dyDescent="0.25">
      <c r="D122" s="7"/>
    </row>
    <row r="123" spans="4:4" x14ac:dyDescent="0.25">
      <c r="D123" s="7"/>
    </row>
    <row r="124" spans="4:4" x14ac:dyDescent="0.25">
      <c r="D124" s="7"/>
    </row>
    <row r="125" spans="4:4" x14ac:dyDescent="0.25">
      <c r="D125" s="7"/>
    </row>
    <row r="126" spans="4:4" x14ac:dyDescent="0.25">
      <c r="D126" s="7"/>
    </row>
    <row r="127" spans="4:4" x14ac:dyDescent="0.25">
      <c r="D127" s="7"/>
    </row>
    <row r="128" spans="4:4" x14ac:dyDescent="0.25">
      <c r="D128" s="7"/>
    </row>
    <row r="129" spans="4:4" x14ac:dyDescent="0.25">
      <c r="D129" s="7"/>
    </row>
    <row r="130" spans="4:4" x14ac:dyDescent="0.25">
      <c r="D130" s="7"/>
    </row>
    <row r="131" spans="4:4" x14ac:dyDescent="0.25">
      <c r="D131" s="7"/>
    </row>
    <row r="132" spans="4:4" x14ac:dyDescent="0.25">
      <c r="D132" s="7"/>
    </row>
    <row r="133" spans="4:4" x14ac:dyDescent="0.25">
      <c r="D133" s="7"/>
    </row>
    <row r="134" spans="4:4" x14ac:dyDescent="0.25">
      <c r="D134" s="7"/>
    </row>
    <row r="135" spans="4:4" x14ac:dyDescent="0.25">
      <c r="D135" s="7"/>
    </row>
    <row r="136" spans="4:4" x14ac:dyDescent="0.25">
      <c r="D136" s="7"/>
    </row>
    <row r="137" spans="4:4" x14ac:dyDescent="0.25">
      <c r="D137" s="7"/>
    </row>
    <row r="138" spans="4:4" x14ac:dyDescent="0.25">
      <c r="D138" s="5"/>
    </row>
    <row r="139" spans="4:4" x14ac:dyDescent="0.25">
      <c r="D139" s="5"/>
    </row>
    <row r="140" spans="4:4" x14ac:dyDescent="0.25">
      <c r="D140" s="5"/>
    </row>
    <row r="141" spans="4:4" x14ac:dyDescent="0.25">
      <c r="D141" s="5"/>
    </row>
    <row r="142" spans="4:4" x14ac:dyDescent="0.25">
      <c r="D142" s="5"/>
    </row>
    <row r="143" spans="4:4" x14ac:dyDescent="0.25">
      <c r="D143" s="5"/>
    </row>
    <row r="144" spans="4:4" x14ac:dyDescent="0.25">
      <c r="D144" s="5"/>
    </row>
    <row r="145" spans="1:4" x14ac:dyDescent="0.25">
      <c r="D145" s="5"/>
    </row>
    <row r="146" spans="1:4" x14ac:dyDescent="0.25">
      <c r="D146" s="5"/>
    </row>
    <row r="147" spans="1:4" x14ac:dyDescent="0.25">
      <c r="D147" s="5"/>
    </row>
    <row r="148" spans="1:4" x14ac:dyDescent="0.25">
      <c r="D148" s="5"/>
    </row>
    <row r="149" spans="1:4" x14ac:dyDescent="0.25">
      <c r="D149" s="5"/>
    </row>
    <row r="150" spans="1:4" x14ac:dyDescent="0.25">
      <c r="D150" s="5"/>
    </row>
    <row r="151" spans="1:4" x14ac:dyDescent="0.25">
      <c r="D151" s="5"/>
    </row>
    <row r="152" spans="1:4" x14ac:dyDescent="0.25">
      <c r="D152" s="5"/>
    </row>
    <row r="153" spans="1:4" x14ac:dyDescent="0.25">
      <c r="A153" s="2"/>
      <c r="D153" s="5"/>
    </row>
    <row r="154" spans="1:4" x14ac:dyDescent="0.25">
      <c r="D154" s="5"/>
    </row>
    <row r="155" spans="1:4" x14ac:dyDescent="0.25">
      <c r="D155" s="5"/>
    </row>
    <row r="156" spans="1:4" x14ac:dyDescent="0.25">
      <c r="D156" s="5"/>
    </row>
    <row r="157" spans="1:4" x14ac:dyDescent="0.25">
      <c r="A157" s="2"/>
      <c r="D157" s="5"/>
    </row>
    <row r="158" spans="1:4" x14ac:dyDescent="0.25">
      <c r="D158" s="5"/>
    </row>
    <row r="159" spans="1:4" x14ac:dyDescent="0.25">
      <c r="D159" s="5"/>
    </row>
    <row r="160" spans="1:4" x14ac:dyDescent="0.25">
      <c r="D160" s="5"/>
    </row>
    <row r="161" spans="4:4" x14ac:dyDescent="0.25">
      <c r="D161" s="5"/>
    </row>
    <row r="162" spans="4:4" x14ac:dyDescent="0.25">
      <c r="D162" s="5"/>
    </row>
    <row r="163" spans="4:4" x14ac:dyDescent="0.25">
      <c r="D163" s="5"/>
    </row>
    <row r="164" spans="4:4" x14ac:dyDescent="0.25">
      <c r="D164" s="5"/>
    </row>
    <row r="165" spans="4:4" x14ac:dyDescent="0.25">
      <c r="D165" s="5"/>
    </row>
    <row r="166" spans="4:4" x14ac:dyDescent="0.25">
      <c r="D166" s="5"/>
    </row>
    <row r="167" spans="4:4" x14ac:dyDescent="0.25">
      <c r="D167" s="5"/>
    </row>
    <row r="168" spans="4:4" x14ac:dyDescent="0.25">
      <c r="D168" s="5"/>
    </row>
    <row r="169" spans="4:4" x14ac:dyDescent="0.25">
      <c r="D169" s="5"/>
    </row>
    <row r="170" spans="4:4" x14ac:dyDescent="0.25">
      <c r="D170" s="5"/>
    </row>
    <row r="171" spans="4:4" x14ac:dyDescent="0.25">
      <c r="D171" s="5"/>
    </row>
    <row r="172" spans="4:4" x14ac:dyDescent="0.25">
      <c r="D172" s="5"/>
    </row>
    <row r="173" spans="4:4" x14ac:dyDescent="0.25">
      <c r="D173" s="5"/>
    </row>
    <row r="174" spans="4:4" x14ac:dyDescent="0.25">
      <c r="D174" s="5"/>
    </row>
    <row r="175" spans="4:4" x14ac:dyDescent="0.25">
      <c r="D175" s="5"/>
    </row>
    <row r="176" spans="4:4" x14ac:dyDescent="0.25">
      <c r="D176" s="5"/>
    </row>
    <row r="177" spans="4:4" x14ac:dyDescent="0.25">
      <c r="D177" s="5"/>
    </row>
    <row r="178" spans="4:4" x14ac:dyDescent="0.25">
      <c r="D178" s="5"/>
    </row>
    <row r="179" spans="4:4" x14ac:dyDescent="0.25">
      <c r="D179" s="5"/>
    </row>
    <row r="180" spans="4:4" x14ac:dyDescent="0.25">
      <c r="D180" s="5"/>
    </row>
    <row r="181" spans="4:4" x14ac:dyDescent="0.25">
      <c r="D181" s="5"/>
    </row>
    <row r="182" spans="4:4" x14ac:dyDescent="0.25">
      <c r="D182" s="5"/>
    </row>
    <row r="183" spans="4:4" x14ac:dyDescent="0.25">
      <c r="D183" s="5"/>
    </row>
    <row r="184" spans="4:4" x14ac:dyDescent="0.25">
      <c r="D184" s="5"/>
    </row>
    <row r="185" spans="4:4" x14ac:dyDescent="0.25">
      <c r="D185" s="5"/>
    </row>
    <row r="186" spans="4:4" x14ac:dyDescent="0.25">
      <c r="D186" s="5"/>
    </row>
    <row r="187" spans="4:4" x14ac:dyDescent="0.25">
      <c r="D187" s="5"/>
    </row>
    <row r="188" spans="4:4" x14ac:dyDescent="0.25">
      <c r="D188" s="5"/>
    </row>
    <row r="189" spans="4:4" x14ac:dyDescent="0.25">
      <c r="D189" s="5"/>
    </row>
    <row r="190" spans="4:4" x14ac:dyDescent="0.25">
      <c r="D190" s="5"/>
    </row>
    <row r="191" spans="4:4" x14ac:dyDescent="0.25">
      <c r="D191" s="5"/>
    </row>
    <row r="192" spans="4:4" x14ac:dyDescent="0.25">
      <c r="D192" s="5"/>
    </row>
    <row r="193" spans="4:4" x14ac:dyDescent="0.25">
      <c r="D193" s="5"/>
    </row>
    <row r="194" spans="4:4" x14ac:dyDescent="0.25">
      <c r="D194" s="5"/>
    </row>
    <row r="195" spans="4:4" x14ac:dyDescent="0.25">
      <c r="D195" s="5"/>
    </row>
    <row r="196" spans="4:4" x14ac:dyDescent="0.25">
      <c r="D196" s="5"/>
    </row>
    <row r="197" spans="4:4" x14ac:dyDescent="0.25">
      <c r="D197" s="5"/>
    </row>
    <row r="198" spans="4:4" x14ac:dyDescent="0.25">
      <c r="D198" s="5"/>
    </row>
    <row r="199" spans="4:4" x14ac:dyDescent="0.25">
      <c r="D199" s="5"/>
    </row>
    <row r="200" spans="4:4" x14ac:dyDescent="0.25">
      <c r="D200" s="5"/>
    </row>
    <row r="201" spans="4:4" x14ac:dyDescent="0.25">
      <c r="D201" s="5"/>
    </row>
    <row r="202" spans="4:4" x14ac:dyDescent="0.25">
      <c r="D202" s="5"/>
    </row>
    <row r="203" spans="4:4" x14ac:dyDescent="0.25">
      <c r="D203" s="5"/>
    </row>
    <row r="204" spans="4:4" x14ac:dyDescent="0.25">
      <c r="D204" s="5"/>
    </row>
    <row r="205" spans="4:4" x14ac:dyDescent="0.25">
      <c r="D205" s="5"/>
    </row>
    <row r="206" spans="4:4" x14ac:dyDescent="0.25">
      <c r="D206" s="5"/>
    </row>
    <row r="207" spans="4:4" x14ac:dyDescent="0.25">
      <c r="D207" s="5"/>
    </row>
    <row r="208" spans="4:4" x14ac:dyDescent="0.25">
      <c r="D208" s="5"/>
    </row>
    <row r="209" spans="1:4" x14ac:dyDescent="0.25">
      <c r="D209" s="5"/>
    </row>
    <row r="210" spans="1:4" x14ac:dyDescent="0.25">
      <c r="D210" s="5"/>
    </row>
    <row r="211" spans="1:4" x14ac:dyDescent="0.25">
      <c r="D211" s="5"/>
    </row>
    <row r="212" spans="1:4" x14ac:dyDescent="0.25">
      <c r="D212" s="5"/>
    </row>
    <row r="213" spans="1:4" x14ac:dyDescent="0.25">
      <c r="D213" s="5"/>
    </row>
    <row r="214" spans="1:4" x14ac:dyDescent="0.25">
      <c r="D214" s="5"/>
    </row>
    <row r="215" spans="1:4" x14ac:dyDescent="0.25">
      <c r="D215" s="5"/>
    </row>
    <row r="216" spans="1:4" x14ac:dyDescent="0.25">
      <c r="D216" s="5"/>
    </row>
    <row r="217" spans="1:4" x14ac:dyDescent="0.25">
      <c r="D217" s="5"/>
    </row>
    <row r="218" spans="1:4" x14ac:dyDescent="0.25">
      <c r="D218" s="5"/>
    </row>
    <row r="219" spans="1:4" x14ac:dyDescent="0.25">
      <c r="D219" s="5"/>
    </row>
    <row r="220" spans="1:4" x14ac:dyDescent="0.25">
      <c r="A220" s="2"/>
      <c r="D220" s="5"/>
    </row>
    <row r="221" spans="1:4" x14ac:dyDescent="0.25">
      <c r="D221" s="5"/>
    </row>
    <row r="222" spans="1:4" x14ac:dyDescent="0.25">
      <c r="D222" s="5"/>
    </row>
    <row r="223" spans="1:4" x14ac:dyDescent="0.25">
      <c r="D223" s="5"/>
    </row>
    <row r="224" spans="1:4" x14ac:dyDescent="0.25">
      <c r="D224" s="5"/>
    </row>
    <row r="225" spans="4:4" x14ac:dyDescent="0.25">
      <c r="D225" s="5"/>
    </row>
    <row r="226" spans="4:4" x14ac:dyDescent="0.25">
      <c r="D226" s="5"/>
    </row>
    <row r="227" spans="4:4" x14ac:dyDescent="0.25">
      <c r="D227" s="5"/>
    </row>
    <row r="228" spans="4:4" x14ac:dyDescent="0.25">
      <c r="D228" s="5"/>
    </row>
    <row r="229" spans="4:4" x14ac:dyDescent="0.25">
      <c r="D229" s="5"/>
    </row>
    <row r="230" spans="4:4" x14ac:dyDescent="0.25">
      <c r="D230" s="5"/>
    </row>
    <row r="231" spans="4:4" x14ac:dyDescent="0.25">
      <c r="D231" s="5"/>
    </row>
    <row r="232" spans="4:4" x14ac:dyDescent="0.25">
      <c r="D232" s="5"/>
    </row>
    <row r="233" spans="4:4" x14ac:dyDescent="0.25">
      <c r="D233" s="5"/>
    </row>
    <row r="234" spans="4:4" x14ac:dyDescent="0.25">
      <c r="D234" s="5"/>
    </row>
    <row r="235" spans="4:4" x14ac:dyDescent="0.25">
      <c r="D235" s="5"/>
    </row>
    <row r="236" spans="4:4" x14ac:dyDescent="0.25">
      <c r="D236" s="5"/>
    </row>
    <row r="237" spans="4:4" x14ac:dyDescent="0.25">
      <c r="D237" s="5"/>
    </row>
    <row r="238" spans="4:4" x14ac:dyDescent="0.25">
      <c r="D238" s="5"/>
    </row>
    <row r="239" spans="4:4" x14ac:dyDescent="0.25">
      <c r="D239" s="5"/>
    </row>
    <row r="240" spans="4:4" x14ac:dyDescent="0.25">
      <c r="D240" s="5"/>
    </row>
    <row r="241" spans="4:4" x14ac:dyDescent="0.25">
      <c r="D241" s="5"/>
    </row>
    <row r="242" spans="4:4" x14ac:dyDescent="0.25">
      <c r="D242" s="5"/>
    </row>
    <row r="243" spans="4:4" x14ac:dyDescent="0.25">
      <c r="D243" s="5"/>
    </row>
    <row r="244" spans="4:4" x14ac:dyDescent="0.25">
      <c r="D244" s="5"/>
    </row>
    <row r="245" spans="4:4" x14ac:dyDescent="0.25">
      <c r="D245" s="5"/>
    </row>
    <row r="246" spans="4:4" x14ac:dyDescent="0.25">
      <c r="D246" s="5"/>
    </row>
    <row r="247" spans="4:4" x14ac:dyDescent="0.25">
      <c r="D247" s="5"/>
    </row>
    <row r="248" spans="4:4" x14ac:dyDescent="0.25">
      <c r="D248" s="5"/>
    </row>
    <row r="249" spans="4:4" x14ac:dyDescent="0.25">
      <c r="D249" s="5"/>
    </row>
    <row r="250" spans="4:4" x14ac:dyDescent="0.25">
      <c r="D250" s="5"/>
    </row>
    <row r="251" spans="4:4" x14ac:dyDescent="0.25">
      <c r="D251" s="5"/>
    </row>
    <row r="252" spans="4:4" x14ac:dyDescent="0.25">
      <c r="D252" s="5"/>
    </row>
    <row r="253" spans="4:4" x14ac:dyDescent="0.25">
      <c r="D253" s="5"/>
    </row>
    <row r="254" spans="4:4" x14ac:dyDescent="0.25">
      <c r="D254" s="5"/>
    </row>
    <row r="255" spans="4:4" x14ac:dyDescent="0.25">
      <c r="D255" s="5"/>
    </row>
    <row r="256" spans="4:4" x14ac:dyDescent="0.25">
      <c r="D256" s="5"/>
    </row>
    <row r="257" spans="1:4" x14ac:dyDescent="0.25">
      <c r="D257" s="5"/>
    </row>
    <row r="258" spans="1:4" x14ac:dyDescent="0.25">
      <c r="D258" s="5"/>
    </row>
    <row r="259" spans="1:4" x14ac:dyDescent="0.25">
      <c r="D259" s="5"/>
    </row>
    <row r="260" spans="1:4" x14ac:dyDescent="0.25">
      <c r="D260" s="5"/>
    </row>
    <row r="261" spans="1:4" x14ac:dyDescent="0.25">
      <c r="D261" s="5"/>
    </row>
    <row r="262" spans="1:4" x14ac:dyDescent="0.25">
      <c r="D262" s="5"/>
    </row>
    <row r="263" spans="1:4" x14ac:dyDescent="0.25">
      <c r="D263" s="5"/>
    </row>
    <row r="264" spans="1:4" x14ac:dyDescent="0.25">
      <c r="D264" s="5"/>
    </row>
    <row r="265" spans="1:4" x14ac:dyDescent="0.25">
      <c r="D265" s="5"/>
    </row>
    <row r="266" spans="1:4" x14ac:dyDescent="0.25">
      <c r="D266" s="5"/>
    </row>
    <row r="267" spans="1:4" x14ac:dyDescent="0.25">
      <c r="D267" s="5"/>
    </row>
    <row r="268" spans="1:4" x14ac:dyDescent="0.25">
      <c r="A268" s="2"/>
      <c r="D268" s="5"/>
    </row>
    <row r="269" spans="1:4" x14ac:dyDescent="0.25">
      <c r="D269" s="5"/>
    </row>
    <row r="270" spans="1:4" x14ac:dyDescent="0.25">
      <c r="D270" s="5"/>
    </row>
    <row r="271" spans="1:4" x14ac:dyDescent="0.25">
      <c r="D271" s="5"/>
    </row>
    <row r="272" spans="1:4" x14ac:dyDescent="0.25">
      <c r="D272" s="5"/>
    </row>
    <row r="273" spans="1:4" x14ac:dyDescent="0.25">
      <c r="D273" s="5"/>
    </row>
    <row r="274" spans="1:4" x14ac:dyDescent="0.25">
      <c r="A274" s="2"/>
      <c r="D274" s="5"/>
    </row>
    <row r="275" spans="1:4" x14ac:dyDescent="0.25">
      <c r="D275" s="5"/>
    </row>
    <row r="276" spans="1:4" x14ac:dyDescent="0.25">
      <c r="D276" s="5"/>
    </row>
    <row r="277" spans="1:4" x14ac:dyDescent="0.25">
      <c r="D277" s="5"/>
    </row>
    <row r="278" spans="1:4" x14ac:dyDescent="0.25">
      <c r="D278" s="5"/>
    </row>
    <row r="279" spans="1:4" x14ac:dyDescent="0.25">
      <c r="D279" s="5"/>
    </row>
    <row r="280" spans="1:4" x14ac:dyDescent="0.25">
      <c r="D280" s="5"/>
    </row>
    <row r="296" spans="1:1" x14ac:dyDescent="0.25">
      <c r="A296" s="2"/>
    </row>
    <row r="304" spans="1:1" x14ac:dyDescent="0.25">
      <c r="A304" s="2"/>
    </row>
    <row r="330" spans="1:1" x14ac:dyDescent="0.25">
      <c r="A330" s="2"/>
    </row>
    <row r="365" spans="1:1" x14ac:dyDescent="0.25">
      <c r="A365" s="2"/>
    </row>
    <row r="372" spans="1:1" x14ac:dyDescent="0.25">
      <c r="A372" s="2"/>
    </row>
    <row r="395" spans="1:1" x14ac:dyDescent="0.25">
      <c r="A395" s="2"/>
    </row>
  </sheetData>
  <autoFilter ref="A1:C36">
    <sortState ref="A2:C36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1681</v>
      </c>
    </row>
    <row r="2" spans="1:3" ht="12.75" customHeight="1" thickBot="1" x14ac:dyDescent="0.3">
      <c r="A2" s="44" t="s">
        <v>1554</v>
      </c>
      <c r="B2" s="45" t="s">
        <v>1555</v>
      </c>
      <c r="C2" s="45" t="s">
        <v>1556</v>
      </c>
    </row>
    <row r="3" spans="1:3" ht="12.75" customHeight="1" thickBot="1" x14ac:dyDescent="0.3">
      <c r="A3" s="46" t="s">
        <v>1557</v>
      </c>
      <c r="B3" s="47" t="s">
        <v>1558</v>
      </c>
      <c r="C3" s="47" t="s">
        <v>1556</v>
      </c>
    </row>
    <row r="4" spans="1:3" ht="12.75" customHeight="1" thickBot="1" x14ac:dyDescent="0.3">
      <c r="A4" s="44" t="s">
        <v>1559</v>
      </c>
      <c r="B4" s="45" t="s">
        <v>1560</v>
      </c>
      <c r="C4" s="45" t="s">
        <v>1561</v>
      </c>
    </row>
    <row r="5" spans="1:3" ht="12.75" customHeight="1" thickBot="1" x14ac:dyDescent="0.3">
      <c r="A5" s="46" t="s">
        <v>1562</v>
      </c>
      <c r="B5" s="47" t="s">
        <v>1563</v>
      </c>
      <c r="C5" s="47" t="s">
        <v>1564</v>
      </c>
    </row>
    <row r="6" spans="1:3" ht="12.75" customHeight="1" thickBot="1" x14ac:dyDescent="0.3">
      <c r="A6" s="44" t="s">
        <v>1565</v>
      </c>
      <c r="B6" s="45" t="s">
        <v>1566</v>
      </c>
      <c r="C6" s="45" t="s">
        <v>1567</v>
      </c>
    </row>
    <row r="7" spans="1:3" ht="12.75" customHeight="1" thickBot="1" x14ac:dyDescent="0.3">
      <c r="A7" s="46" t="s">
        <v>1568</v>
      </c>
      <c r="B7" s="47" t="s">
        <v>1569</v>
      </c>
      <c r="C7" s="47" t="s">
        <v>1570</v>
      </c>
    </row>
    <row r="8" spans="1:3" ht="12.75" customHeight="1" thickBot="1" x14ac:dyDescent="0.3">
      <c r="A8" s="44" t="s">
        <v>1571</v>
      </c>
      <c r="B8" s="45" t="s">
        <v>1572</v>
      </c>
      <c r="C8" s="45" t="s">
        <v>1552</v>
      </c>
    </row>
    <row r="9" spans="1:3" ht="12.75" customHeight="1" thickBot="1" x14ac:dyDescent="0.3">
      <c r="A9" s="46" t="s">
        <v>1573</v>
      </c>
      <c r="B9" s="47" t="s">
        <v>1574</v>
      </c>
      <c r="C9" s="47" t="s">
        <v>1575</v>
      </c>
    </row>
    <row r="10" spans="1:3" ht="12.75" customHeight="1" thickBot="1" x14ac:dyDescent="0.3">
      <c r="A10" s="44" t="s">
        <v>1576</v>
      </c>
      <c r="B10" s="45" t="s">
        <v>1577</v>
      </c>
      <c r="C10" s="45" t="s">
        <v>1564</v>
      </c>
    </row>
    <row r="11" spans="1:3" ht="12.75" customHeight="1" thickBot="1" x14ac:dyDescent="0.3">
      <c r="A11" s="46" t="s">
        <v>1578</v>
      </c>
      <c r="B11" s="47" t="s">
        <v>1579</v>
      </c>
      <c r="C11" s="47" t="s">
        <v>1564</v>
      </c>
    </row>
    <row r="12" spans="1:3" ht="12.75" customHeight="1" thickBot="1" x14ac:dyDescent="0.3">
      <c r="A12" s="44" t="s">
        <v>1580</v>
      </c>
      <c r="B12" s="45" t="s">
        <v>1581</v>
      </c>
      <c r="C12" s="45" t="s">
        <v>1582</v>
      </c>
    </row>
    <row r="13" spans="1:3" ht="12.75" customHeight="1" thickBot="1" x14ac:dyDescent="0.3">
      <c r="A13" s="46" t="s">
        <v>1583</v>
      </c>
      <c r="B13" s="47" t="s">
        <v>1584</v>
      </c>
      <c r="C13" s="47" t="s">
        <v>1552</v>
      </c>
    </row>
    <row r="14" spans="1:3" ht="12.75" customHeight="1" thickBot="1" x14ac:dyDescent="0.3">
      <c r="A14" s="44" t="s">
        <v>1585</v>
      </c>
      <c r="B14" s="45" t="s">
        <v>1586</v>
      </c>
      <c r="C14" s="45" t="s">
        <v>1587</v>
      </c>
    </row>
    <row r="15" spans="1:3" ht="12.75" customHeight="1" thickBot="1" x14ac:dyDescent="0.3">
      <c r="A15" s="46" t="s">
        <v>1588</v>
      </c>
      <c r="B15" s="47" t="s">
        <v>1560</v>
      </c>
      <c r="C15" s="47" t="s">
        <v>1587</v>
      </c>
    </row>
    <row r="16" spans="1:3" ht="12.75" customHeight="1" thickBot="1" x14ac:dyDescent="0.3">
      <c r="A16" s="44" t="s">
        <v>1589</v>
      </c>
      <c r="B16" s="45" t="s">
        <v>1590</v>
      </c>
      <c r="C16" s="45" t="s">
        <v>1591</v>
      </c>
    </row>
    <row r="17" spans="1:3" ht="12.75" customHeight="1" thickBot="1" x14ac:dyDescent="0.3">
      <c r="A17" s="46" t="s">
        <v>1592</v>
      </c>
      <c r="B17" s="47" t="s">
        <v>1593</v>
      </c>
      <c r="C17" s="47" t="s">
        <v>1594</v>
      </c>
    </row>
    <row r="18" spans="1:3" ht="12.75" customHeight="1" thickBot="1" x14ac:dyDescent="0.3">
      <c r="A18" s="44" t="s">
        <v>1595</v>
      </c>
      <c r="B18" s="45" t="s">
        <v>1596</v>
      </c>
      <c r="C18" s="45" t="s">
        <v>1564</v>
      </c>
    </row>
    <row r="19" spans="1:3" ht="12.75" customHeight="1" thickBot="1" x14ac:dyDescent="0.3">
      <c r="A19" s="46" t="s">
        <v>1597</v>
      </c>
      <c r="B19" s="47" t="s">
        <v>1598</v>
      </c>
      <c r="C19" s="47" t="s">
        <v>1556</v>
      </c>
    </row>
    <row r="20" spans="1:3" ht="12.75" customHeight="1" thickBot="1" x14ac:dyDescent="0.3">
      <c r="A20" s="44" t="s">
        <v>1599</v>
      </c>
      <c r="B20" s="45" t="s">
        <v>1600</v>
      </c>
      <c r="C20" s="45" t="s">
        <v>1601</v>
      </c>
    </row>
    <row r="21" spans="1:3" ht="12.75" customHeight="1" thickBot="1" x14ac:dyDescent="0.3">
      <c r="A21" s="46" t="s">
        <v>1602</v>
      </c>
      <c r="B21" s="47" t="s">
        <v>1600</v>
      </c>
      <c r="C21" s="47" t="s">
        <v>1594</v>
      </c>
    </row>
    <row r="22" spans="1:3" ht="12.75" customHeight="1" thickBot="1" x14ac:dyDescent="0.3">
      <c r="A22" s="44" t="s">
        <v>1603</v>
      </c>
      <c r="B22" s="45" t="s">
        <v>1604</v>
      </c>
      <c r="C22" s="45" t="s">
        <v>1575</v>
      </c>
    </row>
    <row r="23" spans="1:3" ht="12.75" customHeight="1" thickBot="1" x14ac:dyDescent="0.3">
      <c r="A23" s="46" t="s">
        <v>1605</v>
      </c>
      <c r="B23" s="47" t="s">
        <v>1606</v>
      </c>
      <c r="C23" s="47" t="s">
        <v>1591</v>
      </c>
    </row>
    <row r="24" spans="1:3" ht="12.75" customHeight="1" thickBot="1" x14ac:dyDescent="0.3">
      <c r="A24" s="44" t="s">
        <v>1607</v>
      </c>
      <c r="B24" s="45" t="s">
        <v>1608</v>
      </c>
      <c r="C24" s="45" t="s">
        <v>1575</v>
      </c>
    </row>
    <row r="25" spans="1:3" ht="12.75" customHeight="1" thickBot="1" x14ac:dyDescent="0.3">
      <c r="A25" s="46" t="s">
        <v>1609</v>
      </c>
      <c r="B25" s="47" t="s">
        <v>1610</v>
      </c>
      <c r="C25" s="47" t="s">
        <v>1564</v>
      </c>
    </row>
    <row r="26" spans="1:3" ht="12.75" customHeight="1" thickBot="1" x14ac:dyDescent="0.3">
      <c r="A26" s="44" t="s">
        <v>1611</v>
      </c>
      <c r="B26" s="45" t="s">
        <v>1612</v>
      </c>
      <c r="C26" s="45" t="s">
        <v>1587</v>
      </c>
    </row>
    <row r="27" spans="1:3" ht="12.75" customHeight="1" thickBot="1" x14ac:dyDescent="0.3">
      <c r="A27" s="46" t="s">
        <v>1613</v>
      </c>
      <c r="B27" s="47" t="s">
        <v>1614</v>
      </c>
      <c r="C27" s="47" t="s">
        <v>1556</v>
      </c>
    </row>
    <row r="28" spans="1:3" ht="12.75" customHeight="1" thickBot="1" x14ac:dyDescent="0.3">
      <c r="A28" s="50" t="s">
        <v>1615</v>
      </c>
      <c r="B28" s="45" t="s">
        <v>1616</v>
      </c>
      <c r="C28" s="45" t="s">
        <v>1587</v>
      </c>
    </row>
    <row r="29" spans="1:3" ht="12.75" customHeight="1" thickBot="1" x14ac:dyDescent="0.3">
      <c r="A29" s="46" t="s">
        <v>1617</v>
      </c>
      <c r="B29" s="47" t="s">
        <v>1618</v>
      </c>
      <c r="C29" s="47" t="s">
        <v>1564</v>
      </c>
    </row>
    <row r="30" spans="1:3" ht="12.75" customHeight="1" thickBot="1" x14ac:dyDescent="0.3">
      <c r="A30" s="44" t="s">
        <v>1619</v>
      </c>
      <c r="B30" s="45" t="s">
        <v>1620</v>
      </c>
      <c r="C30" s="45" t="s">
        <v>1556</v>
      </c>
    </row>
    <row r="31" spans="1:3" ht="12.75" customHeight="1" thickBot="1" x14ac:dyDescent="0.3">
      <c r="A31" s="46" t="s">
        <v>1621</v>
      </c>
      <c r="B31" s="47" t="s">
        <v>1622</v>
      </c>
      <c r="C31" s="47" t="s">
        <v>1601</v>
      </c>
    </row>
    <row r="32" spans="1:3" ht="12.75" customHeight="1" thickBot="1" x14ac:dyDescent="0.3">
      <c r="A32" s="44" t="s">
        <v>1623</v>
      </c>
      <c r="B32" s="45" t="s">
        <v>1624</v>
      </c>
      <c r="C32" s="45" t="s">
        <v>1564</v>
      </c>
    </row>
    <row r="33" spans="1:3" ht="12.75" customHeight="1" thickBot="1" x14ac:dyDescent="0.3">
      <c r="A33" s="46" t="s">
        <v>1625</v>
      </c>
      <c r="B33" s="47" t="s">
        <v>1626</v>
      </c>
      <c r="C33" s="47" t="s">
        <v>1627</v>
      </c>
    </row>
    <row r="34" spans="1:3" ht="12.75" customHeight="1" thickBot="1" x14ac:dyDescent="0.3">
      <c r="A34" s="44" t="s">
        <v>1628</v>
      </c>
      <c r="B34" s="45" t="s">
        <v>1629</v>
      </c>
      <c r="C34" s="45" t="s">
        <v>1591</v>
      </c>
    </row>
    <row r="35" spans="1:3" ht="12.75" customHeight="1" thickBot="1" x14ac:dyDescent="0.3">
      <c r="A35" s="46" t="s">
        <v>1630</v>
      </c>
      <c r="B35" s="47" t="s">
        <v>1631</v>
      </c>
      <c r="C35" s="47" t="s">
        <v>1594</v>
      </c>
    </row>
    <row r="36" spans="1:3" ht="12.75" customHeight="1" thickBot="1" x14ac:dyDescent="0.3">
      <c r="A36" s="44" t="s">
        <v>1632</v>
      </c>
      <c r="B36" s="45" t="s">
        <v>1572</v>
      </c>
      <c r="C36" s="45" t="s">
        <v>1587</v>
      </c>
    </row>
    <row r="37" spans="1:3" ht="12.75" customHeight="1" thickBot="1" x14ac:dyDescent="0.3">
      <c r="A37" s="46" t="s">
        <v>1633</v>
      </c>
      <c r="B37" s="47" t="s">
        <v>1634</v>
      </c>
      <c r="C37" s="47" t="s">
        <v>1591</v>
      </c>
    </row>
    <row r="38" spans="1:3" ht="12.75" customHeight="1" thickBot="1" x14ac:dyDescent="0.3">
      <c r="A38" s="44" t="s">
        <v>1635</v>
      </c>
      <c r="B38" s="45" t="s">
        <v>1636</v>
      </c>
      <c r="C38" s="45" t="s">
        <v>1564</v>
      </c>
    </row>
    <row r="39" spans="1:3" ht="12.75" customHeight="1" thickBot="1" x14ac:dyDescent="0.3">
      <c r="A39" s="51" t="s">
        <v>1637</v>
      </c>
      <c r="B39" s="47" t="s">
        <v>1626</v>
      </c>
      <c r="C39" s="47" t="s">
        <v>1627</v>
      </c>
    </row>
    <row r="40" spans="1:3" ht="12.75" customHeight="1" thickBot="1" x14ac:dyDescent="0.3">
      <c r="A40" s="50" t="s">
        <v>1638</v>
      </c>
      <c r="B40" s="45" t="s">
        <v>1639</v>
      </c>
      <c r="C40" s="45" t="s">
        <v>1564</v>
      </c>
    </row>
    <row r="41" spans="1:3" ht="12.75" customHeight="1" thickBot="1" x14ac:dyDescent="0.3">
      <c r="A41" s="48" t="s">
        <v>1640</v>
      </c>
      <c r="B41" s="49" t="s">
        <v>1641</v>
      </c>
      <c r="C41" s="49" t="s">
        <v>1627</v>
      </c>
    </row>
    <row r="42" spans="1:3" ht="12.75" customHeight="1" thickBot="1" x14ac:dyDescent="0.3">
      <c r="A42" s="50" t="s">
        <v>1642</v>
      </c>
      <c r="B42" s="45" t="s">
        <v>1606</v>
      </c>
      <c r="C42" s="45" t="s">
        <v>1556</v>
      </c>
    </row>
    <row r="43" spans="1:3" ht="12.75" customHeight="1" thickBot="1" x14ac:dyDescent="0.3">
      <c r="A43" s="51" t="s">
        <v>1643</v>
      </c>
      <c r="B43" s="47" t="s">
        <v>1641</v>
      </c>
      <c r="C43" s="47" t="s">
        <v>1627</v>
      </c>
    </row>
    <row r="44" spans="1:3" ht="12.75" customHeight="1" thickBot="1" x14ac:dyDescent="0.3">
      <c r="A44" s="44" t="s">
        <v>1644</v>
      </c>
      <c r="B44" s="45" t="s">
        <v>1645</v>
      </c>
      <c r="C44" s="45" t="s">
        <v>1567</v>
      </c>
    </row>
    <row r="45" spans="1:3" ht="12.75" customHeight="1" thickBot="1" x14ac:dyDescent="0.3">
      <c r="A45" s="46" t="s">
        <v>1646</v>
      </c>
      <c r="B45" s="47" t="s">
        <v>1647</v>
      </c>
      <c r="C45" s="47" t="s">
        <v>1648</v>
      </c>
    </row>
    <row r="46" spans="1:3" ht="12.75" customHeight="1" thickBot="1" x14ac:dyDescent="0.3">
      <c r="A46" s="44" t="s">
        <v>1649</v>
      </c>
      <c r="B46" s="45" t="s">
        <v>1650</v>
      </c>
      <c r="C46" s="45" t="s">
        <v>1591</v>
      </c>
    </row>
    <row r="47" spans="1:3" ht="12.75" customHeight="1" thickBot="1" x14ac:dyDescent="0.3">
      <c r="A47" s="46" t="s">
        <v>1651</v>
      </c>
      <c r="B47" s="47" t="s">
        <v>1652</v>
      </c>
      <c r="C47" s="47" t="s">
        <v>1591</v>
      </c>
    </row>
    <row r="48" spans="1:3" ht="12.75" customHeight="1" thickBot="1" x14ac:dyDescent="0.3">
      <c r="A48" s="44" t="s">
        <v>1653</v>
      </c>
      <c r="B48" s="45" t="s">
        <v>1560</v>
      </c>
      <c r="C48" s="45" t="s">
        <v>1594</v>
      </c>
    </row>
    <row r="49" spans="1:3" ht="12.75" customHeight="1" thickBot="1" x14ac:dyDescent="0.3">
      <c r="A49" s="46" t="s">
        <v>1654</v>
      </c>
      <c r="B49" s="47" t="s">
        <v>1634</v>
      </c>
      <c r="C49" s="47" t="s">
        <v>1591</v>
      </c>
    </row>
    <row r="50" spans="1:3" ht="12.75" customHeight="1" thickBot="1" x14ac:dyDescent="0.3">
      <c r="A50" s="44" t="s">
        <v>1655</v>
      </c>
      <c r="B50" s="45" t="s">
        <v>1652</v>
      </c>
      <c r="C50" s="45" t="s">
        <v>1594</v>
      </c>
    </row>
    <row r="51" spans="1:3" ht="12.75" customHeight="1" thickBot="1" x14ac:dyDescent="0.3">
      <c r="A51" s="46" t="s">
        <v>1656</v>
      </c>
      <c r="B51" s="47" t="s">
        <v>1620</v>
      </c>
      <c r="C51" s="47" t="s">
        <v>1575</v>
      </c>
    </row>
    <row r="52" spans="1:3" ht="12.75" customHeight="1" thickBot="1" x14ac:dyDescent="0.3">
      <c r="A52" s="50" t="s">
        <v>1657</v>
      </c>
      <c r="B52" s="45" t="s">
        <v>1658</v>
      </c>
      <c r="C52" s="45" t="s">
        <v>1564</v>
      </c>
    </row>
    <row r="53" spans="1:3" ht="12.75" customHeight="1" thickBot="1" x14ac:dyDescent="0.3">
      <c r="A53" s="51" t="s">
        <v>1659</v>
      </c>
      <c r="B53" s="47" t="s">
        <v>1660</v>
      </c>
      <c r="C53" s="47" t="s">
        <v>1594</v>
      </c>
    </row>
    <row r="54" spans="1:3" ht="12.75" customHeight="1" thickBot="1" x14ac:dyDescent="0.3">
      <c r="A54" s="50" t="s">
        <v>1661</v>
      </c>
      <c r="B54" s="45" t="s">
        <v>1639</v>
      </c>
      <c r="C54" s="45" t="s">
        <v>1564</v>
      </c>
    </row>
    <row r="55" spans="1:3" ht="12.75" customHeight="1" thickBot="1" x14ac:dyDescent="0.3">
      <c r="A55" s="46" t="s">
        <v>1662</v>
      </c>
      <c r="B55" s="47" t="s">
        <v>1600</v>
      </c>
      <c r="C55" s="47" t="s">
        <v>1567</v>
      </c>
    </row>
    <row r="56" spans="1:3" ht="12.75" customHeight="1" thickBot="1" x14ac:dyDescent="0.3">
      <c r="A56" s="50" t="s">
        <v>1663</v>
      </c>
      <c r="B56" s="45" t="s">
        <v>1616</v>
      </c>
      <c r="C56" s="45" t="s">
        <v>1556</v>
      </c>
    </row>
    <row r="57" spans="1:3" ht="12.75" customHeight="1" thickBot="1" x14ac:dyDescent="0.3">
      <c r="A57" s="46" t="s">
        <v>1664</v>
      </c>
      <c r="B57" s="47" t="s">
        <v>1574</v>
      </c>
      <c r="C57" s="47" t="s">
        <v>1601</v>
      </c>
    </row>
    <row r="58" spans="1:3" ht="12.75" customHeight="1" thickBot="1" x14ac:dyDescent="0.3">
      <c r="A58" s="50" t="s">
        <v>1665</v>
      </c>
      <c r="B58" s="45" t="s">
        <v>1666</v>
      </c>
      <c r="C58" s="45" t="s">
        <v>1591</v>
      </c>
    </row>
    <row r="59" spans="1:3" ht="12.75" customHeight="1" thickBot="1" x14ac:dyDescent="0.3">
      <c r="A59" s="46" t="s">
        <v>1667</v>
      </c>
      <c r="B59" s="47" t="s">
        <v>1553</v>
      </c>
      <c r="C59" s="47" t="s">
        <v>1567</v>
      </c>
    </row>
    <row r="60" spans="1:3" ht="12.75" customHeight="1" thickBot="1" x14ac:dyDescent="0.3">
      <c r="A60" s="44" t="s">
        <v>1668</v>
      </c>
      <c r="B60" s="45" t="s">
        <v>1572</v>
      </c>
      <c r="C60" s="45" t="s">
        <v>1567</v>
      </c>
    </row>
    <row r="61" spans="1:3" ht="12.75" customHeight="1" thickBot="1" x14ac:dyDescent="0.3">
      <c r="A61" s="46" t="s">
        <v>1669</v>
      </c>
      <c r="B61" s="47" t="s">
        <v>1551</v>
      </c>
      <c r="C61" s="47" t="s">
        <v>1575</v>
      </c>
    </row>
    <row r="62" spans="1:3" ht="12.75" customHeight="1" thickBot="1" x14ac:dyDescent="0.3">
      <c r="A62" s="44" t="s">
        <v>1670</v>
      </c>
      <c r="B62" s="45" t="s">
        <v>1631</v>
      </c>
      <c r="C62" s="45" t="s">
        <v>1594</v>
      </c>
    </row>
    <row r="63" spans="1:3" ht="12.75" customHeight="1" thickBot="1" x14ac:dyDescent="0.3">
      <c r="A63" s="46" t="s">
        <v>1671</v>
      </c>
      <c r="B63" s="47" t="s">
        <v>1622</v>
      </c>
      <c r="C63" s="47" t="s">
        <v>1564</v>
      </c>
    </row>
    <row r="64" spans="1:3" ht="12.75" customHeight="1" thickBot="1" x14ac:dyDescent="0.3">
      <c r="A64" s="48" t="s">
        <v>1672</v>
      </c>
      <c r="B64" s="49" t="s">
        <v>1673</v>
      </c>
      <c r="C64" s="49" t="s">
        <v>1575</v>
      </c>
    </row>
    <row r="65" spans="1:3" ht="12.75" customHeight="1" thickBot="1" x14ac:dyDescent="0.3">
      <c r="A65" s="46" t="s">
        <v>1674</v>
      </c>
      <c r="B65" s="47" t="s">
        <v>1675</v>
      </c>
      <c r="C65" s="47" t="s">
        <v>1556</v>
      </c>
    </row>
    <row r="66" spans="1:3" ht="12.75" customHeight="1" thickBot="1" x14ac:dyDescent="0.3">
      <c r="A66" s="44" t="s">
        <v>1676</v>
      </c>
      <c r="B66" s="45" t="s">
        <v>1677</v>
      </c>
      <c r="C66" s="45" t="s">
        <v>1575</v>
      </c>
    </row>
    <row r="67" spans="1:3" ht="12.75" customHeight="1" thickBot="1" x14ac:dyDescent="0.3">
      <c r="A67" s="46" t="s">
        <v>1678</v>
      </c>
      <c r="B67" s="47" t="s">
        <v>1606</v>
      </c>
      <c r="C67" s="47" t="s">
        <v>1587</v>
      </c>
    </row>
    <row r="68" spans="1:3" ht="12.75" customHeight="1" thickBot="1" x14ac:dyDescent="0.3">
      <c r="A68" s="52" t="s">
        <v>1679</v>
      </c>
      <c r="B68" s="49" t="s">
        <v>1680</v>
      </c>
      <c r="C68" s="49" t="s">
        <v>1567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1"/>
  <sheetViews>
    <sheetView zoomScaleNormal="100" workbookViewId="0">
      <selection activeCell="I6" sqref="I6"/>
    </sheetView>
  </sheetViews>
  <sheetFormatPr defaultRowHeight="15" x14ac:dyDescent="0.25"/>
  <cols>
    <col min="1" max="1" width="14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  <col min="7" max="7" width="12.28515625" bestFit="1" customWidth="1"/>
    <col min="10" max="10" width="29.85546875" bestFit="1" customWidth="1"/>
    <col min="11" max="11" width="14.140625" bestFit="1" customWidth="1"/>
  </cols>
  <sheetData>
    <row r="1" spans="1:16" x14ac:dyDescent="0.25">
      <c r="A1" t="s">
        <v>3008</v>
      </c>
      <c r="B1" t="s">
        <v>3009</v>
      </c>
      <c r="C1" t="s">
        <v>3010</v>
      </c>
      <c r="D1" t="s">
        <v>3011</v>
      </c>
      <c r="E1" t="s">
        <v>1991</v>
      </c>
      <c r="F1" t="s">
        <v>160</v>
      </c>
      <c r="G1" t="s">
        <v>3020</v>
      </c>
      <c r="H1" t="s">
        <v>3021</v>
      </c>
      <c r="I1" t="s">
        <v>3788</v>
      </c>
      <c r="J1" t="s">
        <v>3789</v>
      </c>
      <c r="K1" t="s">
        <v>3790</v>
      </c>
      <c r="L1" s="30" t="s">
        <v>3021</v>
      </c>
    </row>
    <row r="2" spans="1:16" x14ac:dyDescent="0.25">
      <c r="A2" t="s">
        <v>3805</v>
      </c>
      <c r="B2" s="72" t="s">
        <v>3826</v>
      </c>
      <c r="C2">
        <v>13766</v>
      </c>
      <c r="D2">
        <v>2058.5777777799999</v>
      </c>
      <c r="E2">
        <v>598</v>
      </c>
      <c r="F2" t="s">
        <v>3019</v>
      </c>
      <c r="G2">
        <v>100</v>
      </c>
      <c r="H2" s="73"/>
      <c r="I2" s="1" t="s">
        <v>3806</v>
      </c>
      <c r="J2" t="s">
        <v>3791</v>
      </c>
      <c r="K2" t="s">
        <v>3792</v>
      </c>
      <c r="L2" s="74">
        <f t="shared" ref="L2:L18" si="0">B2/G2*100</f>
        <v>84</v>
      </c>
    </row>
    <row r="3" spans="1:16" x14ac:dyDescent="0.25">
      <c r="A3" t="s">
        <v>3809</v>
      </c>
      <c r="B3" s="30">
        <v>65</v>
      </c>
      <c r="C3">
        <v>13766</v>
      </c>
      <c r="D3">
        <v>2034.02222222</v>
      </c>
      <c r="E3">
        <v>471</v>
      </c>
      <c r="F3" t="s">
        <v>3019</v>
      </c>
      <c r="G3">
        <v>100</v>
      </c>
      <c r="H3" s="73"/>
      <c r="I3" t="s">
        <v>3810</v>
      </c>
      <c r="J3" t="s">
        <v>3791</v>
      </c>
      <c r="K3" t="s">
        <v>3792</v>
      </c>
      <c r="L3" s="74">
        <f t="shared" si="0"/>
        <v>65</v>
      </c>
    </row>
    <row r="4" spans="1:16" x14ac:dyDescent="0.25">
      <c r="A4" t="s">
        <v>3824</v>
      </c>
      <c r="B4" s="30">
        <v>18</v>
      </c>
      <c r="C4">
        <v>10407</v>
      </c>
      <c r="D4">
        <v>2644</v>
      </c>
      <c r="E4">
        <v>605</v>
      </c>
      <c r="F4" t="s">
        <v>3019</v>
      </c>
      <c r="G4">
        <v>50</v>
      </c>
      <c r="H4" s="73"/>
      <c r="I4" t="s">
        <v>3801</v>
      </c>
      <c r="J4" t="s">
        <v>3791</v>
      </c>
      <c r="K4" t="s">
        <v>3792</v>
      </c>
      <c r="L4" s="74">
        <f t="shared" si="0"/>
        <v>36</v>
      </c>
    </row>
    <row r="5" spans="1:16" x14ac:dyDescent="0.25">
      <c r="A5" t="s">
        <v>3825</v>
      </c>
      <c r="B5" s="30">
        <v>18</v>
      </c>
      <c r="C5">
        <v>23489</v>
      </c>
      <c r="D5">
        <v>3842.5789473700002</v>
      </c>
      <c r="E5">
        <v>598</v>
      </c>
      <c r="F5" t="s">
        <v>3019</v>
      </c>
      <c r="G5">
        <v>50</v>
      </c>
      <c r="H5" s="73"/>
      <c r="I5" t="s">
        <v>3802</v>
      </c>
      <c r="J5" t="s">
        <v>3791</v>
      </c>
      <c r="K5" t="s">
        <v>3792</v>
      </c>
      <c r="L5" s="74">
        <f t="shared" si="0"/>
        <v>36</v>
      </c>
    </row>
    <row r="6" spans="1:16" x14ac:dyDescent="0.25">
      <c r="A6" t="s">
        <v>3821</v>
      </c>
      <c r="B6" s="30">
        <v>35</v>
      </c>
      <c r="C6">
        <v>10407</v>
      </c>
      <c r="D6">
        <v>1364.28571429</v>
      </c>
      <c r="E6">
        <v>160</v>
      </c>
      <c r="F6" t="s">
        <v>3019</v>
      </c>
      <c r="G6">
        <v>100</v>
      </c>
      <c r="H6" s="73"/>
      <c r="I6" s="1" t="s">
        <v>3797</v>
      </c>
      <c r="J6" t="s">
        <v>3791</v>
      </c>
      <c r="K6" t="s">
        <v>3792</v>
      </c>
      <c r="L6" s="74">
        <f t="shared" si="0"/>
        <v>35</v>
      </c>
    </row>
    <row r="7" spans="1:16" x14ac:dyDescent="0.25">
      <c r="A7" t="s">
        <v>3813</v>
      </c>
      <c r="B7" s="72" t="s">
        <v>3800</v>
      </c>
      <c r="C7">
        <v>10407</v>
      </c>
      <c r="D7">
        <v>3153.8823529400001</v>
      </c>
      <c r="E7">
        <v>1755</v>
      </c>
      <c r="F7" t="s">
        <v>3019</v>
      </c>
      <c r="G7">
        <v>50</v>
      </c>
      <c r="H7" s="73"/>
      <c r="I7" t="s">
        <v>3814</v>
      </c>
      <c r="J7" t="s">
        <v>3791</v>
      </c>
      <c r="K7" t="s">
        <v>3792</v>
      </c>
      <c r="L7" s="74">
        <f t="shared" si="0"/>
        <v>34</v>
      </c>
    </row>
    <row r="8" spans="1:16" x14ac:dyDescent="0.25">
      <c r="A8" t="s">
        <v>3803</v>
      </c>
      <c r="B8" s="30">
        <v>16</v>
      </c>
      <c r="C8">
        <v>10407</v>
      </c>
      <c r="D8">
        <v>3123.1875</v>
      </c>
      <c r="E8">
        <v>1334</v>
      </c>
      <c r="F8" t="s">
        <v>3019</v>
      </c>
      <c r="G8">
        <v>50</v>
      </c>
      <c r="H8" s="73"/>
      <c r="I8" t="s">
        <v>3804</v>
      </c>
      <c r="J8" t="s">
        <v>3791</v>
      </c>
      <c r="K8" t="s">
        <v>3792</v>
      </c>
      <c r="L8" s="74">
        <f t="shared" si="0"/>
        <v>32</v>
      </c>
      <c r="O8" s="30"/>
      <c r="P8" s="30"/>
    </row>
    <row r="9" spans="1:16" x14ac:dyDescent="0.25">
      <c r="A9" t="s">
        <v>3818</v>
      </c>
      <c r="B9" s="30">
        <v>29</v>
      </c>
      <c r="C9">
        <v>10407</v>
      </c>
      <c r="D9">
        <v>1669.9333333300001</v>
      </c>
      <c r="E9">
        <v>575.5</v>
      </c>
      <c r="F9" t="s">
        <v>3019</v>
      </c>
      <c r="G9">
        <v>100</v>
      </c>
      <c r="H9" s="73"/>
      <c r="I9" t="s">
        <v>3796</v>
      </c>
      <c r="J9" t="s">
        <v>3791</v>
      </c>
      <c r="K9" t="s">
        <v>3792</v>
      </c>
      <c r="L9" s="74">
        <f t="shared" si="0"/>
        <v>28.999999999999996</v>
      </c>
    </row>
    <row r="10" spans="1:16" x14ac:dyDescent="0.25">
      <c r="A10" t="s">
        <v>3823</v>
      </c>
      <c r="B10" s="30">
        <v>28</v>
      </c>
      <c r="C10">
        <v>10407</v>
      </c>
      <c r="D10">
        <v>1810.44827586</v>
      </c>
      <c r="E10">
        <v>761</v>
      </c>
      <c r="F10" t="s">
        <v>3019</v>
      </c>
      <c r="G10">
        <v>100</v>
      </c>
      <c r="H10" s="73"/>
      <c r="I10" t="s">
        <v>3799</v>
      </c>
      <c r="J10" t="s">
        <v>3791</v>
      </c>
      <c r="K10" t="s">
        <v>3792</v>
      </c>
      <c r="L10" s="74">
        <f t="shared" si="0"/>
        <v>28.000000000000004</v>
      </c>
    </row>
    <row r="11" spans="1:16" x14ac:dyDescent="0.25">
      <c r="A11" t="s">
        <v>3807</v>
      </c>
      <c r="B11" s="30">
        <v>14</v>
      </c>
      <c r="C11">
        <v>10407</v>
      </c>
      <c r="D11">
        <v>3485</v>
      </c>
      <c r="E11">
        <v>2363</v>
      </c>
      <c r="F11" t="s">
        <v>3019</v>
      </c>
      <c r="G11">
        <v>50</v>
      </c>
      <c r="H11" s="73"/>
      <c r="I11" t="s">
        <v>3808</v>
      </c>
      <c r="J11" t="s">
        <v>3791</v>
      </c>
      <c r="K11" t="s">
        <v>3792</v>
      </c>
      <c r="L11" s="74">
        <f t="shared" si="0"/>
        <v>28.000000000000004</v>
      </c>
    </row>
    <row r="12" spans="1:16" x14ac:dyDescent="0.25">
      <c r="A12" t="s">
        <v>3817</v>
      </c>
      <c r="B12" s="30">
        <v>20</v>
      </c>
      <c r="C12">
        <v>10407</v>
      </c>
      <c r="D12">
        <v>1878.6</v>
      </c>
      <c r="E12">
        <v>616</v>
      </c>
      <c r="F12" t="s">
        <v>3019</v>
      </c>
      <c r="G12">
        <v>100</v>
      </c>
      <c r="H12" s="73"/>
      <c r="I12" t="s">
        <v>3795</v>
      </c>
      <c r="J12" t="s">
        <v>3791</v>
      </c>
      <c r="K12" t="s">
        <v>3792</v>
      </c>
      <c r="L12" s="74">
        <f t="shared" si="0"/>
        <v>20</v>
      </c>
    </row>
    <row r="13" spans="1:16" x14ac:dyDescent="0.25">
      <c r="A13" t="s">
        <v>3828</v>
      </c>
      <c r="B13" s="30">
        <v>7</v>
      </c>
      <c r="C13">
        <v>6571</v>
      </c>
      <c r="D13">
        <v>1563.375</v>
      </c>
      <c r="E13">
        <v>924.5</v>
      </c>
      <c r="F13" t="s">
        <v>3019</v>
      </c>
      <c r="G13">
        <v>100</v>
      </c>
      <c r="H13" s="73"/>
      <c r="I13" t="s">
        <v>3812</v>
      </c>
      <c r="J13" t="s">
        <v>3791</v>
      </c>
      <c r="K13" t="s">
        <v>3792</v>
      </c>
      <c r="L13" s="74">
        <f t="shared" si="0"/>
        <v>7.0000000000000009</v>
      </c>
    </row>
    <row r="14" spans="1:16" x14ac:dyDescent="0.25">
      <c r="A14" t="s">
        <v>3793</v>
      </c>
      <c r="B14" s="30">
        <v>3</v>
      </c>
      <c r="C14">
        <v>3541</v>
      </c>
      <c r="D14">
        <v>1858.33333333</v>
      </c>
      <c r="E14">
        <v>1755</v>
      </c>
      <c r="F14" t="s">
        <v>3019</v>
      </c>
      <c r="G14">
        <v>50</v>
      </c>
      <c r="H14" s="73"/>
      <c r="I14" t="s">
        <v>3794</v>
      </c>
      <c r="J14" t="s">
        <v>3791</v>
      </c>
      <c r="K14" t="s">
        <v>3792</v>
      </c>
      <c r="L14" s="74">
        <f t="shared" si="0"/>
        <v>6</v>
      </c>
    </row>
    <row r="15" spans="1:16" x14ac:dyDescent="0.25">
      <c r="A15" t="s">
        <v>3822</v>
      </c>
      <c r="B15" s="30">
        <v>4</v>
      </c>
      <c r="C15">
        <v>3541</v>
      </c>
      <c r="D15">
        <v>1432</v>
      </c>
      <c r="E15">
        <v>785</v>
      </c>
      <c r="F15" t="s">
        <v>3019</v>
      </c>
      <c r="G15">
        <v>100</v>
      </c>
      <c r="H15" s="73"/>
      <c r="I15" t="s">
        <v>3798</v>
      </c>
      <c r="J15" t="s">
        <v>3791</v>
      </c>
      <c r="K15" t="s">
        <v>3792</v>
      </c>
      <c r="L15" s="74">
        <f t="shared" si="0"/>
        <v>4</v>
      </c>
    </row>
    <row r="16" spans="1:16" x14ac:dyDescent="0.25">
      <c r="A16" t="s">
        <v>3816</v>
      </c>
      <c r="B16" s="30">
        <v>3</v>
      </c>
      <c r="C16">
        <v>2083</v>
      </c>
      <c r="D16">
        <v>726</v>
      </c>
      <c r="E16">
        <v>93</v>
      </c>
      <c r="F16" t="s">
        <v>3019</v>
      </c>
      <c r="G16">
        <v>100</v>
      </c>
      <c r="H16" s="73"/>
      <c r="I16" s="1" t="s">
        <v>3815</v>
      </c>
      <c r="J16" t="s">
        <v>3791</v>
      </c>
      <c r="K16" t="s">
        <v>3792</v>
      </c>
      <c r="L16" s="74">
        <f t="shared" si="0"/>
        <v>3</v>
      </c>
    </row>
    <row r="17" spans="1:12" x14ac:dyDescent="0.25">
      <c r="A17" t="s">
        <v>3827</v>
      </c>
      <c r="B17" s="30">
        <v>3</v>
      </c>
      <c r="C17">
        <v>3541</v>
      </c>
      <c r="D17">
        <v>1786.25</v>
      </c>
      <c r="E17">
        <v>1441</v>
      </c>
      <c r="F17" t="s">
        <v>3019</v>
      </c>
      <c r="G17">
        <v>100</v>
      </c>
      <c r="H17" s="73"/>
      <c r="I17" t="s">
        <v>3811</v>
      </c>
      <c r="J17" t="s">
        <v>3791</v>
      </c>
      <c r="K17" t="s">
        <v>3792</v>
      </c>
      <c r="L17" s="74">
        <f t="shared" si="0"/>
        <v>3</v>
      </c>
    </row>
    <row r="18" spans="1:12" x14ac:dyDescent="0.25">
      <c r="A18" t="s">
        <v>3819</v>
      </c>
      <c r="B18" s="30">
        <v>2</v>
      </c>
      <c r="C18">
        <v>6571</v>
      </c>
      <c r="D18">
        <v>3909</v>
      </c>
      <c r="E18">
        <v>3909</v>
      </c>
      <c r="F18" t="s">
        <v>3019</v>
      </c>
      <c r="G18">
        <v>100</v>
      </c>
      <c r="H18" s="73"/>
      <c r="I18" t="s">
        <v>3820</v>
      </c>
      <c r="J18" t="s">
        <v>3791</v>
      </c>
      <c r="K18" t="s">
        <v>3792</v>
      </c>
      <c r="L18" s="74">
        <f t="shared" si="0"/>
        <v>2</v>
      </c>
    </row>
    <row r="19" spans="1:12" x14ac:dyDescent="0.25">
      <c r="B19" s="30"/>
      <c r="H19" s="73"/>
      <c r="L19" s="75"/>
    </row>
    <row r="20" spans="1:12" x14ac:dyDescent="0.25">
      <c r="B20" s="30"/>
      <c r="H20" s="73"/>
    </row>
    <row r="21" spans="1:12" x14ac:dyDescent="0.25">
      <c r="B21" s="72"/>
      <c r="H21" s="73"/>
    </row>
    <row r="22" spans="1:12" x14ac:dyDescent="0.25">
      <c r="B22" s="30"/>
      <c r="H22" s="73"/>
    </row>
    <row r="23" spans="1:12" x14ac:dyDescent="0.25">
      <c r="B23" s="72"/>
      <c r="H23" s="73"/>
    </row>
    <row r="24" spans="1:12" x14ac:dyDescent="0.25">
      <c r="B24" s="30"/>
      <c r="H24" s="73"/>
    </row>
    <row r="25" spans="1:12" x14ac:dyDescent="0.25">
      <c r="H25" s="73"/>
    </row>
    <row r="26" spans="1:12" x14ac:dyDescent="0.25">
      <c r="B26" s="72"/>
      <c r="H26" s="73"/>
    </row>
    <row r="27" spans="1:12" x14ac:dyDescent="0.25">
      <c r="B27" s="30"/>
      <c r="H27" s="73"/>
    </row>
    <row r="28" spans="1:12" x14ac:dyDescent="0.25">
      <c r="B28" s="30"/>
      <c r="H28" s="73"/>
    </row>
    <row r="29" spans="1:12" x14ac:dyDescent="0.25">
      <c r="B29" s="30"/>
      <c r="H29" s="73"/>
    </row>
    <row r="30" spans="1:12" x14ac:dyDescent="0.25">
      <c r="B30" s="30"/>
      <c r="H30" s="73"/>
    </row>
    <row r="31" spans="1:12" x14ac:dyDescent="0.25">
      <c r="B31" s="72"/>
      <c r="H31" s="73"/>
    </row>
    <row r="32" spans="1:12" x14ac:dyDescent="0.25">
      <c r="B32" s="30"/>
      <c r="H32" s="73"/>
    </row>
    <row r="33" spans="2:8" x14ac:dyDescent="0.25">
      <c r="B33" s="30"/>
      <c r="H33" s="73"/>
    </row>
    <row r="34" spans="2:8" x14ac:dyDescent="0.25">
      <c r="B34" s="30"/>
      <c r="H34" s="73"/>
    </row>
    <row r="35" spans="2:8" x14ac:dyDescent="0.25">
      <c r="B35" s="30"/>
      <c r="H35" s="73"/>
    </row>
    <row r="36" spans="2:8" x14ac:dyDescent="0.25">
      <c r="B36" s="30"/>
      <c r="H36" s="73"/>
    </row>
    <row r="37" spans="2:8" x14ac:dyDescent="0.25">
      <c r="B37" s="30"/>
      <c r="H37" s="73"/>
    </row>
    <row r="38" spans="2:8" x14ac:dyDescent="0.25">
      <c r="B38" s="72"/>
      <c r="H38" s="73"/>
    </row>
    <row r="39" spans="2:8" x14ac:dyDescent="0.25">
      <c r="B39" s="30"/>
      <c r="H39" s="73"/>
    </row>
    <row r="40" spans="2:8" x14ac:dyDescent="0.25">
      <c r="B40" s="30"/>
      <c r="H40" s="73"/>
    </row>
    <row r="41" spans="2:8" x14ac:dyDescent="0.25">
      <c r="B41" s="30"/>
      <c r="H41" s="73"/>
    </row>
    <row r="42" spans="2:8" x14ac:dyDescent="0.25">
      <c r="B42" s="72"/>
      <c r="H42" s="73"/>
    </row>
    <row r="43" spans="2:8" x14ac:dyDescent="0.25">
      <c r="B43" s="72"/>
      <c r="H43" s="73"/>
    </row>
    <row r="44" spans="2:8" x14ac:dyDescent="0.25">
      <c r="B44" s="72"/>
      <c r="H44" s="73"/>
    </row>
    <row r="45" spans="2:8" x14ac:dyDescent="0.25">
      <c r="H45" s="73"/>
    </row>
    <row r="46" spans="2:8" x14ac:dyDescent="0.25">
      <c r="H46" s="73"/>
    </row>
    <row r="47" spans="2:8" x14ac:dyDescent="0.25">
      <c r="B47" s="30"/>
      <c r="H47" s="73"/>
    </row>
    <row r="48" spans="2:8" x14ac:dyDescent="0.25">
      <c r="B48" s="30"/>
      <c r="H48" s="73"/>
    </row>
    <row r="49" spans="2:8" x14ac:dyDescent="0.25">
      <c r="H49" s="73"/>
    </row>
    <row r="50" spans="2:8" x14ac:dyDescent="0.25">
      <c r="H50" s="73"/>
    </row>
    <row r="51" spans="2:8" x14ac:dyDescent="0.25">
      <c r="H51" s="73"/>
    </row>
    <row r="52" spans="2:8" x14ac:dyDescent="0.25">
      <c r="B52" s="30"/>
      <c r="H52" s="73"/>
    </row>
    <row r="53" spans="2:8" x14ac:dyDescent="0.25">
      <c r="H53" s="73"/>
    </row>
    <row r="54" spans="2:8" x14ac:dyDescent="0.25">
      <c r="B54" s="72"/>
      <c r="H54" s="73"/>
    </row>
    <row r="55" spans="2:8" x14ac:dyDescent="0.25">
      <c r="B55" s="30"/>
      <c r="H55" s="73"/>
    </row>
    <row r="56" spans="2:8" x14ac:dyDescent="0.25">
      <c r="B56" s="30"/>
      <c r="H56" s="73"/>
    </row>
    <row r="57" spans="2:8" x14ac:dyDescent="0.25">
      <c r="B57" s="30"/>
      <c r="H57" s="73"/>
    </row>
    <row r="58" spans="2:8" x14ac:dyDescent="0.25">
      <c r="B58" s="30"/>
      <c r="H58" s="73"/>
    </row>
    <row r="59" spans="2:8" x14ac:dyDescent="0.25">
      <c r="B59" s="30"/>
      <c r="H59" s="73"/>
    </row>
    <row r="60" spans="2:8" x14ac:dyDescent="0.25">
      <c r="B60" s="30"/>
      <c r="H60" s="73"/>
    </row>
    <row r="61" spans="2:8" x14ac:dyDescent="0.25">
      <c r="B61" s="30"/>
      <c r="H61" s="73"/>
    </row>
    <row r="62" spans="2:8" x14ac:dyDescent="0.25">
      <c r="B62" s="30"/>
      <c r="H62" s="73"/>
    </row>
    <row r="63" spans="2:8" x14ac:dyDescent="0.25">
      <c r="H63" s="73"/>
    </row>
    <row r="64" spans="2:8" x14ac:dyDescent="0.25">
      <c r="B64" s="30"/>
      <c r="H64" s="73"/>
    </row>
    <row r="65" spans="2:8" x14ac:dyDescent="0.25">
      <c r="B65" s="30"/>
      <c r="H65" s="73"/>
    </row>
    <row r="66" spans="2:8" x14ac:dyDescent="0.25">
      <c r="H66" s="73"/>
    </row>
    <row r="67" spans="2:8" x14ac:dyDescent="0.25">
      <c r="H67" s="73"/>
    </row>
    <row r="68" spans="2:8" x14ac:dyDescent="0.25">
      <c r="B68" s="72"/>
      <c r="H68" s="73"/>
    </row>
    <row r="69" spans="2:8" x14ac:dyDescent="0.25">
      <c r="B69" s="30"/>
      <c r="H69" s="73"/>
    </row>
    <row r="70" spans="2:8" x14ac:dyDescent="0.25">
      <c r="B70" s="72"/>
      <c r="H70" s="73"/>
    </row>
    <row r="71" spans="2:8" x14ac:dyDescent="0.25">
      <c r="H71" s="73"/>
    </row>
    <row r="72" spans="2:8" x14ac:dyDescent="0.25">
      <c r="H72" s="73"/>
    </row>
    <row r="73" spans="2:8" x14ac:dyDescent="0.25">
      <c r="B73" s="30"/>
      <c r="H73" s="73"/>
    </row>
    <row r="74" spans="2:8" x14ac:dyDescent="0.25">
      <c r="B74" s="30"/>
      <c r="H74" s="73"/>
    </row>
    <row r="75" spans="2:8" x14ac:dyDescent="0.25">
      <c r="B75" s="30"/>
      <c r="H75" s="73"/>
    </row>
    <row r="76" spans="2:8" x14ac:dyDescent="0.25">
      <c r="B76" s="30"/>
      <c r="H76" s="73"/>
    </row>
    <row r="77" spans="2:8" x14ac:dyDescent="0.25">
      <c r="H77" s="73"/>
    </row>
    <row r="78" spans="2:8" x14ac:dyDescent="0.25">
      <c r="B78" s="30"/>
      <c r="H78" s="73"/>
    </row>
    <row r="79" spans="2:8" x14ac:dyDescent="0.25">
      <c r="B79" s="30"/>
      <c r="H79" s="73"/>
    </row>
    <row r="80" spans="2:8" x14ac:dyDescent="0.25">
      <c r="H80" s="73"/>
    </row>
    <row r="81" spans="2:8" x14ac:dyDescent="0.25">
      <c r="B81" s="30"/>
      <c r="H81" s="73"/>
    </row>
    <row r="82" spans="2:8" x14ac:dyDescent="0.25">
      <c r="B82" s="30"/>
      <c r="H82" s="73"/>
    </row>
    <row r="83" spans="2:8" x14ac:dyDescent="0.25">
      <c r="B83" s="30"/>
      <c r="H83" s="73"/>
    </row>
    <row r="84" spans="2:8" x14ac:dyDescent="0.25">
      <c r="B84" s="30"/>
      <c r="H84" s="73"/>
    </row>
    <row r="85" spans="2:8" x14ac:dyDescent="0.25">
      <c r="H85" s="73"/>
    </row>
    <row r="86" spans="2:8" x14ac:dyDescent="0.25">
      <c r="B86" s="72"/>
      <c r="H86" s="73"/>
    </row>
    <row r="87" spans="2:8" x14ac:dyDescent="0.25">
      <c r="H87" s="73"/>
    </row>
    <row r="88" spans="2:8" x14ac:dyDescent="0.25">
      <c r="H88" s="73"/>
    </row>
    <row r="89" spans="2:8" x14ac:dyDescent="0.25">
      <c r="H89" s="73"/>
    </row>
    <row r="90" spans="2:8" x14ac:dyDescent="0.25">
      <c r="B90" s="30"/>
      <c r="H90" s="73"/>
    </row>
    <row r="91" spans="2:8" x14ac:dyDescent="0.25">
      <c r="B91" s="72"/>
      <c r="H91" s="73"/>
    </row>
    <row r="92" spans="2:8" x14ac:dyDescent="0.25">
      <c r="H92" s="73"/>
    </row>
    <row r="93" spans="2:8" x14ac:dyDescent="0.25">
      <c r="H93" s="73"/>
    </row>
    <row r="94" spans="2:8" x14ac:dyDescent="0.25">
      <c r="B94" s="30"/>
      <c r="H94" s="73"/>
    </row>
    <row r="95" spans="2:8" x14ac:dyDescent="0.25">
      <c r="H95" s="73"/>
    </row>
    <row r="96" spans="2:8" x14ac:dyDescent="0.25">
      <c r="B96" s="72"/>
      <c r="H96" s="73"/>
    </row>
    <row r="97" spans="2:8" x14ac:dyDescent="0.25">
      <c r="H97" s="73"/>
    </row>
    <row r="98" spans="2:8" x14ac:dyDescent="0.25">
      <c r="B98" s="30"/>
      <c r="H98" s="73"/>
    </row>
    <row r="99" spans="2:8" x14ac:dyDescent="0.25">
      <c r="H99" s="73"/>
    </row>
    <row r="100" spans="2:8" x14ac:dyDescent="0.25">
      <c r="H100" s="73"/>
    </row>
    <row r="101" spans="2:8" x14ac:dyDescent="0.25">
      <c r="B101" s="30"/>
      <c r="H101" s="73"/>
    </row>
    <row r="102" spans="2:8" x14ac:dyDescent="0.25">
      <c r="B102" s="72"/>
      <c r="H102" s="73"/>
    </row>
    <row r="103" spans="2:8" x14ac:dyDescent="0.25">
      <c r="H103" s="73"/>
    </row>
    <row r="104" spans="2:8" x14ac:dyDescent="0.25">
      <c r="H104" s="73"/>
    </row>
    <row r="105" spans="2:8" x14ac:dyDescent="0.25">
      <c r="H105" s="73"/>
    </row>
    <row r="106" spans="2:8" x14ac:dyDescent="0.25">
      <c r="B106" s="30"/>
      <c r="H106" s="73"/>
    </row>
    <row r="107" spans="2:8" x14ac:dyDescent="0.25">
      <c r="H107" s="73"/>
    </row>
    <row r="108" spans="2:8" x14ac:dyDescent="0.25">
      <c r="H108" s="73"/>
    </row>
    <row r="109" spans="2:8" x14ac:dyDescent="0.25">
      <c r="H109" s="73"/>
    </row>
    <row r="110" spans="2:8" x14ac:dyDescent="0.25">
      <c r="B110" s="30"/>
      <c r="H110" s="73"/>
    </row>
    <row r="111" spans="2:8" x14ac:dyDescent="0.25">
      <c r="H111" s="73"/>
    </row>
    <row r="112" spans="2:8" x14ac:dyDescent="0.25">
      <c r="B112" s="72"/>
      <c r="H112" s="73"/>
    </row>
    <row r="113" spans="2:8" x14ac:dyDescent="0.25">
      <c r="H113" s="73"/>
    </row>
    <row r="114" spans="2:8" x14ac:dyDescent="0.25">
      <c r="H114" s="73"/>
    </row>
    <row r="115" spans="2:8" x14ac:dyDescent="0.25">
      <c r="B115" s="30"/>
      <c r="H115" s="73"/>
    </row>
    <row r="116" spans="2:8" x14ac:dyDescent="0.25">
      <c r="H116" s="73"/>
    </row>
    <row r="117" spans="2:8" x14ac:dyDescent="0.25">
      <c r="H117" s="73"/>
    </row>
    <row r="118" spans="2:8" x14ac:dyDescent="0.25">
      <c r="B118" s="30"/>
      <c r="H118" s="73"/>
    </row>
    <row r="119" spans="2:8" x14ac:dyDescent="0.25">
      <c r="H119" s="73"/>
    </row>
    <row r="120" spans="2:8" x14ac:dyDescent="0.25">
      <c r="H120" s="73"/>
    </row>
    <row r="121" spans="2:8" x14ac:dyDescent="0.25">
      <c r="H121" s="73"/>
    </row>
    <row r="122" spans="2:8" x14ac:dyDescent="0.25">
      <c r="H122" s="73"/>
    </row>
    <row r="123" spans="2:8" x14ac:dyDescent="0.25">
      <c r="H123" s="73"/>
    </row>
    <row r="124" spans="2:8" x14ac:dyDescent="0.25">
      <c r="H124" s="73"/>
    </row>
    <row r="125" spans="2:8" x14ac:dyDescent="0.25">
      <c r="B125" s="30"/>
      <c r="H125" s="73"/>
    </row>
    <row r="126" spans="2:8" x14ac:dyDescent="0.25">
      <c r="B126" s="30"/>
      <c r="H126" s="73"/>
    </row>
    <row r="127" spans="2:8" x14ac:dyDescent="0.25">
      <c r="B127" s="30"/>
      <c r="H127" s="73"/>
    </row>
    <row r="128" spans="2:8" x14ac:dyDescent="0.25">
      <c r="H128" s="73"/>
    </row>
    <row r="129" spans="2:8" x14ac:dyDescent="0.25">
      <c r="B129" s="30"/>
      <c r="H129" s="73"/>
    </row>
    <row r="130" spans="2:8" x14ac:dyDescent="0.25">
      <c r="H130" s="73"/>
    </row>
    <row r="131" spans="2:8" x14ac:dyDescent="0.25">
      <c r="B131" s="72"/>
      <c r="H131" s="73"/>
    </row>
    <row r="132" spans="2:8" x14ac:dyDescent="0.25">
      <c r="H132" s="73"/>
    </row>
    <row r="133" spans="2:8" x14ac:dyDescent="0.25">
      <c r="B133" s="30"/>
      <c r="H133" s="73"/>
    </row>
    <row r="134" spans="2:8" x14ac:dyDescent="0.25">
      <c r="B134" s="30"/>
      <c r="H134" s="73"/>
    </row>
    <row r="135" spans="2:8" x14ac:dyDescent="0.25">
      <c r="H135" s="73"/>
    </row>
    <row r="136" spans="2:8" x14ac:dyDescent="0.25">
      <c r="H136" s="73"/>
    </row>
    <row r="137" spans="2:8" x14ac:dyDescent="0.25">
      <c r="H137" s="73"/>
    </row>
    <row r="138" spans="2:8" x14ac:dyDescent="0.25">
      <c r="H138" s="73"/>
    </row>
    <row r="139" spans="2:8" x14ac:dyDescent="0.25">
      <c r="B139" s="30"/>
      <c r="H139" s="73"/>
    </row>
    <row r="140" spans="2:8" x14ac:dyDescent="0.25">
      <c r="H140" s="73"/>
    </row>
    <row r="141" spans="2:8" x14ac:dyDescent="0.25">
      <c r="B141" s="30"/>
      <c r="H141" s="73"/>
    </row>
    <row r="142" spans="2:8" x14ac:dyDescent="0.25">
      <c r="H142" s="73"/>
    </row>
    <row r="143" spans="2:8" x14ac:dyDescent="0.25">
      <c r="H143" s="73"/>
    </row>
    <row r="144" spans="2:8" x14ac:dyDescent="0.25">
      <c r="B144" s="30"/>
      <c r="H144" s="73"/>
    </row>
    <row r="145" spans="2:8" x14ac:dyDescent="0.25">
      <c r="H145" s="73"/>
    </row>
    <row r="146" spans="2:8" x14ac:dyDescent="0.25">
      <c r="H146" s="73"/>
    </row>
    <row r="147" spans="2:8" x14ac:dyDescent="0.25">
      <c r="H147" s="73"/>
    </row>
    <row r="148" spans="2:8" x14ac:dyDescent="0.25">
      <c r="B148" s="30"/>
      <c r="H148" s="73"/>
    </row>
    <row r="149" spans="2:8" x14ac:dyDescent="0.25">
      <c r="H149" s="73"/>
    </row>
    <row r="150" spans="2:8" x14ac:dyDescent="0.25">
      <c r="B150" s="72"/>
      <c r="H150" s="73"/>
    </row>
    <row r="151" spans="2:8" x14ac:dyDescent="0.25">
      <c r="B151" s="72"/>
      <c r="H151" s="73"/>
    </row>
    <row r="152" spans="2:8" x14ac:dyDescent="0.25">
      <c r="H152" s="73"/>
    </row>
    <row r="153" spans="2:8" x14ac:dyDescent="0.25">
      <c r="H153" s="73"/>
    </row>
    <row r="154" spans="2:8" x14ac:dyDescent="0.25">
      <c r="H154" s="73"/>
    </row>
    <row r="155" spans="2:8" x14ac:dyDescent="0.25">
      <c r="H155" s="73"/>
    </row>
    <row r="156" spans="2:8" x14ac:dyDescent="0.25">
      <c r="H156" s="73"/>
    </row>
    <row r="157" spans="2:8" x14ac:dyDescent="0.25">
      <c r="B157" s="30"/>
      <c r="H157" s="73"/>
    </row>
    <row r="158" spans="2:8" x14ac:dyDescent="0.25">
      <c r="B158" s="30"/>
      <c r="H158" s="73"/>
    </row>
    <row r="159" spans="2:8" x14ac:dyDescent="0.25">
      <c r="B159" s="30"/>
      <c r="H159" s="73"/>
    </row>
    <row r="160" spans="2:8" x14ac:dyDescent="0.25">
      <c r="H160" s="73"/>
    </row>
    <row r="161" spans="8:8" x14ac:dyDescent="0.25">
      <c r="H161" s="73"/>
    </row>
  </sheetData>
  <autoFilter ref="A1:L18">
    <sortState ref="A2:L26">
      <sortCondition descending="1" ref="L1:L26"/>
    </sortState>
  </autoFilter>
  <hyperlinks>
    <hyperlink ref="I2" r:id="rId1"/>
    <hyperlink ref="I6" r:id="rId2"/>
  </hyperlinks>
  <pageMargins left="0.7" right="0.7" top="0.75" bottom="0.75" header="0.3" footer="0.3"/>
  <pageSetup orientation="portrait" horizontalDpi="0" verticalDpi="0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16</vt:i4>
      </vt:variant>
    </vt:vector>
  </HeadingPairs>
  <TitlesOfParts>
    <vt:vector size="31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stadium data</vt:lpstr>
      <vt:lpstr>Sheet1</vt:lpstr>
      <vt:lpstr>Sheet2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2015-08-16T16:52:02Z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