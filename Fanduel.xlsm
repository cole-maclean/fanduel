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90" windowWidth="10320" windowHeight="8535" tabRatio="721" firstSheet="1" activeTab="4"/>
  </bookViews>
  <sheets>
    <sheet name="_ironspread_data_" sheetId="4" state="veryHidden" r:id="rId1"/>
    <sheet name="To Do" sheetId="8" r:id="rId2"/>
    <sheet name="Dashboard" sheetId="3" r:id="rId3"/>
    <sheet name="Backtest_Parameters" sheetId="19" r:id="rId4"/>
    <sheet name="Backtest_Output" sheetId="21" r:id="rId5"/>
    <sheet name="Parameters" sheetId="6" r:id="rId6"/>
    <sheet name="Player Mapping" sheetId="9" r:id="rId7"/>
    <sheet name="Player Map" sheetId="11" r:id="rId8"/>
    <sheet name="Roster" sheetId="10" r:id="rId9"/>
    <sheet name="Best Contests" sheetId="12" r:id="rId10"/>
    <sheet name="Performance Monitoring" sheetId="13" r:id="rId11"/>
    <sheet name="Team Map" sheetId="14" r:id="rId12"/>
    <sheet name="Output" sheetId="17" r:id="rId13"/>
    <sheet name="Output (2)" sheetId="20" r:id="rId14"/>
  </sheets>
  <definedNames>
    <definedName name="_xlnm._FilterDatabase" localSheetId="12" hidden="1">Output!$A$1:$B$21</definedName>
    <definedName name="_xlnm._FilterDatabase" localSheetId="13" hidden="1">'Output (2)'!$A$1:$B$21</definedName>
    <definedName name="_xlnm._FilterDatabase" localSheetId="7" hidden="1">'Player Map'!$E$1:$J$118</definedName>
    <definedName name="_xlnm._FilterDatabase" localSheetId="6" hidden="1">'Player Mapping'!#REF!</definedName>
    <definedName name="_xlnm._FilterDatabase" localSheetId="1" hidden="1">'To Do'!$A$1:$H$22</definedName>
    <definedName name="cl1st" localSheetId="13">#REF!</definedName>
    <definedName name="cl1st">#REF!</definedName>
    <definedName name="cl2nd" localSheetId="13">#REF!</definedName>
    <definedName name="cl2nd">#REF!</definedName>
    <definedName name="cl3rd" localSheetId="13">#REF!</definedName>
    <definedName name="cl3rd">#REF!</definedName>
    <definedName name="cLastDataDate" localSheetId="3">Backtest_Parameters!#REF!</definedName>
    <definedName name="cLastDataDate" localSheetId="13">Parameters!#REF!</definedName>
    <definedName name="cLastDataDate">Parameters!#REF!</definedName>
    <definedName name="clAwayScore" localSheetId="13">#REF!</definedName>
    <definedName name="clAwayScore">#REF!</definedName>
    <definedName name="clBatter" localSheetId="13">#REF!</definedName>
    <definedName name="clBatter">#REF!</definedName>
    <definedName name="clBCLastRow" localSheetId="3">Backtest_Parameters!#REF!</definedName>
    <definedName name="clBCLastRow">Parameters!$B$7</definedName>
    <definedName name="clDFNNBA" localSheetId="3">Backtest_Parameters!$B$4</definedName>
    <definedName name="clDFNNBA" localSheetId="13">Parameters!#REF!</definedName>
    <definedName name="clDFNNBA">Parameters!#REF!</definedName>
    <definedName name="clEntryLimit" localSheetId="3">Backtest_Parameters!#REF!</definedName>
    <definedName name="clEntryLimit">Parameters!$B$5</definedName>
    <definedName name="clEvent" localSheetId="13">#REF!</definedName>
    <definedName name="clEvent">#REF!</definedName>
    <definedName name="clEventDes" localSheetId="3">#REF!</definedName>
    <definedName name="clEventDes" localSheetId="13">#REF!</definedName>
    <definedName name="clEventDes">#REF!</definedName>
    <definedName name="clEventDesc" localSheetId="13">#REF!</definedName>
    <definedName name="clEventDesc">#REF!</definedName>
    <definedName name="clHomeScore" localSheetId="13">#REF!</definedName>
    <definedName name="clHomeScore">#REF!</definedName>
    <definedName name="cLineUpURL" localSheetId="3">Backtest_Parameters!#REF!</definedName>
    <definedName name="cLineUpURL">Parameters!$B$2</definedName>
    <definedName name="clInning" localSheetId="13">#REF!</definedName>
    <definedName name="clInning">#REF!</definedName>
    <definedName name="clLastDate" localSheetId="3">Backtest_Parameters!$B$3</definedName>
    <definedName name="clLastDate" localSheetId="13">Parameters!#REF!</definedName>
    <definedName name="clLastDate">Parameters!#REF!</definedName>
    <definedName name="clLastGameDataID" localSheetId="3">Backtest_Parameters!#REF!</definedName>
    <definedName name="clLastGameDataID">Parameters!$B$3</definedName>
    <definedName name="clLineupsCache" localSheetId="3">Backtest_Parameters!#REF!</definedName>
    <definedName name="clLineupsCache">Parameters!$B$4</definedName>
    <definedName name="clMaxAvgWins" localSheetId="3">Backtest_Parameters!#REF!</definedName>
    <definedName name="clMaxAvgWins">Parameters!$B$6</definedName>
    <definedName name="clMLBTeamsLocations" localSheetId="3">Backtest_Parameters!#REF!</definedName>
    <definedName name="clMLBTeamsLocations" localSheetId="13">Parameters!#REF!</definedName>
    <definedName name="clMLBTeamsLocations">Parameters!#REF!</definedName>
    <definedName name="clOut" localSheetId="13">#REF!</definedName>
    <definedName name="clOut">#REF!</definedName>
    <definedName name="clPitch" localSheetId="13">#REF!</definedName>
    <definedName name="clPitch">#REF!</definedName>
    <definedName name="clPitcher" localSheetId="13">#REF!</definedName>
    <definedName name="clPitcher">#REF!</definedName>
    <definedName name="clPMLastRow" localSheetId="3">Backtest_Parameters!#REF!</definedName>
    <definedName name="clPMLastRow">Parameters!$B$8</definedName>
    <definedName name="clRNMLB">Backtest_Parameters!$B$10</definedName>
    <definedName name="clRNNBA">Backtest_Parameters!$B$8</definedName>
    <definedName name="clRNNHL">Backtest_Parameters!$B$9</definedName>
    <definedName name="clRWMLB" localSheetId="3">Backtest_Parameters!$B$6</definedName>
    <definedName name="clRWMLB" localSheetId="13">Parameters!#REF!</definedName>
    <definedName name="clRWMLB">Parameters!#REF!</definedName>
    <definedName name="clRWNBA" localSheetId="3">Backtest_Parameters!$B$5</definedName>
    <definedName name="clRWNBA" localSheetId="13">Parameters!#REF!</definedName>
    <definedName name="clRWNBA">Parameters!#REF!</definedName>
    <definedName name="clRWNHL">Backtest_Parameters!$B$7</definedName>
    <definedName name="clUserWinsCache" localSheetId="3">Backtest_Parameters!#REF!</definedName>
    <definedName name="clUserWinsCache" localSheetId="13">Parameters!#REF!</definedName>
    <definedName name="clUserWinsCache">Parameters!#REF!</definedName>
    <definedName name="cSalaryCap" localSheetId="3">Backtest_Parameters!#REF!</definedName>
    <definedName name="cSalaryCap" localSheetId="13">Parameters!#REF!</definedName>
    <definedName name="cSalaryCap">Parameters!#REF!</definedName>
    <definedName name="cStatsURL" localSheetId="3">Backtest_Parameters!#REF!</definedName>
    <definedName name="cStatsURL" localSheetId="13">Parameters!#REF!</definedName>
    <definedName name="cStatsURL">Parameters!#REF!</definedName>
    <definedName name="cTeamLocationDict" localSheetId="3">Backtest_Parameters!#REF!</definedName>
    <definedName name="cTeamLocationDict" localSheetId="13">Parameters!#REF!</definedName>
    <definedName name="cTeamLocationDict">Parameters!#REF!</definedName>
    <definedName name="cUserWinsCache" localSheetId="3">Backtest_Parameters!#REF!</definedName>
    <definedName name="cUserWinsCache" localSheetId="13">Parameters!#REF!</definedName>
    <definedName name="cUserWinsCache">Parameters!#REF!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45621"/>
  <pivotCaches>
    <pivotCache cacheId="1" r:id="rId15"/>
  </pivotCaches>
</workbook>
</file>

<file path=xl/calcChain.xml><?xml version="1.0" encoding="utf-8"?>
<calcChain xmlns="http://schemas.openxmlformats.org/spreadsheetml/2006/main">
  <c r="G2" i="21" l="1"/>
  <c r="G50" i="21"/>
  <c r="G48" i="21"/>
  <c r="G49" i="21"/>
  <c r="G3" i="21" l="1"/>
  <c r="G4" i="2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D3" i="20" l="1"/>
  <c r="D2" i="20"/>
  <c r="B8" i="6" l="1"/>
  <c r="B7" i="6" l="1"/>
</calcChain>
</file>

<file path=xl/sharedStrings.xml><?xml version="1.0" encoding="utf-8"?>
<sst xmlns="http://schemas.openxmlformats.org/spreadsheetml/2006/main" count="2846" uniqueCount="1627">
  <si>
    <t>n_scripts_list</t>
  </si>
  <si>
    <t>script_name_0</t>
  </si>
  <si>
    <t>script_path_0</t>
  </si>
  <si>
    <t>Strategy</t>
  </si>
  <si>
    <t>Value</t>
  </si>
  <si>
    <t>script_name_1</t>
  </si>
  <si>
    <t>script_path_1</t>
  </si>
  <si>
    <t>script_name_2</t>
  </si>
  <si>
    <t>script_path_2</t>
  </si>
  <si>
    <t>script_name_3</t>
  </si>
  <si>
    <t>script_path_3</t>
  </si>
  <si>
    <t>main.py</t>
  </si>
  <si>
    <t>script_name_4</t>
  </si>
  <si>
    <t>script_path_4</t>
  </si>
  <si>
    <t>Task</t>
  </si>
  <si>
    <t>Description</t>
  </si>
  <si>
    <t>Priority</t>
  </si>
  <si>
    <t>Map player names</t>
  </si>
  <si>
    <t>Need to map mismatched fanduel/NHL player names</t>
  </si>
  <si>
    <t>Data Scrapping</t>
  </si>
  <si>
    <t>Comments</t>
  </si>
  <si>
    <t>Scrape Confirmed Player Lineups</t>
  </si>
  <si>
    <t>Data Quality Assurance</t>
  </si>
  <si>
    <t>Find and scrape data source for confirmed player lineups, incorporate into player universe</t>
  </si>
  <si>
    <t>Vegas Startegy</t>
  </si>
  <si>
    <t>implement Vegas strategy</t>
  </si>
  <si>
    <t>Tune Avg_ToI # of games parameter</t>
  </si>
  <si>
    <t>the Avg_ToI startegy currently takes an arbitrary previous game limit parameter to determine the historical games to avg. Need to "tune" this paramter to determine the optimal # of previous games to use</t>
  </si>
  <si>
    <t>Status</t>
  </si>
  <si>
    <t>Not Started</t>
  </si>
  <si>
    <t>Avg_ToI strategy</t>
  </si>
  <si>
    <t>Vegas Strategy</t>
  </si>
  <si>
    <t>Avg_ToI fix avg with 0's</t>
  </si>
  <si>
    <t>Avg_ToI strategy currently includes 0's in the avg, need to disinclude</t>
  </si>
  <si>
    <t>Testing</t>
  </si>
  <si>
    <t>Need to start building test suite</t>
  </si>
  <si>
    <t>Update game stats</t>
  </si>
  <si>
    <t>Need to track last game data scrap and scrape new games before building roster</t>
  </si>
  <si>
    <t>Complete</t>
  </si>
  <si>
    <t>Done</t>
  </si>
  <si>
    <t>Version Control</t>
  </si>
  <si>
    <t>Need to setup (and learn) version control</t>
  </si>
  <si>
    <t>Data Model Documentation</t>
  </si>
  <si>
    <t>The data model is getting pretty crazy (ie. player_data_dict[player_data[1][1]]['Position']) Need to document for easy comprehension</t>
  </si>
  <si>
    <t>Documentation</t>
  </si>
  <si>
    <t>Unique player and players/team constraints</t>
  </si>
  <si>
    <t>Optimization</t>
  </si>
  <si>
    <t>On Hold</t>
  </si>
  <si>
    <t>In Progress</t>
  </si>
  <si>
    <t>Salary Constraint</t>
  </si>
  <si>
    <t>Currently picking arbitrary number for lower bound of salary (53000). Need to determine best # to use. might vary for strategy. May need to be "Tuned"</t>
  </si>
  <si>
    <t>Display Rosters ToI per player</t>
  </si>
  <si>
    <t>Need to output rosters optimization paramters, ie Avg_ToI</t>
  </si>
  <si>
    <t>Output</t>
  </si>
  <si>
    <t>Ensure starting goalie names same as player list names</t>
  </si>
  <si>
    <t>Will need to test that all starting goalies name from website scrape match player_data_dict</t>
  </si>
  <si>
    <t>Quality Assurance</t>
  </si>
  <si>
    <t>Incorporated starting goalies</t>
  </si>
  <si>
    <t>Parameter</t>
  </si>
  <si>
    <t>Last Game DataID</t>
  </si>
  <si>
    <t>Fanduel URL</t>
  </si>
  <si>
    <t>Christopher Higgins</t>
  </si>
  <si>
    <t>Chris Higgins</t>
  </si>
  <si>
    <t>Christopher Tanev</t>
  </si>
  <si>
    <t>TJ Brodie</t>
  </si>
  <si>
    <t>T.J. Brodie</t>
  </si>
  <si>
    <t>Matthew Nieto</t>
  </si>
  <si>
    <t>Matt Nieto</t>
  </si>
  <si>
    <t>Alexander Ovechkin</t>
  </si>
  <si>
    <t>Michael Cammalleri</t>
  </si>
  <si>
    <t>Mike Cammalleri</t>
  </si>
  <si>
    <t>Jacob Muzzin</t>
  </si>
  <si>
    <t>Jake Muzzin</t>
  </si>
  <si>
    <t>Alexandre Burrows</t>
  </si>
  <si>
    <t>Danny DeKeyser</t>
  </si>
  <si>
    <t>Alex Burrows</t>
  </si>
  <si>
    <t>Nikolai Kulemin</t>
  </si>
  <si>
    <t>Nikolay Kulemin</t>
  </si>
  <si>
    <t>Dan DeKeyser</t>
  </si>
  <si>
    <t>Chris Tanev</t>
  </si>
  <si>
    <t>Jon Quick</t>
  </si>
  <si>
    <t>Jonathan Quick</t>
  </si>
  <si>
    <t>Set up tracking. Refactored scraping module to allow for incorporation with roster selection algo with sys.exit() on URL failure</t>
  </si>
  <si>
    <t>Implemented manual strategy, need to eventually automate</t>
  </si>
  <si>
    <t>Fanduel rules of unique player and &lt;=4 players per team not incorporate</t>
  </si>
  <si>
    <t>Weak Player Strategy</t>
  </si>
  <si>
    <t>Scrape availible fanduel contests and select contests with weakest (least wins) oppenents</t>
  </si>
  <si>
    <t>Bankroll Management Strategy</t>
  </si>
  <si>
    <t>Need to develop and implement a bankroll strategy ie. nightly bankroll bet %, contest selection, etc.</t>
  </si>
  <si>
    <t>Bankroll Managemnt</t>
  </si>
  <si>
    <t>Performance Monitoring</t>
  </si>
  <si>
    <t>Need to develop and implement performance monitoring strategy and automate strategy selection based on performance</t>
  </si>
  <si>
    <t>Need to define "Least wins", ie lowest max, average, lowest sum, some threshold? This should be combined with the bankroll management and performance monitoring to fully automate nightly contest selection</t>
  </si>
  <si>
    <t>Modularize Strategies</t>
  </si>
  <si>
    <t>Need to refactor strategies to be modular so they can be arbitrarly combined.</t>
  </si>
  <si>
    <t>Refactor</t>
  </si>
  <si>
    <t>Password security</t>
  </si>
  <si>
    <t>program currently needs my password, currently manually entering and deleting, need to implement better system</t>
  </si>
  <si>
    <t>Security</t>
  </si>
  <si>
    <t>Steve Pinizzotto</t>
  </si>
  <si>
    <t>Steven Pinizzotto</t>
  </si>
  <si>
    <t>Tobias Enstrom</t>
  </si>
  <si>
    <t>Toby Enstrom</t>
  </si>
  <si>
    <t>Pierre Parenteau</t>
  </si>
  <si>
    <t>Pierre-Alexandre Parenteau</t>
  </si>
  <si>
    <t>Max Talbot</t>
  </si>
  <si>
    <t>Maxime Talbot</t>
  </si>
  <si>
    <t>Danny Briere</t>
  </si>
  <si>
    <t>Daniel Briere</t>
  </si>
  <si>
    <t>Contest URL</t>
  </si>
  <si>
    <t>Avg Top 25% Wins</t>
  </si>
  <si>
    <t>Matthew Carle</t>
  </si>
  <si>
    <t>Cameron Talbot</t>
  </si>
  <si>
    <t>Cam Talbot</t>
  </si>
  <si>
    <t>Daniel Girardi</t>
  </si>
  <si>
    <t>Dan Girardi</t>
  </si>
  <si>
    <t>Mats Zuccarello Aasen</t>
  </si>
  <si>
    <t>Mats Zuccarello</t>
  </si>
  <si>
    <t>ContestID</t>
  </si>
  <si>
    <t>Size</t>
  </si>
  <si>
    <t>Cost</t>
  </si>
  <si>
    <t>Winnings</t>
  </si>
  <si>
    <t>DailyFaceoff TeamID</t>
  </si>
  <si>
    <t>Player Data TeamID</t>
  </si>
  <si>
    <t>ANA</t>
  </si>
  <si>
    <t>ARI</t>
  </si>
  <si>
    <t>BOS</t>
  </si>
  <si>
    <t>CGY</t>
  </si>
  <si>
    <t>CAR</t>
  </si>
  <si>
    <t>CHI</t>
  </si>
  <si>
    <t>COL</t>
  </si>
  <si>
    <t>DAL</t>
  </si>
  <si>
    <t>DET</t>
  </si>
  <si>
    <t>BUF</t>
  </si>
  <si>
    <t>CBJ</t>
  </si>
  <si>
    <t>EDM</t>
  </si>
  <si>
    <t>FLA</t>
  </si>
  <si>
    <t>LAK</t>
  </si>
  <si>
    <t>MIN</t>
  </si>
  <si>
    <t>MTL</t>
  </si>
  <si>
    <t>NAS</t>
  </si>
  <si>
    <t>NJD</t>
  </si>
  <si>
    <t>NYI</t>
  </si>
  <si>
    <t>NYR</t>
  </si>
  <si>
    <t>OTT</t>
  </si>
  <si>
    <t>PHI</t>
  </si>
  <si>
    <t>PIT</t>
  </si>
  <si>
    <t>SJS</t>
  </si>
  <si>
    <t>STL</t>
  </si>
  <si>
    <t>TBL</t>
  </si>
  <si>
    <t>TOR</t>
  </si>
  <si>
    <t>VAN</t>
  </si>
  <si>
    <t>WIN</t>
  </si>
  <si>
    <t>Lineups Cache</t>
  </si>
  <si>
    <t>Matt Carle</t>
  </si>
  <si>
    <t>C</t>
  </si>
  <si>
    <t>LW</t>
  </si>
  <si>
    <t>RW</t>
  </si>
  <si>
    <t>D</t>
  </si>
  <si>
    <t>G</t>
  </si>
  <si>
    <t>Avg_Line_Goals*Avg_ToI</t>
  </si>
  <si>
    <t>Contest Type</t>
  </si>
  <si>
    <t>Daily Entry Limit</t>
  </si>
  <si>
    <t>Max Avg Wins Threshold</t>
  </si>
  <si>
    <t>Contest Date</t>
  </si>
  <si>
    <t>Player</t>
  </si>
  <si>
    <t>Team</t>
  </si>
  <si>
    <t>Position</t>
  </si>
  <si>
    <t>Salary</t>
  </si>
  <si>
    <t>Row Labels</t>
  </si>
  <si>
    <t>Grand Total</t>
  </si>
  <si>
    <t>Sum of Profit</t>
  </si>
  <si>
    <t>Sum of ROI</t>
  </si>
  <si>
    <t>Rank</t>
  </si>
  <si>
    <t>Place</t>
  </si>
  <si>
    <t>Matt Martin</t>
  </si>
  <si>
    <t>Matt Irwin</t>
  </si>
  <si>
    <t>Ryan Carter</t>
  </si>
  <si>
    <t>Andrew Cogliano</t>
  </si>
  <si>
    <t>Chad Johnson</t>
  </si>
  <si>
    <t>Nathan Gerbe</t>
  </si>
  <si>
    <t>Nathan MacKinnon</t>
  </si>
  <si>
    <t>Shawn Horcoff</t>
  </si>
  <si>
    <t>Jonathan Ericsson</t>
  </si>
  <si>
    <t>Matt Dumba</t>
  </si>
  <si>
    <t>Brian Elliott</t>
  </si>
  <si>
    <t>Chris Stewart</t>
  </si>
  <si>
    <t>Chris Kreider</t>
  </si>
  <si>
    <t>Chris Kelly</t>
  </si>
  <si>
    <t>Jack Johnson</t>
  </si>
  <si>
    <t>Colin Wilson</t>
  </si>
  <si>
    <t>Tomas Kopecky</t>
  </si>
  <si>
    <t>Thomas Greiss</t>
  </si>
  <si>
    <t>Jordan Eberle</t>
  </si>
  <si>
    <t>Matt Ellis</t>
  </si>
  <si>
    <t>Implemented process, continous effort. Needs to be implemented for player lineups</t>
  </si>
  <si>
    <t>This is hard, maybe rely on tweaking parameters until constraints are avoided (ie Manual)</t>
  </si>
  <si>
    <t>Store in local text file?</t>
  </si>
  <si>
    <t>Matt Greene</t>
  </si>
  <si>
    <t>Matt Fraser</t>
  </si>
  <si>
    <t>Matt Niskanen</t>
  </si>
  <si>
    <t>Learn sublime text tricks</t>
  </si>
  <si>
    <t>Need to learn how to use sublimetext better</t>
  </si>
  <si>
    <t>Education</t>
  </si>
  <si>
    <t>CS 258 - Software testing</t>
  </si>
  <si>
    <t>CS 212 - Design of computer programs</t>
  </si>
  <si>
    <t>Schedule</t>
  </si>
  <si>
    <t>C:\Users\Cole\Desktop\FanDuel\fanduel\modules\main.py</t>
  </si>
  <si>
    <t>database_operations.py</t>
  </si>
  <si>
    <t>C:\Users\Cole\Desktop\FanDuel\fanduel\modules\database_operations.py</t>
  </si>
  <si>
    <t>Chris Tierney</t>
  </si>
  <si>
    <t>Ryan Strome</t>
  </si>
  <si>
    <t>Ryan Miller</t>
  </si>
  <si>
    <t>Jared Cowen</t>
  </si>
  <si>
    <t>Ian Cole</t>
  </si>
  <si>
    <t>Matt Cullen</t>
  </si>
  <si>
    <t>Matt Read</t>
  </si>
  <si>
    <t>Scott Harrington</t>
  </si>
  <si>
    <t>Scott Hartnell</t>
  </si>
  <si>
    <t>Scott Hannan</t>
  </si>
  <si>
    <t>Ryan White</t>
  </si>
  <si>
    <t>Brad Marchand</t>
  </si>
  <si>
    <t>Brad Malone</t>
  </si>
  <si>
    <t>data_scrapping.py</t>
  </si>
  <si>
    <t>C:\Users\Cole\Desktop\FanDuel\fanduel\modules\data_scrapping.py</t>
  </si>
  <si>
    <t>https://www.fanduel.com/e/Game/11536?tableId=10196255&amp;fromLobby=true</t>
  </si>
  <si>
    <t>https://www.fanduel.com/e/Game/11536?tableId=10195995&amp;fromLobby=true</t>
  </si>
  <si>
    <t>Analyzed Entries</t>
  </si>
  <si>
    <t>Major Category</t>
  </si>
  <si>
    <t>Sub Category</t>
  </si>
  <si>
    <t>Development</t>
  </si>
  <si>
    <t>Software Testing Course</t>
  </si>
  <si>
    <t>Sublime Text</t>
  </si>
  <si>
    <t>Programming Design Course</t>
  </si>
  <si>
    <t>Patrick Dwyer</t>
  </si>
  <si>
    <t>David Moss</t>
  </si>
  <si>
    <t>David Pastrnak</t>
  </si>
  <si>
    <t>David Jones</t>
  </si>
  <si>
    <t>Gregory Campbell</t>
  </si>
  <si>
    <t>Quinton Howden</t>
  </si>
  <si>
    <t>Matt Hackett</t>
  </si>
  <si>
    <t>Matt Beleskey</t>
  </si>
  <si>
    <t>Brett Ritchie</t>
  </si>
  <si>
    <t>Brent Burns</t>
  </si>
  <si>
    <t>NHL Roster Name</t>
  </si>
  <si>
    <t>Slate Size</t>
  </si>
  <si>
    <t>Web Interface</t>
  </si>
  <si>
    <t>Need to develop a web interface to remotely build lineup. Need to host on server (GAE or RasPi?</t>
  </si>
  <si>
    <t>Web Development</t>
  </si>
  <si>
    <t>Matt Stajan</t>
  </si>
  <si>
    <t>Mathew Dumba</t>
  </si>
  <si>
    <t>Jason Garrison</t>
  </si>
  <si>
    <t>Brad Richards</t>
  </si>
  <si>
    <t>Marcus Johansson</t>
  </si>
  <si>
    <t>Chris Thorburn</t>
  </si>
  <si>
    <t>Erik Condra</t>
  </si>
  <si>
    <t>Paul Byron</t>
  </si>
  <si>
    <t>John Gibson</t>
  </si>
  <si>
    <t>Calvin de Haan</t>
  </si>
  <si>
    <t>Calvin de_Haan</t>
  </si>
  <si>
    <t>Ryan Ellis</t>
  </si>
  <si>
    <t>Ryan O'Reilly</t>
  </si>
  <si>
    <t>Brandon Gormley</t>
  </si>
  <si>
    <t>Brandon Prust</t>
  </si>
  <si>
    <t>Brandon Pirri</t>
  </si>
  <si>
    <t>Braden Holtby</t>
  </si>
  <si>
    <t>Brandon Sutter</t>
  </si>
  <si>
    <t>Brian Boyle</t>
  </si>
  <si>
    <t>Mark Pysyk</t>
  </si>
  <si>
    <t>Mark Fayne</t>
  </si>
  <si>
    <t>Alex Grant</t>
  </si>
  <si>
    <t>Alex Galchenyuk</t>
  </si>
  <si>
    <t>Alex Tanguay</t>
  </si>
  <si>
    <t>Alex Killorn</t>
  </si>
  <si>
    <t>Alex Pietrangelo</t>
  </si>
  <si>
    <t>Alex Chiasson</t>
  </si>
  <si>
    <t>Jesse Winchester</t>
  </si>
  <si>
    <t>Ryan Stanton</t>
  </si>
  <si>
    <t>Ryan Johansen</t>
  </si>
  <si>
    <t>Ryan Suter</t>
  </si>
  <si>
    <t>Brad Richardson</t>
  </si>
  <si>
    <t>Brett Sutter</t>
  </si>
  <si>
    <t>Brent Seabrook</t>
  </si>
  <si>
    <t>Pat Dwyer</t>
  </si>
  <si>
    <t>Alexander Steen</t>
  </si>
  <si>
    <t>Alex Steen</t>
  </si>
  <si>
    <t>Christian Thomas</t>
  </si>
  <si>
    <t>Nathan Mackinnon</t>
  </si>
  <si>
    <t>Zemgus  Girgensons</t>
  </si>
  <si>
    <t>T.J. Galiardi</t>
  </si>
  <si>
    <t>Alexander Edler</t>
  </si>
  <si>
    <t>Zemgus Girgensons</t>
  </si>
  <si>
    <t>TJ Galiardi</t>
  </si>
  <si>
    <t>Jordan Schroeder</t>
  </si>
  <si>
    <t>Stephane Robidas</t>
  </si>
  <si>
    <t>Sergei Bobrovsky</t>
  </si>
  <si>
    <t>Sergei Gonchar</t>
  </si>
  <si>
    <t>P/L</t>
  </si>
  <si>
    <t>Thomas Vanek</t>
  </si>
  <si>
    <t>John Moore</t>
  </si>
  <si>
    <t>Erik Karlsson</t>
  </si>
  <si>
    <t>Marian Hossa</t>
  </si>
  <si>
    <t>Mark Stone</t>
  </si>
  <si>
    <t>Martin Erat</t>
  </si>
  <si>
    <t>Alex Biega</t>
  </si>
  <si>
    <t>Excel Interface</t>
  </si>
  <si>
    <t>Need to make excel interface for input parameters (contest, losing teams, ex players etc.)</t>
  </si>
  <si>
    <t>Interface</t>
  </si>
  <si>
    <t>Best Contests LastRow</t>
  </si>
  <si>
    <t>18/02/2015</t>
  </si>
  <si>
    <t>https://www.fanduel.com/e/Game/11647?tableId=10588735&amp;fromLobby=true</t>
  </si>
  <si>
    <t>https://www.fanduel.com/e/Game/11647?tableId=10588737&amp;fromLobby=true</t>
  </si>
  <si>
    <t>https://www.fanduel.com/e/Game/11647?tableId=10588742&amp;fromLobby=true</t>
  </si>
  <si>
    <t>https://www.fanduel.com/e/Game/11647?tableId=10588743&amp;fromLobby=true</t>
  </si>
  <si>
    <t>Date</t>
  </si>
  <si>
    <t>TableID</t>
  </si>
  <si>
    <t>Entries</t>
  </si>
  <si>
    <t>Avg Top Wins</t>
  </si>
  <si>
    <t>Performance Monitoring LastRow</t>
  </si>
  <si>
    <t>Database</t>
  </si>
  <si>
    <t>MySQL-ize data</t>
  </si>
  <si>
    <t>Player Map, best contest and performance data needs to be moved to db</t>
  </si>
  <si>
    <t>19/02/2015</t>
  </si>
  <si>
    <t>https://www.fanduel.com/e/Game/11649?tableId=10601885&amp;fromLobby=true</t>
  </si>
  <si>
    <t>https://www.fanduel.com/e/Game/11649?tableId=10601610&amp;fromLobby=true</t>
  </si>
  <si>
    <t>https://www.fanduel.com/e/Game/11649?tableId=10601690&amp;fromLobby=true</t>
  </si>
  <si>
    <t>https://www.fanduel.com/e/Game/11649?tableId=10601474&amp;fromLobby=true</t>
  </si>
  <si>
    <t>https://www.fanduel.com/e/Game/11649?tableId=10601139&amp;fromLobby=true</t>
  </si>
  <si>
    <t>https://www.fanduel.com/e/Game/11649?tableId=10600615&amp;fromLobby=true</t>
  </si>
  <si>
    <t>https://www.fanduel.com/e/Game/11649?tableId=10602745&amp;fromLobby=true</t>
  </si>
  <si>
    <t>https://www.fanduel.com/e/Game/11649?tableId=10602444&amp;fromLobby=true</t>
  </si>
  <si>
    <t>https://www.fanduel.com/e/Game/11649?tableId=10602274&amp;fromLobby=true</t>
  </si>
  <si>
    <t>https://www.fanduel.com/e/Game/11649?tableId=10602094&amp;fromLobby=true</t>
  </si>
  <si>
    <t>https://www.fanduel.com/e/Game/11649?tableId=10602135&amp;fromLobby=true</t>
  </si>
  <si>
    <t>https://www.fanduel.com/e/Game/11649?tableId=10601553&amp;fromLobby=true</t>
  </si>
  <si>
    <t>FD_operations.py</t>
  </si>
  <si>
    <t>C:\Users\Cole\Desktop\FanDuel\fanduel\modules\FD_operations.py</t>
  </si>
  <si>
    <t>Marc Staal</t>
  </si>
  <si>
    <t>Paul Carey</t>
  </si>
  <si>
    <t>Ryan Spooner</t>
  </si>
  <si>
    <t>Mikkel Boedker</t>
  </si>
  <si>
    <t>Marko Dano</t>
  </si>
  <si>
    <t>Martin Jones</t>
  </si>
  <si>
    <t>Jason Pominville</t>
  </si>
  <si>
    <t>Simon Gagne</t>
  </si>
  <si>
    <t>Sam Gagner</t>
  </si>
  <si>
    <t>Mark Streit</t>
  </si>
  <si>
    <t>Chris Porter</t>
  </si>
  <si>
    <t>Chris Butler</t>
  </si>
  <si>
    <t>Chris Driedger</t>
  </si>
  <si>
    <t>Joe Thornton</t>
  </si>
  <si>
    <t>Chris Kunitz</t>
  </si>
  <si>
    <t>Chris VandeVelde</t>
  </si>
  <si>
    <t>Patric Hornqvist</t>
  </si>
  <si>
    <t>Patrick Wiercioch</t>
  </si>
  <si>
    <t>Dan Ellis</t>
  </si>
  <si>
    <t>Chris Terry</t>
  </si>
  <si>
    <t>Charlie Coyle</t>
  </si>
  <si>
    <t>Aleksander Barkov</t>
  </si>
  <si>
    <t>Allan York</t>
  </si>
  <si>
    <t>Tomas Plekanec</t>
  </si>
  <si>
    <t>Tomas Jurco</t>
  </si>
  <si>
    <t>Tyler Myers</t>
  </si>
  <si>
    <t>Tyler Ennis</t>
  </si>
  <si>
    <t>Dion Phaneuf</t>
  </si>
  <si>
    <t>Paul Bissonnette</t>
  </si>
  <si>
    <t>Beau Bennett</t>
  </si>
  <si>
    <t>Olli Maatta</t>
  </si>
  <si>
    <t>Tomas Vokoun</t>
  </si>
  <si>
    <t>Matt Calvert</t>
  </si>
  <si>
    <t>Martin Hanzal</t>
  </si>
  <si>
    <t>Ryan Murphy</t>
  </si>
  <si>
    <t>J.T. Miller</t>
  </si>
  <si>
    <t>Drew Miller</t>
  </si>
  <si>
    <t>Jonas Hiller</t>
  </si>
  <si>
    <t>Evgeni Nabokov</t>
  </si>
  <si>
    <t>Evgeni Malkin</t>
  </si>
  <si>
    <t>Michael Grabner</t>
  </si>
  <si>
    <t>Victor Rask</t>
  </si>
  <si>
    <t>Jamie McBain</t>
  </si>
  <si>
    <t>Jamie Benn</t>
  </si>
  <si>
    <t>Andrei Loktionov</t>
  </si>
  <si>
    <t>Andrei Markov</t>
  </si>
  <si>
    <t>Tyler Johnson</t>
  </si>
  <si>
    <t>Andrei Vasilevskiy</t>
  </si>
  <si>
    <t>Alex Ovechkin</t>
  </si>
  <si>
    <t>Kevin Shattenkirk</t>
  </si>
  <si>
    <t>Paul Martin</t>
  </si>
  <si>
    <t>Matt Halischuk</t>
  </si>
  <si>
    <t>Peter Mueller</t>
  </si>
  <si>
    <t>Mirco Mueller</t>
  </si>
  <si>
    <t>Damien Brunner</t>
  </si>
  <si>
    <t>Danny Taylor</t>
  </si>
  <si>
    <t>Grant Clitsome</t>
  </si>
  <si>
    <t>Tomas Hertl</t>
  </si>
  <si>
    <t>Tomas Tatar</t>
  </si>
  <si>
    <t>David Krejci</t>
  </si>
  <si>
    <t>David Clarkson</t>
  </si>
  <si>
    <t>Nathan Lieuwen</t>
  </si>
  <si>
    <t>Nathan Beaulieu</t>
  </si>
  <si>
    <t>Evander Kane</t>
  </si>
  <si>
    <t>Anders Lindback</t>
  </si>
  <si>
    <t>Ray Emery</t>
  </si>
  <si>
    <t>Liam O'Brien</t>
  </si>
  <si>
    <t>Dmitry Orlov</t>
  </si>
  <si>
    <t>Jack Campbell</t>
  </si>
  <si>
    <t>Brian Campbell</t>
  </si>
  <si>
    <t>Radko Gudas</t>
  </si>
  <si>
    <t>Chris Conner</t>
  </si>
  <si>
    <t>Rich Peverley</t>
  </si>
  <si>
    <t>David Dziurzynski</t>
  </si>
  <si>
    <t>Oliver Lauridsen</t>
  </si>
  <si>
    <t>David Warsofsky</t>
  </si>
  <si>
    <t>Robert Bortuzzo</t>
  </si>
  <si>
    <t>David Perron</t>
  </si>
  <si>
    <t>David Backes</t>
  </si>
  <si>
    <t>David Schlemko</t>
  </si>
  <si>
    <t>David Savard</t>
  </si>
  <si>
    <t>David Desharnais</t>
  </si>
  <si>
    <t>Alexei Emelin</t>
  </si>
  <si>
    <t>Alexander Semin</t>
  </si>
  <si>
    <t>WSH</t>
  </si>
  <si>
    <t>Nicklas Backstrom</t>
  </si>
  <si>
    <t>Jori Lehtera</t>
  </si>
  <si>
    <t>Troy Brouwer</t>
  </si>
  <si>
    <t>Rob Zepp</t>
  </si>
  <si>
    <t>Peter Budaj</t>
  </si>
  <si>
    <t>Brad Thiessen</t>
  </si>
  <si>
    <t>Sheldon Brookbank</t>
  </si>
  <si>
    <t>Matt Climie</t>
  </si>
  <si>
    <t>Josh Harding</t>
  </si>
  <si>
    <t>Josh Jooris</t>
  </si>
  <si>
    <t>Mathieu Perreault</t>
  </si>
  <si>
    <t>Ben Chiarot</t>
  </si>
  <si>
    <t>Zdeno Chara</t>
  </si>
  <si>
    <t>Ryan Kesler</t>
  </si>
  <si>
    <t>Ryan Murray</t>
  </si>
  <si>
    <t>Stu Bickel</t>
  </si>
  <si>
    <t>Patrick Maroon</t>
  </si>
  <si>
    <t>Patrick Marleau</t>
  </si>
  <si>
    <t>Patrick Sharp</t>
  </si>
  <si>
    <t>Patrik Elias</t>
  </si>
  <si>
    <t>Patrik Nemeth</t>
  </si>
  <si>
    <t>Tim Sestito</t>
  </si>
  <si>
    <t>Tim Gleason</t>
  </si>
  <si>
    <t>Darcy Kuemper</t>
  </si>
  <si>
    <t>Kris Russell</t>
  </si>
  <si>
    <t>Dennis Wideman</t>
  </si>
  <si>
    <t>Jiri Hudler</t>
  </si>
  <si>
    <t>Blake Wheeler</t>
  </si>
  <si>
    <t>Zach Parise</t>
  </si>
  <si>
    <t>Mikael Granlund</t>
  </si>
  <si>
    <t>Nino Niederreiter</t>
  </si>
  <si>
    <t>Mikko Koivu</t>
  </si>
  <si>
    <t>Kyle Brodziak</t>
  </si>
  <si>
    <t>Jared Spurgeon</t>
  </si>
  <si>
    <t>Richard Panik</t>
  </si>
  <si>
    <t>Tyler Bozak</t>
  </si>
  <si>
    <t>Phil Kessel</t>
  </si>
  <si>
    <t>James van Riemsdyk</t>
  </si>
  <si>
    <t>Nazem Kadri</t>
  </si>
  <si>
    <t>David Booth</t>
  </si>
  <si>
    <t>Joffrey Lupul</t>
  </si>
  <si>
    <t>Brandon Kozun</t>
  </si>
  <si>
    <t>Jake Gardiner</t>
  </si>
  <si>
    <t>Morgan Rielly</t>
  </si>
  <si>
    <t>Curtis Glencross</t>
  </si>
  <si>
    <t>Evgeny Kuznetsov</t>
  </si>
  <si>
    <t>Eric Fehr</t>
  </si>
  <si>
    <t>Joel Ward</t>
  </si>
  <si>
    <t>Brooks Laich</t>
  </si>
  <si>
    <t>Mike Green</t>
  </si>
  <si>
    <t>Patrice Bergeron</t>
  </si>
  <si>
    <t>Reilly Smith</t>
  </si>
  <si>
    <t>Milan Lucic</t>
  </si>
  <si>
    <t>Loui Eriksson</t>
  </si>
  <si>
    <t>Torey Krug</t>
  </si>
  <si>
    <t>Dennis Seidenberg</t>
  </si>
  <si>
    <t>Gustav Nyquist</t>
  </si>
  <si>
    <t>Brendan Smith</t>
  </si>
  <si>
    <t>Nick Bjugstad</t>
  </si>
  <si>
    <t>Dave Bolland</t>
  </si>
  <si>
    <t>Aaron Ekblad</t>
  </si>
  <si>
    <t>John Mitchell</t>
  </si>
  <si>
    <t>Matt Duchene</t>
  </si>
  <si>
    <t>Jarome Iginla</t>
  </si>
  <si>
    <t>Cody McLeod</t>
  </si>
  <si>
    <t>Tyson Barrie</t>
  </si>
  <si>
    <t>Jordan Staal</t>
  </si>
  <si>
    <t>Andrej Nestrasil</t>
  </si>
  <si>
    <t>Jay McClement</t>
  </si>
  <si>
    <t>John-Michael Liles</t>
  </si>
  <si>
    <t>Brett Bellemore</t>
  </si>
  <si>
    <t>Jacob Josefson</t>
  </si>
  <si>
    <t>Jason Spezza</t>
  </si>
  <si>
    <t>Tyler Seguin</t>
  </si>
  <si>
    <t>Antoine Roussel</t>
  </si>
  <si>
    <t>Colton Sceviour</t>
  </si>
  <si>
    <t>Ryan Garbutt</t>
  </si>
  <si>
    <t>Vernon Fiddler</t>
  </si>
  <si>
    <t>Ales Hemsky</t>
  </si>
  <si>
    <t>Alex Goligoski</t>
  </si>
  <si>
    <t>Mason Raymond</t>
  </si>
  <si>
    <t>Joe Colborne</t>
  </si>
  <si>
    <t>Michael Ferland</t>
  </si>
  <si>
    <t>Melker Karlsson</t>
  </si>
  <si>
    <t>Joe Pavelski</t>
  </si>
  <si>
    <t>Logan Couture</t>
  </si>
  <si>
    <t>Marc-Edouard Vlasic</t>
  </si>
  <si>
    <t>Justin Braun</t>
  </si>
  <si>
    <t>Daniel Winnik</t>
  </si>
  <si>
    <t>Sidney Crosby</t>
  </si>
  <si>
    <t>Steve Downie</t>
  </si>
  <si>
    <t>Nick Spaling</t>
  </si>
  <si>
    <t>Blake Comeau</t>
  </si>
  <si>
    <t>Christian Ehrhoff</t>
  </si>
  <si>
    <t>Zack Kassian</t>
  </si>
  <si>
    <t>Nick Bonino</t>
  </si>
  <si>
    <t>Radim Vrbata</t>
  </si>
  <si>
    <t>Bo Horvat</t>
  </si>
  <si>
    <t>Jannik Hansen</t>
  </si>
  <si>
    <t>Yannick Weber</t>
  </si>
  <si>
    <t>Kevin Bieksa</t>
  </si>
  <si>
    <t>T.J. Oshie</t>
  </si>
  <si>
    <t>Jaden Schwartz</t>
  </si>
  <si>
    <t>Vladimir Tarasenko</t>
  </si>
  <si>
    <t>Dmitrij Jaskin</t>
  </si>
  <si>
    <t>Paul Stastny</t>
  </si>
  <si>
    <t>Patrik Berglund</t>
  </si>
  <si>
    <t>Ryan Reaves</t>
  </si>
  <si>
    <t>Max Pacioretty</t>
  </si>
  <si>
    <t>Brendan Gallagher</t>
  </si>
  <si>
    <t>Lars Eller</t>
  </si>
  <si>
    <t>Dale Weise</t>
  </si>
  <si>
    <t>P.K. Subban</t>
  </si>
  <si>
    <t>Brayden Schenn</t>
  </si>
  <si>
    <t>Claude Giroux</t>
  </si>
  <si>
    <t>Sean Couturier</t>
  </si>
  <si>
    <t>Wayne Simmonds</t>
  </si>
  <si>
    <t>Michael Raffl</t>
  </si>
  <si>
    <t>Vincent Lecavalier</t>
  </si>
  <si>
    <t>Luke Schenn</t>
  </si>
  <si>
    <t>Ryan Getzlaf</t>
  </si>
  <si>
    <t>Corey Perry</t>
  </si>
  <si>
    <t>Trevor Lewis</t>
  </si>
  <si>
    <t>Brandon Dubinsky</t>
  </si>
  <si>
    <t>Cam Atkinson</t>
  </si>
  <si>
    <t>Nick Foligno</t>
  </si>
  <si>
    <t>Kevin Connauton</t>
  </si>
  <si>
    <t>Johan Larsson</t>
  </si>
  <si>
    <t>Brian Gionta</t>
  </si>
  <si>
    <t>Adam Lowry</t>
  </si>
  <si>
    <t>Lee Stempniak</t>
  </si>
  <si>
    <t>Jacob Trouba</t>
  </si>
  <si>
    <t>Dustin Byfuglien</t>
  </si>
  <si>
    <t>Mark Arcobello</t>
  </si>
  <si>
    <t>Shane Doan</t>
  </si>
  <si>
    <t>Michael Stone</t>
  </si>
  <si>
    <t>Bobby Ryan</t>
  </si>
  <si>
    <t>Milan Michalek</t>
  </si>
  <si>
    <t>David Legwand</t>
  </si>
  <si>
    <t>Cody Ceci</t>
  </si>
  <si>
    <t>Mark Borowiecki</t>
  </si>
  <si>
    <t>Steve Mason</t>
  </si>
  <si>
    <t>Craig Anderson</t>
  </si>
  <si>
    <t>Marc-Andre Fleury</t>
  </si>
  <si>
    <t>Al Montoya</t>
  </si>
  <si>
    <t>Devan Dubnyk</t>
  </si>
  <si>
    <t>Niklas Svedberg</t>
  </si>
  <si>
    <t>Roberto Luongo</t>
  </si>
  <si>
    <t>Niklas Backstrom</t>
  </si>
  <si>
    <t>Michael Del Zotto</t>
  </si>
  <si>
    <t>Andrew Hammond</t>
  </si>
  <si>
    <t>Michael Hutchinson</t>
  </si>
  <si>
    <t>Olli Jokinen</t>
  </si>
  <si>
    <t>Derrick Pouliot</t>
  </si>
  <si>
    <t>Linden Vey</t>
  </si>
  <si>
    <t>Tuukka Rask</t>
  </si>
  <si>
    <t>Carey Price</t>
  </si>
  <si>
    <t>Anton Khudobin</t>
  </si>
  <si>
    <t>Ondrej Pavelec</t>
  </si>
  <si>
    <t>Boone Jenner</t>
  </si>
  <si>
    <t>Darren Helm</t>
  </si>
  <si>
    <t>Andrew Miller</t>
  </si>
  <si>
    <t>Stephen Weiss</t>
  </si>
  <si>
    <t>Ray Whitney</t>
  </si>
  <si>
    <t>Maxime Fortunus</t>
  </si>
  <si>
    <t>Andy Miele</t>
  </si>
  <si>
    <t>James Reimer</t>
  </si>
  <si>
    <t>Louis Domingue</t>
  </si>
  <si>
    <t>Jonathan Bernier</t>
  </si>
  <si>
    <t>Trevor Daley</t>
  </si>
  <si>
    <t>Thomas McCollum</t>
  </si>
  <si>
    <t>Jhonas Enroth</t>
  </si>
  <si>
    <t>Petr Mrazek</t>
  </si>
  <si>
    <t>Jakub Kindl</t>
  </si>
  <si>
    <t>Johan Franzen</t>
  </si>
  <si>
    <t>Jimmy Howard</t>
  </si>
  <si>
    <t>Kari Lehtonen</t>
  </si>
  <si>
    <t>Mike Smith</t>
  </si>
  <si>
    <t>Justin Peters</t>
  </si>
  <si>
    <t>Braydon Coburn</t>
  </si>
  <si>
    <t>Robyn Regehr</t>
  </si>
  <si>
    <t>Shawn Thornton</t>
  </si>
  <si>
    <t>Brett Connolly</t>
  </si>
  <si>
    <t>Chris Wagner</t>
  </si>
  <si>
    <t>Mikhail Grigorenko</t>
  </si>
  <si>
    <t>Tom Gilbert</t>
  </si>
  <si>
    <t>Viatcheslav Voynov</t>
  </si>
  <si>
    <t>Tanner Pearson</t>
  </si>
  <si>
    <t>Tanner Glass</t>
  </si>
  <si>
    <t>Mike Richards</t>
  </si>
  <si>
    <t>Jordan Szwarz</t>
  </si>
  <si>
    <t>Filip Forsberg</t>
  </si>
  <si>
    <t>Casey Bailey</t>
  </si>
  <si>
    <t>Kevin Fiala</t>
  </si>
  <si>
    <t>Brandon Davidson</t>
  </si>
  <si>
    <t>Jay Bouwmeester</t>
  </si>
  <si>
    <t>Jussi Jokinen</t>
  </si>
  <si>
    <t>Kris Letang</t>
  </si>
  <si>
    <t>Anders Lee</t>
  </si>
  <si>
    <t>Michael Frolik</t>
  </si>
  <si>
    <t>Michal Jordan</t>
  </si>
  <si>
    <t>Michael Latta</t>
  </si>
  <si>
    <t>Nick Holden</t>
  </si>
  <si>
    <t>Marcus Foligno</t>
  </si>
  <si>
    <t>Daniil Tarasov</t>
  </si>
  <si>
    <t>Mark Barberio</t>
  </si>
  <si>
    <t>Paul Gaustad</t>
  </si>
  <si>
    <t>Brian Strait</t>
  </si>
  <si>
    <t>Clayton Stoner</t>
  </si>
  <si>
    <t>Tyler Kennedy</t>
  </si>
  <si>
    <t>Andrey Makarov</t>
  </si>
  <si>
    <t>Michal Neuvirth</t>
  </si>
  <si>
    <t>Jason Demers</t>
  </si>
  <si>
    <t>Viktor Fasth</t>
  </si>
  <si>
    <t>Erik Gudbranson</t>
  </si>
  <si>
    <t>Benoit Pouliot</t>
  </si>
  <si>
    <t>Martin St. Louis</t>
  </si>
  <si>
    <t>Martin Brodeur</t>
  </si>
  <si>
    <t>Joey MacDonald</t>
  </si>
  <si>
    <t>Andrew MacDonald</t>
  </si>
  <si>
    <t>Brad Boyes</t>
  </si>
  <si>
    <t>Michael Santorelli</t>
  </si>
  <si>
    <t>Bryan Bickell</t>
  </si>
  <si>
    <t>Patrick Kane</t>
  </si>
  <si>
    <t>Patrick Kaleta</t>
  </si>
  <si>
    <t>Patrick Eaves</t>
  </si>
  <si>
    <t>Anders Nilsson</t>
  </si>
  <si>
    <t>Joakim Andersson</t>
  </si>
  <si>
    <t>Marcus Kruger</t>
  </si>
  <si>
    <t>Antti Raanta</t>
  </si>
  <si>
    <t>Mikhail Grabovski</t>
  </si>
  <si>
    <t>Kevin Poulin</t>
  </si>
  <si>
    <t>Keith Aulie</t>
  </si>
  <si>
    <t>Barret Jackman</t>
  </si>
  <si>
    <t>Martin Marincin</t>
  </si>
  <si>
    <t>Andrew Campbell</t>
  </si>
  <si>
    <t>Tye McGinn</t>
  </si>
  <si>
    <t>Matthew Hackett</t>
  </si>
  <si>
    <t>Pittsburgh</t>
  </si>
  <si>
    <t>Columbus</t>
  </si>
  <si>
    <t>Detroit</t>
  </si>
  <si>
    <t>Minnesota</t>
  </si>
  <si>
    <t>Toronto</t>
  </si>
  <si>
    <t>Boston</t>
  </si>
  <si>
    <t>New Jersey</t>
  </si>
  <si>
    <t>NY Rangers</t>
  </si>
  <si>
    <t>Dallas</t>
  </si>
  <si>
    <t>Nashville</t>
  </si>
  <si>
    <t>Calgary</t>
  </si>
  <si>
    <t>Edmonton</t>
  </si>
  <si>
    <t>Philadelphia</t>
  </si>
  <si>
    <t>Montreal</t>
  </si>
  <si>
    <t>Florida</t>
  </si>
  <si>
    <t>St. Louis</t>
  </si>
  <si>
    <t>Chicago</t>
  </si>
  <si>
    <t>Carolina</t>
  </si>
  <si>
    <t>Vancouver</t>
  </si>
  <si>
    <t>Winnipeg</t>
  </si>
  <si>
    <t>Buffalo</t>
  </si>
  <si>
    <t>NY Islanders</t>
  </si>
  <si>
    <t>Washington</t>
  </si>
  <si>
    <t>Ottawa</t>
  </si>
  <si>
    <t>Tampa Bay</t>
  </si>
  <si>
    <t>San Jose</t>
  </si>
  <si>
    <t>Arizona</t>
  </si>
  <si>
    <t>Colorado</t>
  </si>
  <si>
    <t>Los Angeles</t>
  </si>
  <si>
    <t>Anaheim</t>
  </si>
  <si>
    <t>{u'MIN': [['Zach Parise', 'Mikael Granlund', 'Jason Pominville'], ['Nino Niederreiter', 'Mikko Koivu', 'Chris Stewart'], ['Thomas Vanek', 'Charlie Coyle', 'Justin Fontaine'], ['Ryan Carter', 'Kyle Brodziak', 'Jordan Schroeder'], ['Ryan Suter', 'Jonas Brodin'], ['Marco Scandella', 'Jared Spurgeon'], ['Jordan Leopold', 'Mathew Dumba'], ['Zach Parise', 'Mikko Koivu', 'Jason Pominville', 'Ryan Suter', 'Mathew Dumba'], ['Thomas Vanek', 'Mikael Granlund', 'Chris Stewart', 'Marco Scandella', 'Jared Spurgeon']], u'TOR': [['James van Riemsdyk', 'Tyler Bozak', 'Phil Kessel'], ['Joakim Lindstrom', 'Nazem Kadri', 'Richard Panik'], ['Leo Komarov', 'Trevor Smith', 'Joffrey Lupul'], ['David Booth', 'Zach Sill', 'Casey Bailey'], ['Eric Brewer', 'Dion Phaneuf'], ['Jake Gardiner', 'Morgan Rielly'], ['Tim Erixon', 'T.J. Brennan'], ['James van Riemsdyk', 'Tyler Bozak', 'Phil Kessel', 'Morgan Rielly', 'Dion Phaneuf'], ['Joffrey Lupul', 'Nazem Kadri', 'Joakim Lindstrom', 'Jake Gardiner', 'T.J. Brennan']], u'WSH': [['Alex Ovechkin', 'Evgeny Kuznetsov', 'Joel Ward'], ['Marcus Johansson', 'Nicklas Backstrom', 'Troy Brouwer'], ['Curtis Glencross', 'Eric Fehr', 'Jason Chimera'], ['Brooks Laich', 'Michael Latta', 'Tom Wilson'], ['Brooks Orpik', 'John Carlson'], ['Karl Alzner', 'Matt Niskanen'], ['Tim Gleason', 'Mike Green'], ['Marcus Johansson', 'Nicklas Backstrom', 'Troy Brouwer', 'Alex Ovechkin', 'John Carlson'], ['Curtis Glencross', 'Evgeny Kuznetsov', 'Joel Ward', 'Matt Niskanen', 'Mike Green']], u'BOS': [['Brad Marchand', 'Patrice Bergeron', 'David Krejci'], ['Milan Lucic', 'Ryan Spooner', 'Brett Connolly'], ['Loui Eriksson', 'Carl Soderberg', 'Reilly Smith'], ['Chris Kelly', 'Gregory Campbell', 'David Pastrnak'], ['Zdeno Chara', 'Zach Trotman'], ['Torey Krug', 'Dennis Seidenberg'], ['Matt Bartkowski', 'Adam McQuaid'], ['Ryan Spooner', 'Patrice Bergeron', 'Loui Eriksson', 'Torey Krug', 'David Krejci'], ['Milan Lucic', 'Carl Soderberg', 'Brad Marchand', 'Zdeno Chara', 'Reilly Smith']], u'DET': [['Justin Abdelkader', 'Henrik Zetterberg', 'Gustav Nyquist'], ['Darren Helm', 'Pavel Datsyuk', 'Tomas Tatar'], ['Teemu Pulkkinen', 'Riley Sheahan', 'Stephen Weiss'], ['Drew Miller', 'Luke Glendening', 'Joakim Andersson'], ['Jonathan Ericsson', 'Niklas Kronwall'], ['Kyle Quincey', 'Dan DeKeyser'], ['Brendan Smith', 'Marek Zidlicky'], ['Gustav Nyquist', 'Henrik Zetterberg', 'Justin Abdelkader', 'Teemu Pulkkinen', 'Niklas Kronwall'], ['Tomas Tatar', 'Riley Sheahan', 'Stephen Weiss', 'Pavel Datsyuk', 'Marek Zidlicky']], u'NAS': [['Filip Forsberg', 'Mike Ribeiro', 'James Neal'], ['Colin Wilson', 'Mike Fisher', 'Craig Smith'], ['Viktor Stalberg', 'Matt Cullen', 'Mike Santorelli'], ['Gabriel Bourque', 'Calle Jarnkrok', 'Taylor Beck'], ['Roman Josi', 'Shea Weber'], ['Mattias Ekholm', 'Seth Jones'], ['Ryan Ellis', 'Cody Franson'], ['Colin Wilson', 'Mike Ribeiro', 'Craig Smith', 'Roman Josi', 'Shea Weber'], ['Filip Forsberg', 'Mike Fisher', 'James Neal', 'Seth Jones', 'Ryan Ellis']], u'NYI': [['Nikolay Kulemin', 'John Tavares', 'Ryan Strome'], ['Josh Bailey', 'Frans Nielsen', 'Kyle Okposo'], ['Anders Lee', 'Brock Nelson', 'Cal Clutterbuck'], ['Matt Martin', 'Casey Cizikas', 'Eric Boulton'], ['Nick Leddy', 'Johnny Boychuk'], ['Brian Strait', 'Travis Hamonic'], ['Thomas Hickey', 'Lubomir Visnovsky'], ['Anders Lee', 'John Tavares', 'Kyle Okposo', 'Nick Leddy', 'Frans Nielsen'], ['Josh Bailey', 'Brock Nelson', 'Ryan Strome', 'Lubomir Visnovsky', 'Johnny Boychuk']], u'FLA': [['Jonathan Huberdeau', 'Aleksander Barkov', 'Jaromir Jagr'], ['Brandon Pirri', 'Dave Bolland', 'Brad Boyes'], ['Jussi Jokinen', 'Vincent Trocheck', 'Jimmy Hayes'], ['Tomas Kopecky', 'Derek MacKenzie', 'Shawn Thornton'], ['Brian Campbell', 'Aaron Ekblad'], ['Willie Mitchell', 'Erik Gudbranson'], ['Dmitry Kulikov', 'Alex Petrovic'], ['Jimmy Hayes', 'Brandon Pirri', 'Brad Boyes', 'Brian Campbell', 'Jussi Jokinen'], ['Jonathan Huberdeau', 'Aleksander Barkov', 'Jaromir Jagr', 'Dmitry Kulikov', 'Aaron Ekblad']], u'COL': [['John Mitchell', 'Matt Duchene', 'Jarome Iginla'], ['Gabriel Landeskog', "Ryan O'Reilly", 'Alex Tanguay'], ['Cody McLeod', 'Marc-Andre Cliche', 'Dennis Everberg'], ['Jordan Caron', 'Freddie Hamilton', 'Joey Hishon'], ['Nate Guenin', 'Tyson Barrie'], ['Jan Hejda', 'Zach Redmond'], ['Brad Stuart', 'Nick Holden'], ['Gabriel Landeskog', "Ryan O'Reilly", 'Jarome Iginla', 'Alex Tanguay', 'Tyson Barrie'], ['John Mitchell', 'Matt Duchene', 'Joey Hishon', 'Zach Redmond', 'Nick Holden']], u'NJD': [['Reid Boucher', 'Scott Gomez', 'Steve Bernier'], ['Stefan Matteau', 'Travis Zajac', 'Michael Cammalleri'], ['Adam Henrique', 'Patrik Elias', 'Dainius Zubrus'], ['Tuomo Ruutu', 'Jacob Josefson', 'Jordin Tootoo'], ['Andy Greene', 'Adam Larsson'], ['Mark Fraser', 'Damon Severson'], ['Jon Merrill', 'Eric Gelinas'], ['Adam Henrique', 'Travis Zajac', 'Jordin Tootoo', 'Jacob Josefson', 'Damon Severson'], ['Michael Cammalleri', 'Patrik Elias', 'Steve Bernier', 'Jon Merrill', 'Eric Gelinas']], u'DAL': [['Jamie Benn', 'Cody Eakin', 'Tyler Seguin'], ['Patrick Eaves', 'Jason Spezza', 'Ales Hemsky'], ['Antoine Roussel', 'Vernon Fiddler', 'Ryan Garbutt'], ['Travis Moen', 'Colton Sceviour', 'Valeri Nichushkin'], ['Alex Goligoski', 'John Klingberg'], ['Patrik Nemeth', 'Trevor Daley'], ['Jordie Benn', 'Jason Demers'], ['Jamie Benn', 'Jason Spezza', 'Patrick Eaves', 'Tyler Seguin', 'John Klingberg'], ['Valeri Nichushkin', 'Colton Sceviour', 'Ales Hemsky', 'Trevor Daley', 'Alex Goligoski']], u'CGY': [['Johnny Gaudreau', 'Sean Monahan', 'Jiri Hudler'], ['Lance Bouma', 'Mikael Backlund', 'David Jones'], ['Mason Raymond', 'Markus Granlund', 'Joe Colborne'], ['Brandon Bollig', 'Matt Stajan', 'Drew Shore'], ['Kris Russell', 'Dennis Wideman'], ['T.J. Brodie', 'Deryk Engelland'], ['David Schlemko', 'Corey Potter'], ['Johnny Gaudreau', 'Sean Monahan', 'Jiri Hudler', 'Kris Russell', 'Dennis Wideman'], ['Mason Raymond', 'Mikael Backlund', 'Joe Colborne', 'T.J. Brodie', 'Corey Potter']], u'NYR': [['Rick Nash', 'Derick Brassard', 'Mats Zuccarello'], ['Chris Kreider', 'Derek Stepan', 'J.T. Miller'], ['Carl Hagelin', 'Kevin Hayes', 'Martin St. Louis'], ['Tanner Glass', 'Dominic Moore', 'Jesper Fast'], ['Ryan McDonagh', 'Dan Girardi'], ['Marc Staal', 'Dan Boyle'], ['Keith Yandle', 'Matt Hunwick'], ['Chris Kreider', 'Derek Stepan', 'Rick Nash', 'Martin St. Louis', 'Keith Yandle'], ['Kevin Hayes', 'Derick Brassard', 'Mats Zuccarello', 'Ryan McDonagh', 'Dan Boyle']], u'CAR': [['Eric Staal', 'Jordan Staal', 'Elias Lindholm'], ['Nathan Gerbe', 'Victor Rask', 'Chris Terry'], ['Jeff Skinner', 'Jay McClement', 'Alexander Semin'], ['Andrej Nestrasil', 'Brad Malone', 'Pat Dwyer'], ['Ron Hainsey', 'Justin Faulk'], ['John-Michael Liles', 'Ryan Murphy'], ['Michal Jordan', 'Danny Biega'], ['Andrej Nestrasil', 'Eric Staal', 'Elias Lindholm', 'Victor Rask', 'Justin Faulk'], ['Jeff Skinner', 'Jordan Staal', 'Chris Terry', 'John-Michael Liles', 'Ryan Murphy']], u'PIT': [['David Perron', 'Sidney Crosby', 'Patric Hornqvist'], ['Chris Kunitz', 'Evgeni Malkin', 'Blake Comeau'], ['Daniel Winnik', 'Brandon Sutter', 'Beau Bennett'], ['Nick Spaling', 'Maxim Lapierre', 'Craig Adams'], ['Paul Martin', 'Ben Lovejoy'], ['Rob Scuderi', 'Derrick Pouliot'], ['Ian Cole', 'Taylor Chorney'], ['Chris Kunitz', 'Sidney Crosby', 'Patric Hornqvist', 'Evgeni Malkin', 'Derrick Pouliot'], ['David Perron', 'Brandon Sutter', 'Blake Comeau', 'Paul Martin', 'Ian Cole']], u'VAN': [['Daniel Sedin', 'Henrik Sedin', 'Alexandre Burrows'], ['Chris Higgins', 'Nick Bonino', 'Radim Vrbata'], ['Shawn Matthias', 'Linden Vey', 'Derek Dorsett'], ['Ronalds Kenins', 'Bo Horvat', 'Jannik Hansen'], ['Alexander Edler', 'Chris Tanev'], ['Dan Hamhuis', 'Yannick Weber'], ['Kevin Bieksa', 'Luca Sbisa'], ['Daniel Sedin', 'Henrik Sedin', 'Radim Vrbata', 'Alexander Edler', 'Yannick Weber'], ['Chris Higgins', 'Nick Bonino', 'Alexandre Burrows', 'Dan Hamhuis', 'Chris Tanev']], u'STL': [['Jaden Schwartz', 'Paul Stastny', 'T.J. Oshie'], ['Dmitrij Jaskin', 'David Backes', 'Patrik Berglund'], ['Olli Jokinen', 'Jori Lehtera', 'Ty Rattie'], ['Steve Ott', 'Marcel Goc', 'Ryan Reaves'], ['Jay Bouwmeester', 'Alex Pietrangelo'], ['Zbynek Michalek', 'Kevin Shattenkirk'], ['Barret Jackman', 'Robert Bortuzzo'], ['Jaden Schwartz', 'David Backes', 'T.J. Oshie', 'Paul Stastny', 'Kevin Shattenkirk'], ['Dmitrij Jaskin', 'Jori Lehtera', 'Patrik Berglund', 'Jay Bouwmeester', 'Alex Pietrangelo']], u'CHI': [['Kris Versteeg', 'Jonathan Toews', 'Marian Hossa'], ['Patrick Sharp', 'Brad Richards', 'Antoine Vermette'], ['Bryan Bickell', 'Andrew Shaw', 'Brandon Saad'], ['Andrew Desjardins', 'Marcus Kruger', 'Teuvo Teravainen'], ['Kimmo Timonen', 'Brent Seabrook'], ['Duncan Keith', 'Michal Rozsival'], ['Johnny Oduya', 'Niklas Hjalmarsson'], ['Andrew Shaw', 'Jonathan Toews', 'Brandon Saad', 'Duncan Keith', 'Marian Hossa'], ['Teuvo Teravainen', 'Brad Richards', 'Kris Versteeg', 'Patrick Sharp', 'Brent Seabrook']], u'SJS': [['Joe Pavelski', 'Joe Thornton', 'Melker Karlsson'], ['Patrick Marleau', 'Logan Couture', 'Tomas Hertl'], ['Matthew Nieto', 'Chris Tierney', 'Tommy Wingels'], ['Mike Brown', 'Ben Smith', 'Barclay Goodrow'], ['Matt Irwin', 'Brent Burns'], ['Brenden Dillon', 'Justin Braun'], ['Karl Stollery', 'Taylor Fedun'], ['Patrick Marleau', 'Joe Thornton', 'Logan Couture', 'Joe Pavelski', 'Brent Burns'], ['Melker Karlsson', 'Chris Tierney', 'Tomas Hertl', 'Matt Irwin', 'Taylor Fedun']], u'MTL': [['Max Pacioretty', 'Tomas Plekanec', 'Brendan Gallagher'], ['Alex Galchenyuk', 'David Desharnais', 'P.A. Parenteau'], ['Brandon Prust', 'Lars Eller', 'Dale Weise'], ['Jacob De La Rose', 'Torrey Mitchell', 'Devante Smith-Pelly'], ['Alexei Emelin', 'P.K. Subban'], ['Nathan Beaulieu', 'Jeff Petry'], ['Sergei Gonchar', 'Tom Gilbert'], ['Max Pacioretty', 'David Desharnais', 'P.A. Parenteau', 'Nathan Beaulieu', 'P.K. Subban'], ['Alex Galchenyuk', 'Tomas Plekanec', 'Brendan Gallagher', 'Sergei Gonchar', 'Jeff Petry']], u'PHI': [['Michael Raffl', 'Claude Giroux', 'Jakub Voracek'], ['Brayden Schenn', 'Sean Couturier', 'Matt Read'], ['Zac Rinaldo', 'Nick Cousins', 'Ryan White'], ['Chris VandeVelde', 'Vincent Lecavalier'], ['Nicklas Grossmann', 'Mark Streit'], ['Michael Del Zotto', 'Nick Schultz'], ['Carlo Colaiacovo', 'Brandon Manning'], ['Brayden Schenn', 'Claude Giroux', 'Ryan White', 'Jakub Voracek', 'Mark Streit'], ['Michael Raffl', 'Sean Couturier', 'Matt Read', 'Michael Del Zotto', 'Vincent Lecavalier']], u'ANA': [['Tomas Fleischmann', 'Ryan Kesler', 'Kyle Palmieri'], ['Jiri Sekac', 'Rickard Rakell', 'Corey Perry'], ['Andrew Cogliano', 'Nate Thompson', 'Jakob Silfverberg'], ['Stefan Noesen', 'Chris Wagner', 'Emerson Etem'], ['Hampus Lindholm', 'Francois Beauchemin'], ['Cam Fowler', 'Sami Vatanen'], ['Simon Despres', 'James Wisniewski'], ['Tomas Fleischmann', 'Ryan Kesler', 'Kyle Palmieri', 'Francois Beauchemin', 'Sami Vatanen'], ['Jiri Sekac', 'Rickard Rakell', 'Corey Perry', 'Cam Fowler', 'James Wisniewski']], u'LAK': [['Marian Gaborik', 'Anze Kopitar', 'Justin Williams'], ['Dwight King', 'Jeff Carter', 'Tyler Toffoli'], ['Trevor Lewis', 'Jarret Stoll', 'Dustin Brown'], ['Kyle Clifford', 'Nick Shore', 'Jordan Nolan'], ['Jake Muzzin', 'Drew Doughty'], ['Alec Martinez', 'Robyn Regehr'], ['Brayden McNabb', 'Matt Greene'], ['Marian Gaborik', 'Anze Kopitar', 'Jeff Carter', 'Jake Muzzin', 'Drew Doughty'], ['Dustin Brown', 'Tyler Toffoli', 'Justin Williams', 'Brayden McNabb', 'Alec Martinez']], u'CBJ': [['Boone Jenner', 'Ryan Johansen', 'Cam Atkinson'], ['Brandon Dubinsky', 'Artem Anisimov', 'Nick Foligno'], ['Scott Hartnell', 'Alexander Wennberg', 'Marko Dano'], ['Matt Calvert', 'Mark Letestu', 'Jeremy Morin'], ['Jack Johnson', 'David Savard'], ['Fedor Tyutin', 'Dalton Prout'], ['Kevin Connauton', 'Cody Goloubef'], ['Scott Hartnell', 'Ryan Johansen', 'Nick Foligno', 'Kevin Connauton', 'Alexander Wennberg'], ['Boone Jenner', 'Brandon Dubinsky', 'Cam Atkinson', 'Jack Johnson', 'David Savard']], u'BUF': [['Matt Moulson', 'Johan Larsson', 'Tyler Ennis'], ['Marcus Foligno', 'Mikhail  Grigorenko', 'Brian Gionta'], ['Nicolas Deslauriers', 'Phil Varone', 'Patrick Kaleta'], ['Cody Hodgson', 'Matt Ellis', 'Zac Dalpe'], ['Zach Bogosian', 'Rasmus Ristolainen'], ['Andrej Meszaros', 'Tyson Strachan'], ['Andre Benoit', 'Nikita Zadorov'], ['Matt Moulson', 'Johan Larsson', 'Brian Gionta', 'Tyler Ennis', 'Rasmus Ristolainen'], ['Marcus Foligno', 'Mikhail  Grigorenko', 'Cody Hodgson', 'Zach Bogosian', 'Andrej Meszaros']], u'EDM': [['Benoit Pouliot', 'Ryan Nugent-Hopkins', 'Jordan Eberle'], ['Teddy Purcell', 'Derek Roy', 'Nail Yakupov'], ['Taylor Hall', 'Anton Lander', 'Andrew Miller'], ['Luke Gazdic', 'Rob Klinkhammer', 'Matt Fraser'], ['Oscar Klefbom', 'Justin Schultz'], ['Martin Marincin', 'David Musil'], ['Brandon Davidson', 'Keith Aulie'], ['Teddy Purcell', 'Ryan Nugent-Hopkins', 'Anton Lander', 'Jordan Eberle', 'Justin Schultz'], ['Taylor Hall', 'Derek Roy', 'Benoit Pouliot', 'Oscar Klefbom', 'Nail Yakupov']], u'TBL': [['Alex Killorn', 'Steven Stamkos', 'Ryan Callahan'], ['Ondrej Palat', 'Tyler Johnson', 'Nikita Kucherov'], ['Vladislav Namestnikov', 'Valtteri Filppula', 'Cedric Paquette'], ['Jonathan Drouin', 'Brian Boyle', 'J.T. Brown'], ['Nikita Nesterov', 'Anton Stralman'], ['Matt Carle', 'Slater Koekkoek'], ['Mark Barberio', 'Luke Witkowski'], ['Jonathan Drouin', 'Steven Stamkos', 'Ondrej Palat', 'Valtteri Filppula', 'Anton Stralman'], ['Vladislav Namestnikov', 'Tyler Johnson', 'Ryan Callahan', 'Nikita Nesterov', 'Nikita Kucherov']], u'WIN': [['Andrew Ladd', 'Bryan Little', 'Michael Frolik'], ['Drew Stafford', 'Mark Scheifele', 'Blake Wheeler'], ['Mathieu Perreault', 'Adam Lowry', 'Lee Stempniak'], ['Jiri Tlusty', 'Jim Slater', 'Chris Thorburn'], ['Tobias Enstrom', 'Tyler Myers'], ['Mark Stuart', 'Jacob Trouba'], ['Adam Pardy', 'Jay Harrison'], ['Andrew Ladd', 'Bryan Little', 'Blake Wheeler', 'Mathieu Perreault', 'Tyler Myers'], ['Drew Stafford', 'Mark Scheifele', 'Michael Frolik', 'Tobias Enstrom', 'Jacob Trouba']], u'ARI': [['Tobias Rieder', 'Mark Arcobello', 'Shane Doan'], ['Martin Erat', 'Sam Gagner', 'David Moss'], ['Craig Cunningham', 'Kyle Chipchura', 'Jordan Szwarz'], ['Tye McGinn', 'Joe Vitale', 'B.J. Crombeen'], ['Oliver Ekman-Larsson', 'Michael Stone'], ['Klas Dahlbeck', 'Connor Murphy'], ['Andrew Campbell', 'John Moore'], ['Tobias Rieder', 'Sam Gagner', 'Shane Doan', 'John Moore', 'Oliver Ekman-Larsson'], ['Martin Erat', 'Mark Arcobello', 'David Moss', 'Michael Stone', 'Connor Murphy']], u'OTT': [['Zack Smith', 'Mika Zibanejad', 'Bobby Ryan'], ['Clarke MacArthur', 'Kyle Turris', 'Mark Stone'], ['Erik Condra', 'Jean-Gabriel Pageau', 'Curtis Lazar'], ['Mike Hoffman', 'David Legwand', 'Alex Chiasson'], ['Marc Methot', 'Erik Karlsson'], ['Patrick Wiercioch', 'Cody Ceci'], ['Mark Borowiecki', 'Eric Gryba'], ['David Legwand', 'Mika Zibanejad', 'Bobby Ryan', 'Patrick Wiercioch', 'Erik Karlsson'], ['Clarke MacArthur', 'Kyle Turris', 'Mark Stone', 'Mike Hoffman', 'Cody Ceci']]}</t>
  </si>
  <si>
    <t>Todd Bertuzzi</t>
  </si>
  <si>
    <t>Chris Neil</t>
  </si>
  <si>
    <t>Robin Lehner</t>
  </si>
  <si>
    <t>Jay Beagle</t>
  </si>
  <si>
    <t>Nathan Horton</t>
  </si>
  <si>
    <t>Jonathan Drouin</t>
  </si>
  <si>
    <t>Jonas Gustavsson</t>
  </si>
  <si>
    <t>Dmitry Kulikov</t>
  </si>
  <si>
    <t>Andre Burakovsky</t>
  </si>
  <si>
    <t>Bobby Butler</t>
  </si>
  <si>
    <t>Andy Greene</t>
  </si>
  <si>
    <t>Philipp Grubauer</t>
  </si>
  <si>
    <t>Philip Varone</t>
  </si>
  <si>
    <t>BBSim.py</t>
  </si>
  <si>
    <t>C:\Users\Cole\Desktop\FanDuel\fanduel\modules\BBSim.py</t>
  </si>
  <si>
    <t>script_name_5</t>
  </si>
  <si>
    <t>script_path_5</t>
  </si>
  <si>
    <t>Backtest Historizing</t>
  </si>
  <si>
    <t>Dailyfantasynerd NBA</t>
  </si>
  <si>
    <t>Rotowire NBA</t>
  </si>
  <si>
    <t>Rotowire MLB</t>
  </si>
  <si>
    <t>script_name_6</t>
  </si>
  <si>
    <t>script_path_6</t>
  </si>
  <si>
    <t>backtest.py</t>
  </si>
  <si>
    <t>C:\Users\Ian Whitestone\Documents\Python Projects\Fanduel-master\fanduel\modules\backtest.py</t>
  </si>
  <si>
    <t>script_name_7</t>
  </si>
  <si>
    <t>script_path_7</t>
  </si>
  <si>
    <t>main.py (1)</t>
  </si>
  <si>
    <t>C:\Users\Ian Whitestone\Documents\Python Projects\Fanduel-master\fanduel\modules\main.py</t>
  </si>
  <si>
    <t>script_name_8</t>
  </si>
  <si>
    <t>script_path_8</t>
  </si>
  <si>
    <t>xmlstats_test_suite.py</t>
  </si>
  <si>
    <t>C:\Users\Ian Whitestone\Documents\Python Projects\xmlstats_test_suite.py</t>
  </si>
  <si>
    <t>script_name_9</t>
  </si>
  <si>
    <t>script_path_9</t>
  </si>
  <si>
    <t>https://www.fanduel.com/e/Game/12108?tableId=11949750&amp;fromLobby=true</t>
  </si>
  <si>
    <t>Rotowire NHL</t>
  </si>
  <si>
    <t>Paste NHL Rotowire Here</t>
  </si>
  <si>
    <t>Mike</t>
  </si>
  <si>
    <t>James</t>
  </si>
  <si>
    <t>Derek</t>
  </si>
  <si>
    <t>Luis</t>
  </si>
  <si>
    <t>Alex</t>
  </si>
  <si>
    <t>Kyle</t>
  </si>
  <si>
    <t>P</t>
  </si>
  <si>
    <t>1B</t>
  </si>
  <si>
    <t>2B</t>
  </si>
  <si>
    <t>3B</t>
  </si>
  <si>
    <t>SS</t>
  </si>
  <si>
    <t>OF</t>
  </si>
  <si>
    <t>Positions</t>
  </si>
  <si>
    <t>RW_MLB</t>
  </si>
  <si>
    <t>RW_NHL</t>
  </si>
  <si>
    <t>PG</t>
  </si>
  <si>
    <t>SG</t>
  </si>
  <si>
    <t>SF</t>
  </si>
  <si>
    <t>PF</t>
  </si>
  <si>
    <t>RW_NBA/DFN</t>
  </si>
  <si>
    <t>Thomas</t>
  </si>
  <si>
    <t>Turner</t>
  </si>
  <si>
    <t>Jones</t>
  </si>
  <si>
    <t>Rodon</t>
  </si>
  <si>
    <t>Gonzalez</t>
  </si>
  <si>
    <t>Carlos</t>
  </si>
  <si>
    <t>Joey</t>
  </si>
  <si>
    <t>Matt</t>
  </si>
  <si>
    <t>Steven</t>
  </si>
  <si>
    <t>TeamOdds.py (1)</t>
  </si>
  <si>
    <t>C:\Users\Ian Whitestone\Documents\Python Projects\Fanduel-master\fanduel\modules\TeamOdds.py</t>
  </si>
  <si>
    <t>script_name_10</t>
  </si>
  <si>
    <t>script_path_10</t>
  </si>
  <si>
    <t>weather.py</t>
  </si>
  <si>
    <t>C:\Users\Ian Whitestone\Documents\Python Projects\Fanduel-master\fanduel\modules\weather.py</t>
  </si>
  <si>
    <t>script_name_11</t>
  </si>
  <si>
    <t>script_path_11</t>
  </si>
  <si>
    <t>Stadium Zipcode</t>
  </si>
  <si>
    <t>LAD</t>
  </si>
  <si>
    <t>ATL</t>
  </si>
  <si>
    <t>MIA</t>
  </si>
  <si>
    <t>WAS</t>
  </si>
  <si>
    <t>CHW</t>
  </si>
  <si>
    <t>BAL</t>
  </si>
  <si>
    <t>MIL</t>
  </si>
  <si>
    <t>TEX</t>
  </si>
  <si>
    <t>NYY</t>
  </si>
  <si>
    <t>LAA</t>
  </si>
  <si>
    <t>KC</t>
  </si>
  <si>
    <t>NYM</t>
  </si>
  <si>
    <t>SD</t>
  </si>
  <si>
    <t>TB</t>
  </si>
  <si>
    <t>CIN</t>
  </si>
  <si>
    <t>CHC</t>
  </si>
  <si>
    <t>CLE</t>
  </si>
  <si>
    <t>HOU</t>
  </si>
  <si>
    <t>SEA</t>
  </si>
  <si>
    <t>OAK</t>
  </si>
  <si>
    <t>Adrian Beltre</t>
  </si>
  <si>
    <t>Adrian Gonzalez</t>
  </si>
  <si>
    <t>Alex Rodriguez</t>
  </si>
  <si>
    <t>Alexander Guerrero</t>
  </si>
  <si>
    <t>Alexander Torres</t>
  </si>
  <si>
    <t>Andrew Hutchison</t>
  </si>
  <si>
    <t>Angel Pagan</t>
  </si>
  <si>
    <t>Aramis Ramirez</t>
  </si>
  <si>
    <t>Bartolo Colon</t>
  </si>
  <si>
    <t>Bradley Boxberger</t>
  </si>
  <si>
    <t>Brayan Pena</t>
  </si>
  <si>
    <t>Carlos Beltran</t>
  </si>
  <si>
    <t>Carlos Corporan</t>
  </si>
  <si>
    <t>Carlos Gomez</t>
  </si>
  <si>
    <t>Carlos Gonzalez</t>
  </si>
  <si>
    <t>Carlos Martinez</t>
  </si>
  <si>
    <t>CC Sabathia</t>
  </si>
  <si>
    <t>Cesar Hernandez</t>
  </si>
  <si>
    <t>Christian Colon</t>
  </si>
  <si>
    <t>Christopher Herrmann</t>
  </si>
  <si>
    <t>Daniel Santana</t>
  </si>
  <si>
    <t>David DeJesus</t>
  </si>
  <si>
    <t>Delino Deshields Jr.</t>
  </si>
  <si>
    <t>DJ LeMahieu</t>
  </si>
  <si>
    <t>Eduardo Nunez</t>
  </si>
  <si>
    <t>Edwin Encarnacion</t>
  </si>
  <si>
    <t>Erasmo Ramirez</t>
  </si>
  <si>
    <t>Eric Young</t>
  </si>
  <si>
    <t>Felix Hernandez</t>
  </si>
  <si>
    <t>Hanley Ramirez</t>
  </si>
  <si>
    <t>Hector Gomez</t>
  </si>
  <si>
    <t>Hector Sanchez</t>
  </si>
  <si>
    <t>Jacob Lamb</t>
  </si>
  <si>
    <t>Jacob Marisnick</t>
  </si>
  <si>
    <t>Jacob Realmuto</t>
  </si>
  <si>
    <t>Javier Lopez</t>
  </si>
  <si>
    <t>Jeanmar Gomez</t>
  </si>
  <si>
    <t>Jesus Sucre</t>
  </si>
  <si>
    <t>John Murphy</t>
  </si>
  <si>
    <t>Jose Altuve</t>
  </si>
  <si>
    <t>Jose Alvarez</t>
  </si>
  <si>
    <t>Jose Diaz</t>
  </si>
  <si>
    <t>Jose Dominguez</t>
  </si>
  <si>
    <t>Jose Lobaton</t>
  </si>
  <si>
    <t>Jose Ramirez</t>
  </si>
  <si>
    <t>Jose Reyes</t>
  </si>
  <si>
    <t>Julio Teheran</t>
  </si>
  <si>
    <t>Jung-ho Kang</t>
  </si>
  <si>
    <t>Ken Giles</t>
  </si>
  <si>
    <t>Kris Negron</t>
  </si>
  <si>
    <t>Leonys Martin</t>
  </si>
  <si>
    <t>Luis Avilan</t>
  </si>
  <si>
    <t>Luis Garcia</t>
  </si>
  <si>
    <t>Luis Jimenez</t>
  </si>
  <si>
    <t>Marwin Gonzalez</t>
  </si>
  <si>
    <t>Michael Dunn</t>
  </si>
  <si>
    <t>Michael Fiers</t>
  </si>
  <si>
    <t>Michael Morin</t>
  </si>
  <si>
    <t>Michael Taylor</t>
  </si>
  <si>
    <t>Miguel Gonzalez</t>
  </si>
  <si>
    <t>Mike Morse</t>
  </si>
  <si>
    <t>Nathan Karns</t>
  </si>
  <si>
    <t>Norichika Aoki</t>
  </si>
  <si>
    <t>Oliver Perez</t>
  </si>
  <si>
    <t>Pedro Alvarez</t>
  </si>
  <si>
    <t>Pedro Baez</t>
  </si>
  <si>
    <t>Phil Gosselin</t>
  </si>
  <si>
    <t>Roberto Hernandez</t>
  </si>
  <si>
    <t>Roberto Perez</t>
  </si>
  <si>
    <t>Robinson Cano</t>
  </si>
  <si>
    <t>Roman Mendez</t>
  </si>
  <si>
    <t>Rubby de la Rosa</t>
  </si>
  <si>
    <t>Salvador Perez</t>
  </si>
  <si>
    <t>Sandy Leon</t>
  </si>
  <si>
    <t>Steve Souza</t>
  </si>
  <si>
    <t>Tom Milone</t>
  </si>
  <si>
    <t>Travis D'Arnaud</t>
  </si>
  <si>
    <t>Tuffy Gosewisch</t>
  </si>
  <si>
    <t>Ubaldo Jimenez</t>
  </si>
  <si>
    <t>William Smith</t>
  </si>
  <si>
    <t>Yasmany Tomas</t>
  </si>
  <si>
    <t>Yimi Garcia</t>
  </si>
  <si>
    <t>Alberto Alburquerque</t>
  </si>
  <si>
    <t>Alexei Ramirez</t>
  </si>
  <si>
    <t>Anibal Sanchez</t>
  </si>
  <si>
    <t>Arismendy Alcantara</t>
  </si>
  <si>
    <t>Avisail Garcia</t>
  </si>
  <si>
    <t>Charles Riefenhauser</t>
  </si>
  <si>
    <t>Frank Garces</t>
  </si>
  <si>
    <t>Hector Rondon</t>
  </si>
  <si>
    <t>Hernan Perez</t>
  </si>
  <si>
    <t>Joaquin Benoit</t>
  </si>
  <si>
    <t>Victor Martinez</t>
  </si>
  <si>
    <t>Yoenis Cespedes</t>
  </si>
  <si>
    <t>Zach Rosscup</t>
  </si>
  <si>
    <t>MLB FD Name</t>
  </si>
  <si>
    <t>Al Alburquerque</t>
  </si>
  <si>
    <t>Alex Guerrero</t>
  </si>
  <si>
    <t>Alex Torres</t>
  </si>
  <si>
    <t>Brad Boxberger</t>
  </si>
  <si>
    <t>C.C. Sabathia</t>
  </si>
  <si>
    <t>C.J. Riefenhauser</t>
  </si>
  <si>
    <t>Chris Herrmann</t>
  </si>
  <si>
    <t>D.J. LeMahieu</t>
  </si>
  <si>
    <t>Danny Santana</t>
  </si>
  <si>
    <t>Delino DeShields</t>
  </si>
  <si>
    <t>Drew Hutchison</t>
  </si>
  <si>
    <t>Drew Storen</t>
  </si>
  <si>
    <t>Eric Young Jr.</t>
  </si>
  <si>
    <t>Fernando Rodney</t>
  </si>
  <si>
    <t>Glen Perkins</t>
  </si>
  <si>
    <t>Grant Balfour</t>
  </si>
  <si>
    <t>Huston Street</t>
  </si>
  <si>
    <t>J.R. Murphy</t>
  </si>
  <si>
    <t>J.T. Realmuto</t>
  </si>
  <si>
    <t>Jake Lamb</t>
  </si>
  <si>
    <t>Jake Marisnick</t>
  </si>
  <si>
    <t>Jason Rogers</t>
  </si>
  <si>
    <t>Joakim Soria</t>
  </si>
  <si>
    <t>Jonathan Papelbon</t>
  </si>
  <si>
    <t>Jung-Ho Kang</t>
  </si>
  <si>
    <t>Kenneth Giles</t>
  </si>
  <si>
    <t>Kevin Gregg</t>
  </si>
  <si>
    <t>Koji Uehara</t>
  </si>
  <si>
    <t>Kristopher Negron</t>
  </si>
  <si>
    <t>Michael A. Taylor</t>
  </si>
  <si>
    <t>Michael Morse</t>
  </si>
  <si>
    <t>Mike Dunn</t>
  </si>
  <si>
    <t>Mike Fiers</t>
  </si>
  <si>
    <t>Mike Morin</t>
  </si>
  <si>
    <t>Nate Karns</t>
  </si>
  <si>
    <t>Neftali Feliz</t>
  </si>
  <si>
    <t>Nori Aoki</t>
  </si>
  <si>
    <t>Paco Rodriguez</t>
  </si>
  <si>
    <t>Philip Gosselin</t>
  </si>
  <si>
    <t>Rafael Betancourt</t>
  </si>
  <si>
    <t>Rubby De La Rosa</t>
  </si>
  <si>
    <t>Ryan Madson</t>
  </si>
  <si>
    <t>Steve Cishek</t>
  </si>
  <si>
    <t>Steven Souza Jr.</t>
  </si>
  <si>
    <t>Tommy Milone</t>
  </si>
  <si>
    <t>Travis d'Arnaud</t>
  </si>
  <si>
    <t>Will Smith</t>
  </si>
  <si>
    <t>Zac Rosscup</t>
  </si>
  <si>
    <t>Adrián Beltré</t>
  </si>
  <si>
    <t>Adrián González</t>
  </si>
  <si>
    <t>Alex Rodríguez</t>
  </si>
  <si>
    <t>Alexei Ramírez</t>
  </si>
  <si>
    <t>Aníbal Sánchez</t>
  </si>
  <si>
    <t>Aramis Ramírez</t>
  </si>
  <si>
    <t>Arismendy Alcántara</t>
  </si>
  <si>
    <t>Avisail García</t>
  </si>
  <si>
    <t>Bartolo Colón</t>
  </si>
  <si>
    <t>Brayan Peña</t>
  </si>
  <si>
    <t>Carlos Beltrán</t>
  </si>
  <si>
    <t>Carlos Corporán</t>
  </si>
  <si>
    <t>Carlos Gómez</t>
  </si>
  <si>
    <t>Carlos González</t>
  </si>
  <si>
    <t>Carlos Martínez</t>
  </si>
  <si>
    <t>César Hernández</t>
  </si>
  <si>
    <t>Christian Colón</t>
  </si>
  <si>
    <t>David DeJesús</t>
  </si>
  <si>
    <t>Eduardo Núñez</t>
  </si>
  <si>
    <t>Edwin Encarnación</t>
  </si>
  <si>
    <t>Erasmo Ramírez</t>
  </si>
  <si>
    <t>Félix Hernández</t>
  </si>
  <si>
    <t>Francisco Rodríguez</t>
  </si>
  <si>
    <t>Frank Garcés</t>
  </si>
  <si>
    <t>Hanley Ramírez</t>
  </si>
  <si>
    <t>Héctor Gómez</t>
  </si>
  <si>
    <t>Héctor Rondón</t>
  </si>
  <si>
    <t>Héctor Sánchez</t>
  </si>
  <si>
    <t>Hernán Pérez</t>
  </si>
  <si>
    <t>Javier López</t>
  </si>
  <si>
    <t>Jeanmar Gómez</t>
  </si>
  <si>
    <t>Jesús Sucre</t>
  </si>
  <si>
    <t>Joaquín Benoit</t>
  </si>
  <si>
    <t>José Altuve</t>
  </si>
  <si>
    <t>José Dominguez</t>
  </si>
  <si>
    <t>José Lobatón</t>
  </si>
  <si>
    <t>José Ramírez</t>
  </si>
  <si>
    <t>José Reyes</t>
  </si>
  <si>
    <t>Julio Teherán</t>
  </si>
  <si>
    <t>Jumbo Díaz</t>
  </si>
  <si>
    <t>Leonys Martín</t>
  </si>
  <si>
    <t>Luis Avilán</t>
  </si>
  <si>
    <t>Luis García</t>
  </si>
  <si>
    <t>Luis Jiménez</t>
  </si>
  <si>
    <t>Marwin González</t>
  </si>
  <si>
    <t>Miguel González</t>
  </si>
  <si>
    <t>Pedro Báez</t>
  </si>
  <si>
    <t>Roberto Hernández</t>
  </si>
  <si>
    <t>Roberto Pérez</t>
  </si>
  <si>
    <t>Robinson Canó</t>
  </si>
  <si>
    <t>Román Méndez</t>
  </si>
  <si>
    <t>Salvador Pérez</t>
  </si>
  <si>
    <t>Sandy León</t>
  </si>
  <si>
    <t>Ubaldo Jiménez</t>
  </si>
  <si>
    <t>Víctor Martínez</t>
  </si>
  <si>
    <t>Yasmany Tomás</t>
  </si>
  <si>
    <t>Yimi García</t>
  </si>
  <si>
    <t>Yoenis Céspedes</t>
  </si>
  <si>
    <t>Ángel Pagán</t>
  </si>
  <si>
    <t>José Álvarez</t>
  </si>
  <si>
    <t>Óliver Pérez</t>
  </si>
  <si>
    <t>Pedro Álvarez</t>
  </si>
  <si>
    <t>A.J.</t>
  </si>
  <si>
    <t>Griffin</t>
  </si>
  <si>
    <t>Aaron</t>
  </si>
  <si>
    <t>Crow</t>
  </si>
  <si>
    <t>Adrian</t>
  </si>
  <si>
    <t>Beltre</t>
  </si>
  <si>
    <t>AJ</t>
  </si>
  <si>
    <t>Schugel</t>
  </si>
  <si>
    <t>Alberto</t>
  </si>
  <si>
    <t>Alburquerque</t>
  </si>
  <si>
    <t>Cobb</t>
  </si>
  <si>
    <t>Colome</t>
  </si>
  <si>
    <t>Rios</t>
  </si>
  <si>
    <t>Rodriguez</t>
  </si>
  <si>
    <t>Alexander</t>
  </si>
  <si>
    <t>Guerrero</t>
  </si>
  <si>
    <t>Torres</t>
  </si>
  <si>
    <t>Alexei</t>
  </si>
  <si>
    <t>Ramirez</t>
  </si>
  <si>
    <t>Andrew</t>
  </si>
  <si>
    <t>Hutchison</t>
  </si>
  <si>
    <t>Angel</t>
  </si>
  <si>
    <t>Pagan</t>
  </si>
  <si>
    <t>Anibal</t>
  </si>
  <si>
    <t>Sanchez</t>
  </si>
  <si>
    <t>Anthony</t>
  </si>
  <si>
    <t>Rendon</t>
  </si>
  <si>
    <t>Antoan</t>
  </si>
  <si>
    <t>Richardson</t>
  </si>
  <si>
    <t>Aramis</t>
  </si>
  <si>
    <t>Arismendy</t>
  </si>
  <si>
    <t>Alcantara</t>
  </si>
  <si>
    <t>Austin</t>
  </si>
  <si>
    <t>Adams</t>
  </si>
  <si>
    <t>Avisail</t>
  </si>
  <si>
    <t>Garcia</t>
  </si>
  <si>
    <t>Bartolo</t>
  </si>
  <si>
    <t>Colon</t>
  </si>
  <si>
    <t>Billy</t>
  </si>
  <si>
    <t>Burns</t>
  </si>
  <si>
    <t>Bobby</t>
  </si>
  <si>
    <t>Parnell</t>
  </si>
  <si>
    <t>Brad</t>
  </si>
  <si>
    <t>Peacock</t>
  </si>
  <si>
    <t>Bradley</t>
  </si>
  <si>
    <t>Boxberger</t>
  </si>
  <si>
    <t>Brandon</t>
  </si>
  <si>
    <t>Beachy</t>
  </si>
  <si>
    <t>Cumpton</t>
  </si>
  <si>
    <t>League</t>
  </si>
  <si>
    <t>Workman</t>
  </si>
  <si>
    <t>Brayan</t>
  </si>
  <si>
    <t>Pena</t>
  </si>
  <si>
    <t>Brendan</t>
  </si>
  <si>
    <t>Ryan</t>
  </si>
  <si>
    <t>Brett</t>
  </si>
  <si>
    <t>Oberholtzer</t>
  </si>
  <si>
    <t>Bronson</t>
  </si>
  <si>
    <t>Arroyo</t>
  </si>
  <si>
    <t>Bruce</t>
  </si>
  <si>
    <t>Rondon</t>
  </si>
  <si>
    <t>Burch</t>
  </si>
  <si>
    <t>Smith</t>
  </si>
  <si>
    <t>Beltran</t>
  </si>
  <si>
    <t>Carrasco</t>
  </si>
  <si>
    <t>Corporan</t>
  </si>
  <si>
    <t>Frias</t>
  </si>
  <si>
    <t>Gomez</t>
  </si>
  <si>
    <t>Martinez</t>
  </si>
  <si>
    <t>Villanueva</t>
  </si>
  <si>
    <t>Carter</t>
  </si>
  <si>
    <t>Capps</t>
  </si>
  <si>
    <t>Casey</t>
  </si>
  <si>
    <t>Janssen</t>
  </si>
  <si>
    <t>Sadler</t>
  </si>
  <si>
    <t>CC</t>
  </si>
  <si>
    <t>Sabathia</t>
  </si>
  <si>
    <t>Cesar</t>
  </si>
  <si>
    <t>Hernandez</t>
  </si>
  <si>
    <t>Puello</t>
  </si>
  <si>
    <t>Chad</t>
  </si>
  <si>
    <t>Billingsley</t>
  </si>
  <si>
    <t>Charles</t>
  </si>
  <si>
    <t>Riefenhauser</t>
  </si>
  <si>
    <t>Charlie</t>
  </si>
  <si>
    <t>Culberson</t>
  </si>
  <si>
    <t>Morton</t>
  </si>
  <si>
    <t>Chasen</t>
  </si>
  <si>
    <t>Shreve</t>
  </si>
  <si>
    <t>Chris</t>
  </si>
  <si>
    <t>Capuano</t>
  </si>
  <si>
    <t>Taylor</t>
  </si>
  <si>
    <t>Withrow</t>
  </si>
  <si>
    <t>Christian</t>
  </si>
  <si>
    <t>Vazquez</t>
  </si>
  <si>
    <t>Christopher</t>
  </si>
  <si>
    <t>Herrmann</t>
  </si>
  <si>
    <t>Cliff</t>
  </si>
  <si>
    <t>Lee</t>
  </si>
  <si>
    <t>Coco</t>
  </si>
  <si>
    <t>Crisp</t>
  </si>
  <si>
    <t>Cory</t>
  </si>
  <si>
    <t>Luebke</t>
  </si>
  <si>
    <t>Rasmus</t>
  </si>
  <si>
    <t>Craig</t>
  </si>
  <si>
    <t>Stammen</t>
  </si>
  <si>
    <t>Beeler</t>
  </si>
  <si>
    <t>Daniel</t>
  </si>
  <si>
    <t>Corcino</t>
  </si>
  <si>
    <t>Santana</t>
  </si>
  <si>
    <t>Danny</t>
  </si>
  <si>
    <t>Winkler</t>
  </si>
  <si>
    <t>Darwin</t>
  </si>
  <si>
    <t>Barney</t>
  </si>
  <si>
    <t>David</t>
  </si>
  <si>
    <t>DeJesus</t>
  </si>
  <si>
    <t>Hale</t>
  </si>
  <si>
    <t>Huff</t>
  </si>
  <si>
    <t>Wright</t>
  </si>
  <si>
    <t>Dean</t>
  </si>
  <si>
    <t>Anna</t>
  </si>
  <si>
    <t>Delino</t>
  </si>
  <si>
    <t>Holland</t>
  </si>
  <si>
    <t>Devin</t>
  </si>
  <si>
    <t>Mesoraco</t>
  </si>
  <si>
    <t>DJ</t>
  </si>
  <si>
    <t>LeMahieu</t>
  </si>
  <si>
    <t>Domonic</t>
  </si>
  <si>
    <t>Brown</t>
  </si>
  <si>
    <t>Don</t>
  </si>
  <si>
    <t>Kelly</t>
  </si>
  <si>
    <t>Drew</t>
  </si>
  <si>
    <t>Rucinski</t>
  </si>
  <si>
    <t>Smyly</t>
  </si>
  <si>
    <t>Ed</t>
  </si>
  <si>
    <t>Easley</t>
  </si>
  <si>
    <t>Eddie</t>
  </si>
  <si>
    <t>Gamboa</t>
  </si>
  <si>
    <t>Edgar</t>
  </si>
  <si>
    <t>Olmos</t>
  </si>
  <si>
    <t>Eduardo</t>
  </si>
  <si>
    <t>Nunez</t>
  </si>
  <si>
    <t>Edwin</t>
  </si>
  <si>
    <t>Encarnacion</t>
  </si>
  <si>
    <t>Escobar</t>
  </si>
  <si>
    <t>Erasmo</t>
  </si>
  <si>
    <t>Eric</t>
  </si>
  <si>
    <t>Surkamp</t>
  </si>
  <si>
    <t>Young</t>
  </si>
  <si>
    <t>Erik</t>
  </si>
  <si>
    <t>Cordier</t>
  </si>
  <si>
    <t>Davis</t>
  </si>
  <si>
    <t>Goeddel</t>
  </si>
  <si>
    <t>Ervin</t>
  </si>
  <si>
    <t>Felix</t>
  </si>
  <si>
    <t>Fernando</t>
  </si>
  <si>
    <t>Abad</t>
  </si>
  <si>
    <t>Frank</t>
  </si>
  <si>
    <t>Garces</t>
  </si>
  <si>
    <t>Gavin</t>
  </si>
  <si>
    <t>Floyd</t>
  </si>
  <si>
    <t>Gerald</t>
  </si>
  <si>
    <t>Laird</t>
  </si>
  <si>
    <t>Germen</t>
  </si>
  <si>
    <t>Hanley</t>
  </si>
  <si>
    <t>Hansel</t>
  </si>
  <si>
    <t>Robles</t>
  </si>
  <si>
    <t>Hector</t>
  </si>
  <si>
    <t>Noesi</t>
  </si>
  <si>
    <t>Henderson</t>
  </si>
  <si>
    <t>Alvarez</t>
  </si>
  <si>
    <t>Hernan</t>
  </si>
  <si>
    <t>Perez</t>
  </si>
  <si>
    <t>Hunter</t>
  </si>
  <si>
    <t>Pence</t>
  </si>
  <si>
    <t>Hyun-Jin</t>
  </si>
  <si>
    <t>Ryu</t>
  </si>
  <si>
    <t>Ian</t>
  </si>
  <si>
    <t>Kennedy</t>
  </si>
  <si>
    <t>Ivan</t>
  </si>
  <si>
    <t>Nova</t>
  </si>
  <si>
    <t>J.J.</t>
  </si>
  <si>
    <t>Hardy</t>
  </si>
  <si>
    <t>Jacob</t>
  </si>
  <si>
    <t>Lamb</t>
  </si>
  <si>
    <t>Marisnick</t>
  </si>
  <si>
    <t>Petricka</t>
  </si>
  <si>
    <t>Realmuto</t>
  </si>
  <si>
    <t>Jaff</t>
  </si>
  <si>
    <t>Decker</t>
  </si>
  <si>
    <t>Jaime</t>
  </si>
  <si>
    <t>Jake</t>
  </si>
  <si>
    <t>McGee</t>
  </si>
  <si>
    <t>Loney</t>
  </si>
  <si>
    <t>Jarrod</t>
  </si>
  <si>
    <t>Parker</t>
  </si>
  <si>
    <t>Jason</t>
  </si>
  <si>
    <t>Bourgeois</t>
  </si>
  <si>
    <t>Javier</t>
  </si>
  <si>
    <t>Lopez</t>
  </si>
  <si>
    <t>Javy</t>
  </si>
  <si>
    <t>Guerra</t>
  </si>
  <si>
    <t>Jeanmar</t>
  </si>
  <si>
    <t>Jeff</t>
  </si>
  <si>
    <t>Mathis</t>
  </si>
  <si>
    <t>Jenrry</t>
  </si>
  <si>
    <t>Mejia</t>
  </si>
  <si>
    <t>Jesus</t>
  </si>
  <si>
    <t>Sucre</t>
  </si>
  <si>
    <t>Jim</t>
  </si>
  <si>
    <t>Joaquin</t>
  </si>
  <si>
    <t>Benoit</t>
  </si>
  <si>
    <t>Joel</t>
  </si>
  <si>
    <t>Cruz</t>
  </si>
  <si>
    <t>Terdoslavich</t>
  </si>
  <si>
    <t>John</t>
  </si>
  <si>
    <t>Jaso</t>
  </si>
  <si>
    <t>Murphy</t>
  </si>
  <si>
    <t>Jon</t>
  </si>
  <si>
    <t>Edwards</t>
  </si>
  <si>
    <t>Jonathan</t>
  </si>
  <si>
    <t>Pettibone</t>
  </si>
  <si>
    <t>Jose</t>
  </si>
  <si>
    <t>Altuve</t>
  </si>
  <si>
    <t>Diaz</t>
  </si>
  <si>
    <t>Dominguez</t>
  </si>
  <si>
    <t>Fernandez</t>
  </si>
  <si>
    <t>Lobaton</t>
  </si>
  <si>
    <t>Pirela</t>
  </si>
  <si>
    <t>Reyes</t>
  </si>
  <si>
    <t>Josh</t>
  </si>
  <si>
    <t>Edgin</t>
  </si>
  <si>
    <t>Fields</t>
  </si>
  <si>
    <t>Hamilton</t>
  </si>
  <si>
    <t>Johnson</t>
  </si>
  <si>
    <t>Outman</t>
  </si>
  <si>
    <t>Tomlin</t>
  </si>
  <si>
    <t>Juan</t>
  </si>
  <si>
    <t>Julio</t>
  </si>
  <si>
    <t>Teheran</t>
  </si>
  <si>
    <t>Jung-ho</t>
  </si>
  <si>
    <t>Kang</t>
  </si>
  <si>
    <t>Justin</t>
  </si>
  <si>
    <t>Grimm</t>
  </si>
  <si>
    <t>Sellers</t>
  </si>
  <si>
    <t>Verlander</t>
  </si>
  <si>
    <t>Ken</t>
  </si>
  <si>
    <t>Giles</t>
  </si>
  <si>
    <t>Kenley</t>
  </si>
  <si>
    <t>Jansen</t>
  </si>
  <si>
    <t>Kevin</t>
  </si>
  <si>
    <t>Plawecki</t>
  </si>
  <si>
    <t>Kirby</t>
  </si>
  <si>
    <t>Yates</t>
  </si>
  <si>
    <t>Kris</t>
  </si>
  <si>
    <t>Medlen</t>
  </si>
  <si>
    <t>Negron</t>
  </si>
  <si>
    <t>Crockett</t>
  </si>
  <si>
    <t>Davies</t>
  </si>
  <si>
    <t>Lobstein</t>
  </si>
  <si>
    <t>Skipworth</t>
  </si>
  <si>
    <t>Kyuji</t>
  </si>
  <si>
    <t>Fujikawa</t>
  </si>
  <si>
    <t>Leonys</t>
  </si>
  <si>
    <t>Martin</t>
  </si>
  <si>
    <t>Lisalverto</t>
  </si>
  <si>
    <t>Bonilla</t>
  </si>
  <si>
    <t>Avilan</t>
  </si>
  <si>
    <t>Jimenez</t>
  </si>
  <si>
    <t>Luke</t>
  </si>
  <si>
    <t>Hochevar</t>
  </si>
  <si>
    <t>Maicer</t>
  </si>
  <si>
    <t>Izturis</t>
  </si>
  <si>
    <t>Marcus</t>
  </si>
  <si>
    <t>Stroman</t>
  </si>
  <si>
    <t>Mario</t>
  </si>
  <si>
    <t>Hollands</t>
  </si>
  <si>
    <t>Marwin</t>
  </si>
  <si>
    <t>Cain</t>
  </si>
  <si>
    <t>Harrison</t>
  </si>
  <si>
    <t>Moore</t>
  </si>
  <si>
    <t>Wieters</t>
  </si>
  <si>
    <t>Matthew</t>
  </si>
  <si>
    <t>Stites</t>
  </si>
  <si>
    <t>Tracy</t>
  </si>
  <si>
    <t>Melvin</t>
  </si>
  <si>
    <t>Upton</t>
  </si>
  <si>
    <t>Michael</t>
  </si>
  <si>
    <t>Dunn</t>
  </si>
  <si>
    <t>Fiers</t>
  </si>
  <si>
    <t>Morin</t>
  </si>
  <si>
    <t>Saunders</t>
  </si>
  <si>
    <t>Miguel</t>
  </si>
  <si>
    <t>Minor</t>
  </si>
  <si>
    <t>Morse</t>
  </si>
  <si>
    <t>Olt</t>
  </si>
  <si>
    <t>Nate</t>
  </si>
  <si>
    <t>Freiman</t>
  </si>
  <si>
    <t>McLouth</t>
  </si>
  <si>
    <t>Nathan</t>
  </si>
  <si>
    <t>Karns</t>
  </si>
  <si>
    <t>Nicholas</t>
  </si>
  <si>
    <t>Nick</t>
  </si>
  <si>
    <t>Franklin</t>
  </si>
  <si>
    <t>Swisher</t>
  </si>
  <si>
    <t>Vincent</t>
  </si>
  <si>
    <t>Norichika</t>
  </si>
  <si>
    <t>Aoki</t>
  </si>
  <si>
    <t>Oliver</t>
  </si>
  <si>
    <t>Oscar</t>
  </si>
  <si>
    <t>Patrick</t>
  </si>
  <si>
    <t>Corbin</t>
  </si>
  <si>
    <t>Pedro</t>
  </si>
  <si>
    <t>Baez</t>
  </si>
  <si>
    <t>Phil</t>
  </si>
  <si>
    <t>Gosselin</t>
  </si>
  <si>
    <t>Klein</t>
  </si>
  <si>
    <t>Raisel</t>
  </si>
  <si>
    <t>Iglesias</t>
  </si>
  <si>
    <t>Reymond</t>
  </si>
  <si>
    <t>Fuentes</t>
  </si>
  <si>
    <t>Ricky</t>
  </si>
  <si>
    <t>Nolasco</t>
  </si>
  <si>
    <t>Rob</t>
  </si>
  <si>
    <t>Brantly</t>
  </si>
  <si>
    <t>Roberto</t>
  </si>
  <si>
    <t>Robinson</t>
  </si>
  <si>
    <t>Cano</t>
  </si>
  <si>
    <t>Roman</t>
  </si>
  <si>
    <t>Mendez</t>
  </si>
  <si>
    <t>Rubby</t>
  </si>
  <si>
    <t>Rua</t>
  </si>
  <si>
    <t>Salvador</t>
  </si>
  <si>
    <t>Sandy</t>
  </si>
  <si>
    <t>Leon</t>
  </si>
  <si>
    <t>Sean</t>
  </si>
  <si>
    <t>Doolittle</t>
  </si>
  <si>
    <t>Marshall</t>
  </si>
  <si>
    <t>Nolin</t>
  </si>
  <si>
    <t>Shae</t>
  </si>
  <si>
    <t>Simmons</t>
  </si>
  <si>
    <t>Shaun</t>
  </si>
  <si>
    <t>Marcum</t>
  </si>
  <si>
    <t>Steve</t>
  </si>
  <si>
    <t>Clevenger</t>
  </si>
  <si>
    <t>Souza</t>
  </si>
  <si>
    <t>Tanner</t>
  </si>
  <si>
    <t>Roark</t>
  </si>
  <si>
    <t>Jordan</t>
  </si>
  <si>
    <t>Thompson</t>
  </si>
  <si>
    <t>Terrance</t>
  </si>
  <si>
    <t>Gore</t>
  </si>
  <si>
    <t>Tim</t>
  </si>
  <si>
    <t>Collins</t>
  </si>
  <si>
    <t>Federowicz</t>
  </si>
  <si>
    <t>Tom</t>
  </si>
  <si>
    <t>Layne</t>
  </si>
  <si>
    <t>Milone</t>
  </si>
  <si>
    <t>Wilhelmsen</t>
  </si>
  <si>
    <t>Tony</t>
  </si>
  <si>
    <t>Cingrani</t>
  </si>
  <si>
    <t>Travis</t>
  </si>
  <si>
    <t>D'Arnaud</t>
  </si>
  <si>
    <t>Ishikawa</t>
  </si>
  <si>
    <t>Trevor</t>
  </si>
  <si>
    <t>Cahill</t>
  </si>
  <si>
    <t>Tsuyoshi</t>
  </si>
  <si>
    <t>Wada</t>
  </si>
  <si>
    <t>Tuffy</t>
  </si>
  <si>
    <t>Gosewisch</t>
  </si>
  <si>
    <t>Tyler</t>
  </si>
  <si>
    <t>Chatwood</t>
  </si>
  <si>
    <t>Ladendorf</t>
  </si>
  <si>
    <t>Skaggs</t>
  </si>
  <si>
    <t>Ubaldo</t>
  </si>
  <si>
    <t>Victor</t>
  </si>
  <si>
    <t>Black</t>
  </si>
  <si>
    <t>Wesley</t>
  </si>
  <si>
    <t>William</t>
  </si>
  <si>
    <t>Xavier</t>
  </si>
  <si>
    <t>Cedeno</t>
  </si>
  <si>
    <t>Yan</t>
  </si>
  <si>
    <t>Gomes</t>
  </si>
  <si>
    <t>Yasmany</t>
  </si>
  <si>
    <t>Tomas</t>
  </si>
  <si>
    <t>Yimi</t>
  </si>
  <si>
    <t>Yoenis</t>
  </si>
  <si>
    <t>Cespedes</t>
  </si>
  <si>
    <t>Yu</t>
  </si>
  <si>
    <t>Darvish</t>
  </si>
  <si>
    <t>Zach</t>
  </si>
  <si>
    <t>Rosscup</t>
  </si>
  <si>
    <t>Walters</t>
  </si>
  <si>
    <t>Zack</t>
  </si>
  <si>
    <t>Wheeler</t>
  </si>
  <si>
    <t>Deshields Jr.</t>
  </si>
  <si>
    <t>de la Cruz</t>
  </si>
  <si>
    <t>den Dekker</t>
  </si>
  <si>
    <t>de la Rosa</t>
  </si>
  <si>
    <t>La Stella</t>
  </si>
  <si>
    <t>Miami</t>
  </si>
  <si>
    <t>NY Yankees</t>
  </si>
  <si>
    <t>Atlanta</t>
  </si>
  <si>
    <t>NY Mets</t>
  </si>
  <si>
    <t>Cincinnati</t>
  </si>
  <si>
    <t>Milwaukee</t>
  </si>
  <si>
    <t>Texas</t>
  </si>
  <si>
    <t>Houston</t>
  </si>
  <si>
    <t>Seattle</t>
  </si>
  <si>
    <t>Cleveland</t>
  </si>
  <si>
    <t>Chi White Sox</t>
  </si>
  <si>
    <t>Chi Cubs</t>
  </si>
  <si>
    <t>Baltimore</t>
  </si>
  <si>
    <t>Kansas City</t>
  </si>
  <si>
    <t>San Diego</t>
  </si>
  <si>
    <t>Oakland</t>
  </si>
  <si>
    <t>LA Angels</t>
  </si>
  <si>
    <t>LA Dodgers</t>
  </si>
  <si>
    <t>San Francisco</t>
  </si>
  <si>
    <t>Portland</t>
  </si>
  <si>
    <t>Memphis</t>
  </si>
  <si>
    <t>Brooklyn</t>
  </si>
  <si>
    <t>San Antonio</t>
  </si>
  <si>
    <t>LA Clippers</t>
  </si>
  <si>
    <t>Golden State</t>
  </si>
  <si>
    <t>New Orleans</t>
  </si>
  <si>
    <t>Indiana</t>
  </si>
  <si>
    <t>Charlotte</t>
  </si>
  <si>
    <t>Orlando</t>
  </si>
  <si>
    <t>New York</t>
  </si>
  <si>
    <t>Oklahoma city</t>
  </si>
  <si>
    <t>Phoenix</t>
  </si>
  <si>
    <t>Utah</t>
  </si>
  <si>
    <t>Denver</t>
  </si>
  <si>
    <t>Sacramento</t>
  </si>
  <si>
    <t>LA Lakers</t>
  </si>
  <si>
    <t>Vegas Odds-MLB</t>
  </si>
  <si>
    <t>Vegas Odds - NHL</t>
  </si>
  <si>
    <t>Vegas Odds - NBA</t>
  </si>
  <si>
    <t>NHL FD Name</t>
  </si>
  <si>
    <t>NHL Player Data Name</t>
  </si>
  <si>
    <t xml:space="preserve">MLB Player Data Names not in Fanduel </t>
  </si>
  <si>
    <t>Fanduel First Name</t>
  </si>
  <si>
    <t>Fanduel Last Name</t>
  </si>
  <si>
    <t>test_ian.py</t>
  </si>
  <si>
    <t>C:\Users\Ian Whitestone\Documents\Python Projects\Fanduel-master\fanduel\modules\test_ian.py</t>
  </si>
  <si>
    <t>script_name_12</t>
  </si>
  <si>
    <t>script_path_12</t>
  </si>
  <si>
    <t>Blue Jays</t>
  </si>
  <si>
    <t>Yankees</t>
  </si>
  <si>
    <t>Twins</t>
  </si>
  <si>
    <t>Tigers</t>
  </si>
  <si>
    <t>Rockies</t>
  </si>
  <si>
    <t>Brewers</t>
  </si>
  <si>
    <t>Red Sox</t>
  </si>
  <si>
    <t>Phillies</t>
  </si>
  <si>
    <t>Orioles</t>
  </si>
  <si>
    <t>Rays</t>
  </si>
  <si>
    <t>Mets</t>
  </si>
  <si>
    <t>Nationals</t>
  </si>
  <si>
    <t>Braves</t>
  </si>
  <si>
    <t>Marlins</t>
  </si>
  <si>
    <t>White Sox</t>
  </si>
  <si>
    <t>Royals</t>
  </si>
  <si>
    <t>Angels</t>
  </si>
  <si>
    <t>Mariners</t>
  </si>
  <si>
    <t>Pirates</t>
  </si>
  <si>
    <t>Reds</t>
  </si>
  <si>
    <t>Padres</t>
  </si>
  <si>
    <t>Dodgers</t>
  </si>
  <si>
    <t>Indians</t>
  </si>
  <si>
    <t>Astros</t>
  </si>
  <si>
    <t>Rangers</t>
  </si>
  <si>
    <t>Athletics</t>
  </si>
  <si>
    <t>Giants</t>
  </si>
  <si>
    <t>Diamondbacks</t>
  </si>
  <si>
    <t>Cardinals</t>
  </si>
  <si>
    <t>BaseballPress Lineups</t>
  </si>
  <si>
    <t>Cubs</t>
  </si>
  <si>
    <t>Sport.py</t>
  </si>
  <si>
    <t>C:\Users\Cole\Desktop\FanDuel\fanduel\modules\Sport.py</t>
  </si>
  <si>
    <t>Project FD Points</t>
  </si>
  <si>
    <t>Confidence</t>
  </si>
  <si>
    <t>Henderson Alvarez</t>
  </si>
  <si>
    <t>Henderson Álvarez</t>
  </si>
  <si>
    <t>Michael Bolsinger</t>
  </si>
  <si>
    <t>Mike Bolsinger</t>
  </si>
  <si>
    <t>Xavier Cedeno</t>
  </si>
  <si>
    <t>Xavier Cedeño</t>
  </si>
  <si>
    <t>Roenis Elias</t>
  </si>
  <si>
    <t>Roenis Elías</t>
  </si>
  <si>
    <t>Jacob Elmore</t>
  </si>
  <si>
    <t>Jake Elmore</t>
  </si>
  <si>
    <t>Carlos Frias</t>
  </si>
  <si>
    <t>Carlos Frías</t>
  </si>
  <si>
    <t>Thomas La Stella</t>
  </si>
  <si>
    <t>Tommy La Stella</t>
  </si>
  <si>
    <t>Tom Layne</t>
  </si>
  <si>
    <t>Tommy Layne</t>
  </si>
  <si>
    <t>Nicholas Martinez</t>
  </si>
  <si>
    <t>Nick Martinez</t>
  </si>
  <si>
    <t>Hector Noesi</t>
  </si>
  <si>
    <t>Héctor Noesí</t>
  </si>
  <si>
    <t>Jacob Petricka</t>
  </si>
  <si>
    <t>Jake Petricka</t>
  </si>
  <si>
    <t>Alex Rios</t>
  </si>
  <si>
    <t>Álex Ríos</t>
  </si>
  <si>
    <t>Jorge Rondon</t>
  </si>
  <si>
    <t>Jorge Rondón</t>
  </si>
  <si>
    <t>Wandy Rodriguez</t>
  </si>
  <si>
    <t>Wandy Rodríguez</t>
  </si>
  <si>
    <t>AJ Schugel</t>
  </si>
  <si>
    <t>A.J. Schugel</t>
  </si>
  <si>
    <t>Matthew Tracy</t>
  </si>
  <si>
    <t>Matt Tracy</t>
  </si>
  <si>
    <t>FD TeamID</t>
  </si>
  <si>
    <t>KAN</t>
  </si>
  <si>
    <t>CWS</t>
  </si>
  <si>
    <t>César Jimenez</t>
  </si>
  <si>
    <t>Chris Dominguez</t>
  </si>
  <si>
    <t>Cody Stanley</t>
  </si>
  <si>
    <t>Enrique Hernández</t>
  </si>
  <si>
    <t>Joe Nathan</t>
  </si>
  <si>
    <t>John Axford</t>
  </si>
  <si>
    <t>Max Muncy</t>
  </si>
  <si>
    <t>Radhames Liz</t>
  </si>
  <si>
    <t>data_scrapping.py (1)</t>
  </si>
  <si>
    <t>C:\Users\Ian Whitestone\Documents\Python Projects\Fanduel-master\fanduel\modules\data_scrapping.py</t>
  </si>
  <si>
    <t>Sport.py (1)</t>
  </si>
  <si>
    <t>C:\Users\Ian Whitestone\Documents\Python Projects\Fanduel-master\fanduel\modules\Sport.py</t>
  </si>
  <si>
    <t>script_name_13</t>
  </si>
  <si>
    <t>script_path_13</t>
  </si>
  <si>
    <t>Travis dArnaud</t>
  </si>
  <si>
    <t>Jackie Bradley Jr.</t>
  </si>
  <si>
    <t>John Ryan Murphy</t>
  </si>
  <si>
    <t>John Mayberry Jr.</t>
  </si>
  <si>
    <t>TJ House</t>
  </si>
  <si>
    <t>Sean OSullivan</t>
  </si>
  <si>
    <t>Jonathan Diaz</t>
  </si>
  <si>
    <t>John Mayberry</t>
  </si>
  <si>
    <t>Sean O'Sullivan</t>
  </si>
  <si>
    <t>T.J. House</t>
  </si>
  <si>
    <t>Jon Diaz</t>
  </si>
  <si>
    <t>Jackie Bradley</t>
  </si>
  <si>
    <t>MLB Lineups Name</t>
  </si>
  <si>
    <t>Fanduel Name</t>
  </si>
  <si>
    <t>Khristopher Davis</t>
  </si>
  <si>
    <t>J. Saltalamacchia</t>
  </si>
  <si>
    <t>Jarrod Saltalamacchia</t>
  </si>
  <si>
    <t>Khris Davis</t>
  </si>
  <si>
    <t>Points</t>
  </si>
  <si>
    <t>MLB XML Stats Name</t>
  </si>
  <si>
    <t>TAM</t>
  </si>
  <si>
    <t>SDP</t>
  </si>
  <si>
    <t>SFG</t>
  </si>
  <si>
    <t>LOS</t>
  </si>
  <si>
    <t>Alex Rodriguez_batter</t>
  </si>
  <si>
    <t>Anthony Rizzo_batter</t>
  </si>
  <si>
    <t>Wandy Rodriguez_pitcher</t>
  </si>
  <si>
    <t>Miguel Montero_batter</t>
  </si>
  <si>
    <t>Devon Travis_batter</t>
  </si>
  <si>
    <t>Andrew McCutchen_batter</t>
  </si>
  <si>
    <t>Dexter Fowler_batter</t>
  </si>
  <si>
    <t>Ian Desmond_batter</t>
  </si>
  <si>
    <t>Michael Brantley_batter</t>
  </si>
  <si>
    <t>{'Kolten Wong_batter': {'Salary': 2800.0, 'projected_FD_points': 2.5015217406802739, 'confidence': 0.046564698180285302, 'FD_Position': '2B'}, 'Carlos Ruiz_batter': {'Salary': 2200.0, 'projected_FD_points': 1.7690586127680681, 'confidence': -0.52543012780490073, 'FD_Position': 'C'}, 'Johnny Cueto_pitcher': {'Salary': 10500.0, 'projected_FD_points': 14.277931353133308, 'confidence': 0.093813880120496962, 'FD_Position': 'P'}, 'Christian Yelich_batter': {'Salary': 2900.0, 'projected_FD_points': 2.5881294964028778, 'confidence': -0.96585791523524089, 'FD_Position': 'OF'}, 'Dexter Fowler_batter': {'Salary': 2900.0, 'projected_FD_points': 3.6481853742332122, 'confidence': -0.19655744744705395, 'FD_Position': 'OF'}, 'Kyle Seager_batter': {'Salary': 3000.0, 'projected_FD_points': 2.5135747240921371, 'confidence': -0.034157332643142135, 'FD_Position': '3B'}, 'Giancarlo Stanton_batter': {'Salary': 4800.0, 'projected_FD_points': 3.4787081104823914, 'confidence': -0.0035882180217692294, 'FD_Position': 'OF'}, 'Jose Abreu_batter': {'Salary': 3500.0, 'projected_FD_points': 3.3639793476133848, 'confidence': -0.0015841426264080471, 'FD_Position': '1B'}, 'Alexei Ramirez_batter': {'Salary': 2400.0, 'projected_FD_points': 2.0685975609756095, 'confidence': -0.0057799277461583198, 'FD_Position': 'SS'}}</t>
  </si>
  <si>
    <t>Historical Roster</t>
  </si>
  <si>
    <t>{'Michael Brantley_batter': {'Salary': 4200.0, 'projected_FD_points': 4.2336769688026097, 'confidence': -1.197185560494777, 'FD_Position': 'OF'}, 'Sonny Gray_pitcher': {'Salary': 9400.0, 'projected_FD_points': 13.882809722769572, 'confidence': -3.0789266706330709, 'FD_Position': 'P'}, 'Alex Rodriguez_batter': {'Salary': 3200.0, 'projected_FD_points': 3.2843163265306128, 'confidence': -0.20293109859113478, 'FD_Position': '3B'}, 'Jimmy Paredes_batter': {'Salary': 2900.0, 'projected_FD_points': 3.2427418529042837, 'confidence': -0.12597901596231798, 'FD_Position': '2B'}, 'Daniel Santana_batter': {'Salary': 3000.0, 'projected_FD_points': 2.4891383923848007, 'confidence': 0.016773424403390025, 'FD_Position': 'SS'}, 'Dexter Fowler_batter': {'Salary': 3000.0, 'projected_FD_points': 3.3322851809068776, 'confidence': 0.016186217046206597, 'FD_Position': 'OF'}, 'Giancarlo Stanton_batter': {'Salary': 4800.0, 'projected_FD_points': 3.5258064516129033, 'confidence': -0.033703475882515876, 'FD_Position': 'OF'}, 'Mike Napoli_batter': {'Salary': 2300.0, 'projected_FD_points': 2.2387474659840572, 'confidence': -0.043086269663090704, 'FD_Position': '1B'}, 'Jason Castro_batter': {'Salary': 2200.0, 'projected_FD_points': 2.1321616417770257, 'confidence': -0.072108737559090974, 'FD_Position': 'C'}}</t>
  </si>
  <si>
    <t>{'Adrian Beltre_batter': {'Salary': 2800.0, 'projected_FD_points': 2.4197869189857424, 'confidence': -0.13182809031471487, 'FD_Position': '3B'}, 'Jimmy Paredes_batter': {'Salary': 3000.0, 'projected_FD_points': 3.2035561636537557, 'confidence': -0.1411138373135179, 'FD_Position': '2B'}, 'Paul Goldschmidt_batter': {'Salary': 5100.0, 'projected_FD_points': 3.7087502608929435, 'confidence': -0.040042303963269132, 'FD_Position': '1B'}, 'J.J. Hardy_batter': {'Salary': 2400.0, 'projected_FD_points': 1.9036645871774598, 'confidence': -0.49157096821212254, 'FD_Position': 'SS'}, 'Marcell Ozuna_batter': {'Salary': 2900.0, 'projected_FD_points': 2.6786514911556734, 'confidence': -1.3305060188655813, 'FD_Position': 'OF'}, 'Giancarlo Stanton_batter': {'Salary': 4700.0, 'projected_FD_points': 3.5503246753246751, 'confidence': -0.027116497232466674, 'FD_Position': 'OF'}, 'Kyle Blanks_batter': {'Salary': 3000.0, 'projected_FD_points': 2.9214568126520684, 'confidence': -0.03196112502830406, 'FD_Position': 'OF'}, 'Collin McHugh_pitcher': {'Salary': 8400.0, 'projected_FD_points': 13.016798442797942, 'confidence': -1.631894781811206, 'FD_Position': 'P'}, 'Jason Castro_batter': {'Salary': 2200.0, 'projected_FD_points': 2.0410658946902411, 'confidence': 0.04470877929114625, 'FD_Position': 'C'}}</t>
  </si>
  <si>
    <t>{'Michael Brantley_batter': {'Salary': 4100.0, 'projected_FD_points': 4.2985916577006344, 'confidence': -0.47027052874147302, 'FD_Position': 'OF'}, 'J.D. Martinez_batter': {'Salary': 3200.0, 'projected_FD_points': 2.8677366800077371, 'confidence': 0.0041255397777855141, 'FD_Position': 'OF'}, 'Devon Travis_batter': {'Salary': 3600.0, 'projected_FD_points': 3.7779259014679374, 'confidence': -0.38740023541040758, 'FD_Position': '2B'}, 'Kyle Blanks_batter': {'Salary': 2800.0, 'projected_FD_points': 2.8344475889444278, 'confidence': -0.16610258210492423, 'FD_Position': 'OF'}, 'Daniel Santana_batter': {'Salary': 2900.0, 'projected_FD_points': 2.6362985192091575, 'confidence': -0.042371268472873203, 'FD_Position': 'SS'}, 'Kyle Seager_batter': {'Salary': 2700.0, 'projected_FD_points': 2.6476608850990013, 'confidence': 0.002173856471513691, 'FD_Position': '3B'}, 'Victor Martinez_batter': {'Salary': 3200.0, 'projected_FD_points': 2.6218652988634625, 'confidence': -0.049430446355705815, 'FD_Position': 'C'}, 'Jose Abreu_batter': {'Salary': 3600.0, 'projected_FD_points': 3.3896906238863931, 'confidence': -0.004219840494050775, 'FD_Position': '1B'}, 'Jon Lester_pitcher': {'Salary': 8900.0, 'projected_FD_points': 13.065382861362057, 'confidence': -0.71740875831030815, 'FD_Position': 'P'}}</t>
  </si>
  <si>
    <t>Roster Nerds NBA</t>
  </si>
  <si>
    <t>Roster Nerds NHL</t>
  </si>
  <si>
    <t>Roster Nerds MLB</t>
  </si>
  <si>
    <t>{'Michael Brantley_batter': {'Salary': 4200.0, 'projected_FD_points': 4.092437005947172, 'confidence': -0.14427439768534378, 'FD_Position': 'OF'}, 'Robinson Chirinos_batter': {'Salary': 2400.0, 'projected_FD_points': 1.8408537895693857, 'confidence': 0.009804322393020759, 'FD_Position': 'C'}, 'Brian Dozier_batter': {'Salary': 3200.0, 'projected_FD_points': 2.7521948863279624, 'confidence': -0.21615811086124248, 'FD_Position': '2B'}, 'Brandon Moss_batter': {'Salary': 3400.0, 'projected_FD_points': 2.8001618155144108, 'confidence': -1.7399547689456769, 'FD_Position': 'OF'}, 'Freddie Freeman_batter': {'Salary': 3900.0, 'projected_FD_points': 2.8040616923682546, 'confidence': -0.0033278945460011311, 'FD_Position': '1B'}, 'Julio Teheran_pitcher': {'Salary': 8300.0, 'projected_FD_points': 11.400295986685329, 'confidence': -0.00066565455255540584, 'FD_Position': 'P'}, 'Evan Longoria_batter': {'Salary': 3500.0, 'projected_FD_points': 2.5408746120440857, 'confidence': -0.28044137802479341, 'FD_Position': '3B'}, 'Daniel Santana_batter': {'Salary': 2900.0, 'projected_FD_points': 2.6006757468926338, 'confidence': -0.85506483592685023, 'FD_Position': 'SS'}, 'Kyle Blanks_batter': {'Salary': 2900.0, 'projected_FD_points': 2.8758310626702994, 'confidence': -5.3673987300691639, 'FD_Position': 'OF'}}</t>
  </si>
  <si>
    <t>Ian - need to check if RN lineups are for today</t>
  </si>
  <si>
    <t>{'Michael Brantley_batter': {'Salary': 4100.0, 'projected_FD_points': 4.0958856811763065, 'confidence': 0.007511398350216969, 'FD_Position': 'OF'}, 'Jimmy Paredes_batter': {'Salary': 3100.0, 'projected_FD_points': 3.7787197802197801, 'confidence': -1.9162258080740719, 'FD_Position': '2B'}, 'Wandy Rodriguez_pitcher': {'Salary': 5600.0, 'projected_FD_points': 14.738330046022355, 'confidence': 0, 'FD_Position': 'P'}, 'Russell Martin_batter': {'Salary': 3500.0, 'projected_FD_points': 2.7166442780813234, 'confidence': -0.48933976746545893, 'FD_Position': 'C'}, 'Mark Canha_batter': {'Salary': 3000.0, 'projected_FD_points': 3.3824637968657014, 'confidence': 0.0, 'FD_Position': 'OF'}, 'Daniel Santana_batter': {'Salary': 2800.0, 'projected_FD_points': 2.4934367227088399, 'confidence': -0.10830849241126606, 'FD_Position': 'SS'}, 'Giancarlo Stanton_batter': {'Salary': 4800.0, 'projected_FD_points': 3.6013439138535959, 'confidence': -0.062361700011564603, 'FD_Position': 'OF'}, 'Jose Abreu_batter': {'Salary': 3600.0, 'projected_FD_points': 3.5463442252971391, 'confidence': -0.067128830167175746, 'FD_Position': '1B'}, 'Matt Carpenter_batter': {'Salary': 4300.0, 'projected_FD_points': 2.9124787145262196, 'confidence': -0.054329126137681039, 'FD_Position': '3B'}}</t>
  </si>
  <si>
    <t>{'Adrian Beltre_batter': {'Salary': 2900.0, 'projected_FD_points': 2.4951298701298703, 'confidence': -0.011703112418565143, 'FD_Position': '3B'}, 'Ben Revere_batter': {'Salary': 2400.0, 'projected_FD_points': 2.5416864615865586, 'confidence': -0.22716799021233713, 'FD_Position': 'OF'}, 'Devon Travis_batter': {'Salary': 3500.0, 'projected_FD_points': 3.2849233036989269, 'confidence': -0.098844274491677764, 'FD_Position': '2B'}, 'Mark Canha_batter': {'Salary': 3000.0, 'projected_FD_points': 3.2266895276257994, 'confidence': -0.043811057911629758, 'FD_Position': 'OF'}, 'David Ortiz_batter': {'Salary': 3200.0, 'projected_FD_points': 2.9195205479452055, 'confidence': -0.1407539432146383, 'FD_Position': '1B'}, 'Daniel Santana_batter': {'Salary': 2800.0, 'projected_FD_points': 2.4920253578789064, 'confidence': -0.0291618489987584, 'FD_Position': 'SS'}, 'Clayton Kershaw_pitcher': {'Salary': 11300.0, 'projected_FD_points': 16.246642984014212, 'confidence': -1.1991949323236746, 'FD_Position': 'P'}, 'Stephen Vogt_batter': {'Salary': 3000.0, 'projected_FD_points': 2.2295518362827456, 'confidence': -0.052316775109571889, 'FD_Position': 'C'}, 'Kyle Blanks_batter': {'Salary': 2900.0, 'projected_FD_points': 2.894578748694884, 'confidence': -0.9871861637448951, 'FD_Position': 'OF'}}</t>
  </si>
  <si>
    <t>{'Kolten Wong_batter': {'Salary': 2400.0, 'projected_FD_points': 2.5096620406501304, 'confidence': 0.018824729847542687, 'FD_Position': '2B'}, 'Anthony Rizzo_batter': {'Salary': 4200.0, 'projected_FD_points': 3.1120689655172415, 'confidence': -0.0075753022281228599, 'FD_Position': '1B'}, 'Evan Gattis_batter': {'Salary': 3400.0, 'projected_FD_points': 2.3654113658181486, 'confidence': 0.010243986761784285, 'FD_Position': 'C'}, 'Mark Canha_batter': {'Salary': 3000.0, 'projected_FD_points': 3.2266895276257994, 'confidence': -0.043811057911629758, 'FD_Position': 'OF'}, 'Daniel Santana_batter': {'Salary': 2800.0, 'projected_FD_points': 2.4920253578789064, 'confidence': -0.0291618489987584, 'FD_Position': 'SS'}, 'Dexter Fowler_batter': {'Salary': 3300.0, 'projected_FD_points': 2.9710542555394488, 'confidence': -0.65405954527812726, 'FD_Position': 'OF'}, 'Dallas Keuchel_pitcher': {'Salary': 8500.0, 'projected_FD_points': 11.430958152671248, 'confidence': -0.28985809746078206, 'FD_Position': 'P'}, 'Kyle Blanks_batter': {'Salary': 2900.0, 'projected_FD_points': 2.894578748694884, 'confidence': -0.9871861637448951, 'FD_Position': 'OF'}, 'Matt Carpenter_batter': {'Salary': 4200.0, 'projected_FD_points': 2.7311635600229023, 'confidence': -0.0038306300892816392, 'FD_Position': '3B'}}</t>
  </si>
  <si>
    <t>{'Albert Pujols_batter': {'Salary': 3100.0, 'projected_FD_points': 2.5447317109550398, 'confidence': -0.02602699091689642, 'FD_Position': '1B'}, 'Matt Kemp_batter': {'Salary': 3600.0, 'projected_FD_points': 2.6096108518785508, 'confidence': -0.030277684729521415, 'FD_Position': 'OF'}, 'Seth Smith_batter': {'Salary': 2200.0, 'projected_FD_points': 2.051550481939441, 'confidence': -0.021022676095836523, 'FD_Position': 'OF'}, 'Chris Iannetta_batter': {'Salary': 2200.0, 'projected_FD_points': 1.7029914529914529, 'confidence': -0.11088828283543917, 'FD_Position': 'C'}, 'Robinson Cano_batter': {'Salary': 3600.0, 'projected_FD_points': 2.3597056309513715, 'confidence': -0.11743972988102991, 'FD_Position': '2B'}, 'Felix Hernandez_pitcher': {'Salary': 11000.0, 'projected_FD_points': 15.903614028706087, 'confidence': -2.0649236077911737, 'FD_Position': 'P'}, 'Kyle Seager_batter': {'Salary': 2800.0, 'projected_FD_points': 2.3763817872351476, 'confidence': -0.13852504855814818, 'FD_Position': '3B'}, 'Justin Upton_batter': {'Salary': 4000.0, 'projected_FD_points': 2.8088164131181439, 'confidence': -0.015831267645471048, 'FD_Position': 'OF'}, 'Brandon Crawford_batter': {'Salary': 2500.0, 'projected_FD_points': 2.0057142857142858, 'confidence': -0.081178916554396796, 'FD_Position': 'SS'}}</t>
  </si>
  <si>
    <t>{'Joe Kelly_pitcher': {'Salary': 6900.0, 'projected_FD_points': 9.7765025504546461, 'confidence': -0.37166428202392288, 'FD_Position': 'P'}, 'Howie Kendrick_batter': {'Salary': 3100.0, 'projected_FD_points': 2.5180280427048647, 'confidence': -0.034831025500548618, 'FD_Position': '2B'}, 'Paul Goldschmidt_batter': {'Salary': 5100.0, 'projected_FD_points': 3.6662870114627477, 'confidence': -0.084096615549576148, 'FD_Position': '1B'}, 'Michael McKenry_batter': {'Salary': 2200.0, 'projected_FD_points': 2.5062753022523729, 'confidence': -0.94973031436295186, 'FD_Position': 'C'}, 'A.J. Pollock_batter': {'Salary': 3200.0, 'projected_FD_points': 2.606377211653585, 'confidence': -0.082716357924092154, 'FD_Position': 'OF'}, 'Justin Upton_batter': {'Salary': 4000.0, 'projected_FD_points': 2.9840958531820623, 'confidence': -0.097192197952462367, 'FD_Position': 'OF'}, 'Brandon Crawford_batter': {'Salary': 2500.0, 'projected_FD_points': 2.0330459770114944, 'confidence': -0.087250114702503545, 'FD_Position': 'SS'}, 'Hanley Ramirez_batter': {'Salary': 4200.0, 'projected_FD_points': 2.8831706993532653, 'confidence': -0.28290100986098543, 'FD_Position': 'OF'}, 'Nolan Arenado_batter': {'Salary': 3700.0, 'projected_FD_points': 2.6673728813559321, 'confidence': -0.027157023151139992, 'FD_Position': '3B'}}</t>
  </si>
  <si>
    <t>Ian - double check FD points calculation..</t>
  </si>
  <si>
    <t>{'Michael Brantley_batter': {'Salary': 3600.0, 'projected_FD_points': 4.1866275683269185, 'confidence': -0.082419758897577244, 'FD_Position': 'OF'}, 'Russell Martin_batter': {'Salary': 3200.0, 'projected_FD_points': 2.4852941176470589, 'confidence': -0.001742494880937473, 'FD_Position': 'C'}, 'Edwin Encarnacion_batter': {'Salary': 3900.0, 'projected_FD_points': 3.0769978260653486, 'confidence': -0.023517816388129331, 'FD_Position': '1B'}, 'Devon Travis_batter': {'Salary': 3400.0, 'projected_FD_points': 4.7339214570290267, 'confidence': -0.13811956175324713, 'FD_Position': '2B'}, 'Mark Canha_batter': {'Salary': 2800.0, 'projected_FD_points': 3.1996287128712861, 'confidence': -8.3454192894818231, 'FD_Position': 'OF'}, 'Daniel Santana_batter': {'Salary': 2800.0, 'projected_FD_points': 2.490250085621577, 'confidence': 0.011820665518883278, 'FD_Position': 'SS'}, 'Jake Arrieta_pitcher': {'Salary': 9800.0, 'projected_FD_points': 14.174754848675555, 'confidence': -1.4882358100264459, 'FD_Position': 'P'}, 'Kyle Seager_batter': {'Salary': 3000.0, 'projected_FD_points': 2.7560580681183691, 'confidence': -0.085847923433700846, 'FD_Position': '3B'}, 'Kyle Blanks_batter': {'Salary': 2400.0, 'projected_FD_points': 2.5309210526315788, 'confidence': 0.22374432563904589, 'FD_Position': 'OF'}}</t>
  </si>
  <si>
    <t>{'Michael Brantley_batter': {'Salary': 3600.0, 'projected_FD_points': 4.1866275683269185, 'confidence': -0.082419758897577244, 'FD_Position': 'OF'}, 'Russell Martin_batter': {'Salary': 3200.0, 'projected_FD_points': 2.4852941176470589, 'confidence': -0.001742494880937473, 'FD_Position': 'C'}, 'Albert Pujols_batter': {'Salary': 3000.0, 'projected_FD_points': 2.663109756097561, 'confidence': -0.027046355532759359, 'FD_Position': '1B'}, 'Melky Cabrera_batter': {'Salary': 2500.0, 'projected_FD_points': 2.5698011688339695, 'confidence': -0.01690261328397491, 'FD_Position': 'OF'}, 'Devon Travis_batter': {'Salary': 3400.0, 'projected_FD_points': 4.7339214570290267, 'confidence': -0.13811956175324713, 'FD_Position': '2B'}, 'Josh Donaldson_batter': {'Salary': 3900.0, 'projected_FD_points': 3.01381755865865, 'confidence': -0.01209610343269385, 'FD_Position': '3B'}, 'Daniel Santana_batter': {'Salary': 2800.0, 'projected_FD_points': 2.490250085621577, 'confidence': 0.011820665518883278, 'FD_Position': 'SS'}, 'Jake Arrieta_pitcher': {'Salary': 9800.0, 'projected_FD_points': 14.174754848675555, 'confidence': -1.4882358100264459, 'FD_Position': 'P'}, 'Marcell Ozuna_batter': {'Salary': 2800.0, 'projected_FD_points': 2.5141123897990614, 'confidence': 0.011465675714333101, 'FD_Position': 'OF'}}</t>
  </si>
  <si>
    <t>{'Jimmy Paredes_batter': {'Salary': 3200.0, 'projected_FD_points': 2.9147620169651272, 'confidence': 0.12473165655302187, 'FD_Position': '2B'}, 'Evan Gattis_batter': {'Salary': 3000.0, 'projected_FD_points': 2.3927244174094731, 'confidence': -0.72496160183558533, 'FD_Position': 'C'}, 'Mark Canha_batter': {'Salary': 2800.0, 'projected_FD_points': 3.1996287128712861, 'confidence': -8.3454192894818231, 'FD_Position': 'OF'}, 'Prince Fielder_batter': {'Salary': 3100.0, 'projected_FD_points': 2.5670871992946807, 'confidence': 0.12653420487612843, 'FD_Position': '1B'}, 'Troy Tulowitzki_batter': {'Salary': 4300.0, 'projected_FD_points': 3.3657796445265302, 'confidence': -0.12678887723637144, 'FD_Position': 'SS'}, 'David Price_pitcher': {'Salary': 10900.0, 'projected_FD_points': 14.153699766466243, 'confidence': -0.23000652603917526, 'FD_Position': 'P'}, 'Marlon Byrd_batter': {'Salary': 2300.0, 'projected_FD_points': 2.1272787520798571, 'confidence': -0.1638507599717749, 'FD_Position': 'OF'}, 'Kyle Seager_batter': {'Salary': 3000.0, 'projected_FD_points': 2.7560580681183691, 'confidence': -0.085847923433700846, 'FD_Position': '3B'}, 'Kyle Blanks_batter': {'Salary': 2400.0, 'projected_FD_points': 2.5309210526315788, 'confidence': 0.22374432563904589, 'FD_Position': 'OF'}}</t>
  </si>
  <si>
    <t>{'Michael Brantley_batter': {'Salary': 3600.0, 'projected_FD_points': 4.1866275683269185, 'confidence': -0.082419758897577244, 'FD_Position': 'OF'}, 'Russell Martin_batter': {'Salary': 3200.0, 'projected_FD_points': 2.4852941176470589, 'confidence': -0.001742494880937473, 'FD_Position': 'C'}, 'Ben Revere_batter': {'Salary': 2500.0, 'projected_FD_points': 2.3983202541442434, 'confidence': -0.65257930185968127, 'FD_Position': 'OF'}, 'Corey Kluber_pitcher': {'Salary': 9500.0, 'projected_FD_points': 13.441281550778056, 'confidence': -0.13168311217923367, 'FD_Position': 'P'}, 'Devon Travis_batter': {'Salary': 3400.0, 'projected_FD_points': 4.7339214570290267, 'confidence': -0.13811956175324713, 'FD_Position': '2B'}, 'Josh Donaldson_batter': {'Salary': 3900.0, 'projected_FD_points': 3.01381755865865, 'confidence': -0.01209610343269385, 'FD_Position': '3B'}, 'Albert Pujols_batter': {'Salary': 3000.0, 'projected_FD_points': 2.663109756097561, 'confidence': -0.027046355532759359, 'FD_Position': '1B'}, 'Kole Calhoun_batter': {'Salary': 3400.0, 'projected_FD_points': 2.6481481481481484, 'confidence': -0.13279033291198727, 'FD_Position': 'OF'}, 'Brandon Crawford_batter': {'Salary': 2500.0, 'projected_FD_points': 2.0664739884393062, 'confidence': -0.69372185831739563, 'FD_Position': 'SS'}}</t>
  </si>
  <si>
    <t>{'Michael Brantley_batter': {'Salary': 3500.0, 'projected_FD_points': 3.9723568674390553, 'confidence': 0.12544125273705653, 'FD_Position': 'OF'}, 'Jimmy Paredes_batter': {'Salary': 3200.0, 'projected_FD_points': 3.3542684325192069, 'confidence': 0.44333821816518648, 'FD_Position': '2B'}, 'Evan Gattis_batter': {'Salary': 2700.0, 'projected_FD_points': 2.4096759143357835, 'confidence': -0.058426198129475138, 'FD_Position': 'C'}, 'Alexander Guerrero_batter': {'Salary': 2800.0, 'projected_FD_points': 3.1295986622073579, 'confidence': -10.250421227007212, 'FD_Position': 'OF'}, 'Paulo Orlando_batter': {'Salary': 3000.0, 'projected_FD_points': 3.7129283489096574, 'confidence': 0.0, 'FD_Position': 'OF'}, 'Troy Tulowitzki_batter': {'Salary': 4300.0, 'projected_FD_points': 3.3446043281364668, 'confidence': -0.10375048061989456, 'FD_Position': 'SS'}, 'Jose Abreu_batter': {'Salary': 4000.0, 'projected_FD_points': 3.5638878453825922, 'confidence': -0.10916378437088903, 'FD_Position': '1B'}, 'Matt Carpenter_batter': {'Salary': 4100.0, 'projected_FD_points': 2.8654540064973286, 'confidence': -0.018403181147539804, 'FD_Position': '3B'}, 'Ian Kennedy_pitcher': {'Salary': 7300.0, 'projected_FD_points': 12.797065344712184, 'confidence': -0.018851832626562981, 'FD_Position': 'P'}}</t>
  </si>
  <si>
    <t>Player_Universe Size</t>
  </si>
  <si>
    <t>Proj Pts</t>
  </si>
  <si>
    <t>{'Michael Brantley_batter': {'Salary': 4300.0, 'projected_FD_points': 3.7149728741955332, 'confidence': 0.085269128001463357, 'FD_Position': 'OF'}, 'Alex Rodriguez_batter': {'Salary': 3400.0, 'projected_FD_points': 2.9660005293806249, 'confidence': 0.0, 'FD_Position': '3B'}, 'J.D. Martinez_batter': {'Salary': 3000.0, 'projected_FD_points': 2.9119087857978587, 'confidence': -0.016501049744782392, 'FD_Position': 'OF'}, 'Devon Travis_batter': {'Salary': 3300.0, 'projected_FD_points': 4.7334434679928243, 'confidence': -0.32507537969735045, 'FD_Position': '2B'}, 'Daniel Santana_batter': {'Salary': 2900.0, 'projected_FD_points': 2.5059201299180631, 'confidence': -0.056714739402688563, 'FD_Position': 'SS'}, 'Dexter Fowler_batter': {'Salary': 3200.0, 'projected_FD_points': 3.6519553776528273, 'confidence': 0.0057337785571559552, 'FD_Position': 'OF'}, 'Danny Salazar_pitcher': {'Salary': 7800.0, 'projected_FD_points': 14.457792009759068, 'confidence': -0.4471959145832991, 'FD_Position': 'P'}, 'Victor Martinez_batter': {'Salary': 3600.0, 'projected_FD_points': 2.6765013700839928, 'confidence': 0.11175410008478293, 'FD_Position': 'C'}, 'Jose Abreu_batter': {'Salary': 3500.0, 'projected_FD_points': 3.441358184555122, 'confidence': -0.034017455622766146, 'FD_Position': '1B'}}</t>
  </si>
  <si>
    <t>{'Michael Brantley_batter': {'Salary': 4300.0, 'projected_FD_points': 3.7149728741955332, 'confidence': 0.085269128001463357, 'FD_Position': 'OF'}, 'Devon Travis_batter': {'Salary': 3300.0, 'projected_FD_points': 4.7334434679928243, 'confidence': -0.32507537969735045, 'FD_Position': '2B'}, 'Devin Mesoraco_batter': {'Salary': 2400.0, 'projected_FD_points': 2.1987240337336651, 'confidence': -0.33125333763584952, 'FD_Position': 'C'}, 'Josh Donaldson_batter': {'Salary': 3700.0, 'projected_FD_points': 3.0615279161374591, 'confidence': -0.081371554809036351, 'FD_Position': '3B'}, 'Daniel Santana_batter': {'Salary': 2900.0, 'projected_FD_points': 2.5059201299180631, 'confidence': -0.056714739402688563, 'FD_Position': 'SS'}, 'Dexter Fowler_batter': {'Salary': 3200.0, 'projected_FD_points': 3.6519553776528273, 'confidence': 0.0057337785571559552, 'FD_Position': 'OF'}, 'Danny Salazar_pitcher': {'Salary': 7800.0, 'projected_FD_points': 14.457792009759068, 'confidence': -0.4471959145832991, 'FD_Position': 'P'}, 'Jose Abreu_batter': {'Salary': 3500.0, 'projected_FD_points': 3.441358184555122, 'confidence': -0.034017455622766146, 'FD_Position': '1B'}, 'Andrew McCutchen_batter': {'Salary': 3900.0, 'projected_FD_points': 3.1234177215189876, 'confidence': -0.050342268267374424, 'FD_Position': 'OF'}}</t>
  </si>
  <si>
    <t>{'Yoenis Cespedes_batter': {'Salary': 3000.0, 'projected_FD_points': 2.5644171779141103, 'confidence': -0.0070443058665945468, 'FD_Position': 'OF'}, 'J.D. Martinez_batter': {'Salary': 3000.0, 'projected_FD_points': 2.9119087857978587, 'confidence': -0.016501049744782392, 'FD_Position': 'OF'}, 'Robinson Cano_batter': {'Salary': 3400.0, 'projected_FD_points': 2.5711302498137854, 'confidence': -0.06519146037333301, 'FD_Position': '2B'}, 'Seth Smith_batter': {'Salary': 2300.0, 'projected_FD_points': 2.1290700277603656, 'confidence': -0.02873370624508631, 'FD_Position': 'OF'}, 'Marcus Semien_batter': {'Salary': 2700.0, 'projected_FD_points': 2.1642148560367773, 'confidence': -0.13556329508199938, 'FD_Position': 'SS'}, 'Clayton Kershaw_pitcher': {'Salary': 11200.0, 'projected_FD_points': 16.009446682578329, 'confidence': -0.89505786948135513, 'FD_Position': 'P'}, 'Billy Butler_batter': {'Salary': 2600.0, 'projected_FD_points': 2.031620282538058, 'confidence': -0.047041396007710734, 'FD_Position': '1B'}, 'Kyle Seager_batter': {'Salary': 3000.0, 'projected_FD_points': 2.5859112582501487, 'confidence': -0.03705907394803698, 'FD_Position': '3B'}, 'Victor Martinez_batter': {'Salary': 3600.0, 'projected_FD_points': 2.6765013700839928, 'confidence': 0.11175410008478293, 'FD_Position': 'C'}}</t>
  </si>
  <si>
    <t>{'Brian Dozier_batter': {'Salary': 2900.0, 'projected_FD_points': 2.7484276729559749, 'confidence': -0.0033913021354103901, 'FD_Position': '2B'}, 'J.D. Martinez_batter': {'Salary': 3500.0, 'projected_FD_points': 3.0734944994340254, 'confidence': -0.021788711826890461, 'FD_Position': 'OF'}, 'Paulo Orlando_batter': {'Salary': 3000.0, 'projected_FD_points': 3.7129283489096574, 'confidence': 0.0, 'FD_Position': 'OF'}, 'Roenis Elias_pitcher': {'Salary': 6700.0, 'projected_FD_points': 11.449595667206545, 'confidence': -0.38148442609438615, 'FD_Position': 'P'}, 'Daniel Santana_batter': {'Salary': 2800.0, 'projected_FD_points': 2.6105868602774223, 'confidence': -0.34550264931880226, 'FD_Position': 'SS'}, 'Victor Martinez_batter': {'Salary': 3400.0, 'projected_FD_points': 2.6258211568137675, 'confidence': 0.019725339001263054, 'FD_Position': 'C'}, 'Jose Abreu_batter': {'Salary': 4000.0, 'projected_FD_points': 3.5638878453825922, 'confidence': -0.10916378437088903, 'FD_Position': '1B'}, 'Matt Carpenter_batter': {'Salary': 4100.0, 'projected_FD_points': 2.8654540064973286, 'confidence': -0.018403181147539804, 'FD_Position': '3B'}, 'Andrew McCutchen_batter': {'Salary': 4100.0, 'projected_FD_points': 3.0226572545946531, 'confidence': -0.036730060333824754, 'FD_Position': 'OF'}}</t>
  </si>
  <si>
    <t>{'Kris Bryant_batter': {'Salary': 3800.0, 'projected_FD_points': 4.2222222222222223, 'confidence': 0.0, 'FD_Position': '3B'}, 'Kolten Wong_batter': {'Salary': 2700.0, 'projected_FD_points': 2.5210132250805546, 'confidence': 0.041561505629764905, 'FD_Position': '2B'}, 'Carlos Corporan_batter': {'Salary': 2200.0, 'projected_FD_points': 1.9264108976046326, 'confidence': -1.102828450921113, 'FD_Position': 'C'}, 'Erick Aybar_batter': {'Salary': 2200.0, 'projected_FD_points': 1.920807453416149, 'confidence': -0.10501422883003575, 'FD_Position': 'SS'}, 'Lucas Duda_batter': {'Salary': 3700.0, 'projected_FD_points': 2.8886368712623356, 'confidence': -0.0054513461161960208, 'FD_Position': '1B'}, 'Felix Hernandez_pitcher': {'Salary': 11100.0, 'projected_FD_points': 14.565509301897222, 'confidence': 0.56366283665512174, 'FD_Position': 'P'}, 'Denard Span_batter': {'Salary': 2600.0, 'projected_FD_points': 2.5701919698135938, 'confidence': -0.047234043031669559, 'FD_Position': 'OF'}, 'Jorge Soler_batter': {'Salary': 3200.0, 'projected_FD_points': 2.8717948717948718, 'confidence': -1.1478020917288019, 'FD_Position': 'OF'}, 'Dexter Fowler_batter': {'Salary': 3400.0, 'projected_FD_points': 3.2991990489963983, 'confidence': -0.068349522649163497, 'FD_Position': 'OF'}}</t>
  </si>
  <si>
    <t>{'Michael Brantley_batter': {'Salary': 3600.0, 'projected_FD_points': 3.8627180198253486, 'confidence': -0.063841834146539878, 'FD_Position': 'OF'}, 'Jose Bautista_batter': {'Salary': 4800.0, 'projected_FD_points': 3.3284313725490198, 'confidence': -0.060167583033660543, 'FD_Position': 'OF'}, 'Devon Travis_batter': {'Salary': 3400.0, 'projected_FD_points': 4.1928022644561258, 'confidence': -2.8218718619095013, 'FD_Position': '2B'}, 'Josh Donaldson_batter': {'Salary': 4000.0, 'projected_FD_points': 3.0061741381860423, 'confidence': -0.011565043252659724, 'FD_Position': '3B'}, 'Mookie Betts_batter': {'Salary': 3200.0, 'projected_FD_points': 2.7962255480720208, 'confidence': -4.6017533885448101, 'FD_Position': 'OF'}, 'David Ortiz_batter': {'Salary': 3300.0, 'projected_FD_points': 2.8562328467524543, 'confidence': -0.00017709048644909409, 'FD_Position': '1B'}, 'Ryan Hanigan_batter': {'Salary': 2200.0, 'projected_FD_points': 1.4589327346955399, 'confidence': -0.0081954161161958972, 'FD_Position': 'C'}, 'Danny Salazar_pitcher': {'Salary': 7700.0, 'projected_FD_points': 13.104156078367083, 'confidence': -0.71771176240888934, 'FD_Position': 'P'}, 'Alcides Escobar_batter': {'Salary': 2400.0, 'projected_FD_points': 1.8327299114238651, 'confidence': -0.016945123889354541, 'FD_Position': 'SS'}}</t>
  </si>
  <si>
    <t>{'Kris Bryant_batter': {'Salary': 3500.0, 'projected_FD_points': 3.0490909090909093, 'confidence': 0, 'FD_Position': '3B'}, 'Kolten Wong_batter': {'Salary': 2700.0, 'projected_FD_points': 2.4750297158235326, 'confidence': 0.0079315204824063068, 'FD_Position': '2B'}, 'Albert Pujols_batter': {'Salary': 3200.0, 'projected_FD_points': 2.7596046607949574, 'confidence': -0.13671662503343818, 'FD_Position': '1B'}, 'Evan Gattis_batter': {'Salary': 2500.0, 'projected_FD_points': 2.1600690240302614, 'confidence': 0.00032439869126266174, 'FD_Position': 'C'}, 'A.J. Pollock_batter': {'Salary': 3100.0, 'projected_FD_points': 2.9159218222454704, 'confidence': -0.016830317206389056, 'FD_Position': 'OF'}, 'Daniel Santana_batter': {'Salary': 2500.0, 'projected_FD_points': 2.688143981339028, 'confidence': -0.064213300598054079, 'FD_Position': 'SS'}, 'Clayton Kershaw_pitcher': {'Salary': 11500.0, 'projected_FD_points': 15.997162981803953, 'confidence': -0.36268706190064881, 'FD_Position': 'P'}, 'Dexter Fowler_batter': {'Salary': 3300.0, 'projected_FD_points': 3.4541387344220507, 'confidence': 0.031793610852405507, 'FD_Position': 'OF'}, 'Jayson Werth_batter': {'Salary': 2700.0, 'projected_FD_points': 2.4368875102065735, 'confidence': -0.12695155450700746, 'FD_Position': 'OF'}}</t>
  </si>
  <si>
    <t>{'Michael Brantley_batter': {'Salary': 3700.0, 'projected_FD_points': 4.0147146796891189, 'confidence': -0.024809400902747525, 'FD_Position': 'OF'}, 'Russell Martin_batter': {'Salary': 3100.0, 'projected_FD_points': 2.4933782973068421, 'confidence': -0.080654587742400974, 'FD_Position': 'C'}, 'Asdrubal Cabrera_batter': {'Salary': 2200.0, 'projected_FD_points': 1.8283571284879616, 'confidence': -0.06847370390227403, 'FD_Position': 'SS'}, 'Johnny Cueto_pitcher': {'Salary': 10400.0, 'projected_FD_points': 14.477146077191227, 'confidence': -0.23751173966309991, 'FD_Position': 'P'}, 'Devon Travis_batter': {'Salary': 3200.0, 'projected_FD_points': 3.9305555555555554, 'confidence': -0.92729766803840863, 'FD_Position': '2B'}, 'Freddie Freeman_batter': {'Salary': 3200.0, 'projected_FD_points': 2.6985740776579648, 'confidence': -0.0094948550191638059, 'FD_Position': '1B'}, 'Todd Frazier_batter': {'Salary': 3500.0, 'projected_FD_points': 2.7748439885666625, 'confidence': -0.21790119942714026, 'FD_Position': '3B'}, 'Mookie Betts_batter': {'Salary': 3000.0, 'projected_FD_points': 2.578125, 'confidence': -0.010410662824207551, 'FD_Position': 'OF'}, 'Jayson Werth_batter': {'Salary': 2700.0, 'projected_FD_points': 2.4368875102065735, 'confidence': -0.12695155450700746, 'FD_Position': 'OF'}}</t>
  </si>
  <si>
    <t>{'Kris Bryant_batter': {'Salary': 3600.0, 'projected_FD_points': 4.3200000000000003, 'confidence': 0, 'FD_Position': '3B'}, 'Michael Brantley_batter': {'Salary': 3800.0, 'projected_FD_points': 3.9593691733194651, 'confidence': -0.11711567371543841, 'FD_Position': 'OF'}, 'Ben Revere_batter': {'Salary': 2400.0, 'projected_FD_points': 2.59462561931567, 'confidence': -0.11690304532458251, 'FD_Position': 'OF'}, 'Corey Kluber_pitcher': {'Salary': 9800.0, 'projected_FD_points': 14.18624207717113, 'confidence': -0.79432849561020125, 'FD_Position': 'P'}, 'Paul Goldschmidt_batter': {'Salary': 4500.0, 'projected_FD_points': 3.5157657657657659, 'confidence': -0.031305186293745457, 'FD_Position': '1B'}, 'A.J. Pollock_batter': {'Salary': 3100.0, 'projected_FD_points': 2.9272001359157329, 'confidence': -0.10222542013449787, 'FD_Position': 'OF'}, 'Daniel Santana_batter': {'Salary': 2500.0, 'projected_FD_points': 2.6349034692988824, 'confidence': -0.13830733884324919, 'FD_Position': 'SS'}, 'Michael McKenry_batter': {'Salary': 2200.0, 'projected_FD_points': 2.3654418698172339, 'confidence': -0.079266689005916602, 'FD_Position': 'C'}, 'Brian Dozier_batter': {'Salary': 2900.0, 'projected_FD_points': 2.5382090190683289, 'confidence': -0.034577968753035426, 'FD_Position': '2B'}}</t>
  </si>
  <si>
    <t>{'Kris Bryant_batter': {'Salary': 3600.0, 'projected_FD_points': 4.3200000000000003, 'confidence': 0, 'FD_Position': '3B'}, 'Ben Revere_batter': {'Salary': 2400.0, 'projected_FD_points': 2.59462561931567, 'confidence': -0.11690304532458251, 'FD_Position': 'OF'}, 'Brian Dozier_batter': {'Salary': 2900.0, 'projected_FD_points': 2.5382090190683289, 'confidence': -0.034577968753035426, 'FD_Position': '2B'}, 'Paul Goldschmidt_batter': {'Salary': 4500.0, 'projected_FD_points': 3.5157657657657659, 'confidence': -0.031305186293745457, 'FD_Position': '1B'}, 'A.J. Pollock_batter': {'Salary': 3100.0, 'projected_FD_points': 2.9272001359157329, 'confidence': -0.10222542013449787, 'FD_Position': 'OF'}, 'Daniel Santana_batter': {'Salary': 2500.0, 'projected_FD_points': 2.6349034692988824, 'confidence': -0.13830733884324919, 'FD_Position': 'SS'}, 'David Price_pitcher': {'Salary': 11000.0, 'projected_FD_points': 14.668634772551453, 'confidence': -0.27994671998853371, 'FD_Position': 'P'}, 'Jayson Werth_batter': {'Salary': 2800.0, 'projected_FD_points': 2.5948479431711107, 'confidence': -0.0083569568433674579, 'FD_Position': 'OF'}, 'Michael McKenry_batter': {'Salary': 2200.0, 'projected_FD_points': 2.3654418698172339, 'confidence': -0.079266689005916602, 'FD_Position': 'C'}}</t>
  </si>
  <si>
    <t>{'Michael Brantley_batter': {'Salary': 3800.0, 'projected_FD_points': 3.9593691733194651, 'confidence': -0.11711567371543841, 'FD_Position': 'OF'}, 'Russell Martin_batter': {'Salary': 3200.0, 'projected_FD_points': 2.3391304347826085, 'confidence': -0.20351926245303176, 'FD_Position': 'C'}, 'Corey Kluber_pitcher': {'Salary': 9800.0, 'projected_FD_points': 14.18624207717113, 'confidence': -0.79432849561020125, 'FD_Position': 'P'}, 'Asdrubal Cabrera_batter': {'Salary': 2200.0, 'projected_FD_points': 1.7830721848895594, 'confidence': -0.12746587476051796, 'FD_Position': 'SS'}, 'Freddie Freeman_batter': {'Salary': 3100.0, 'projected_FD_points': 2.7809263361222794, 'confidence': -0.26033321389425224, 'FD_Position': '1B'}, 'Brock Holt_batter': {'Salary': 2400.0, 'projected_FD_points': 2.2404761904761905, 'confidence': -0.0050003705490417882, 'FD_Position': '3B'}, 'Giancarlo Stanton_batter': {'Salary': 4800.0, 'projected_FD_points': 3.6352739726027399, 'confidence': -0.20045196758540507, 'FD_Position': 'OF'}, 'Jayson Werth_batter': {'Salary': 2800.0, 'projected_FD_points': 2.5948479431711107, 'confidence': -0.0083569568433674579, 'FD_Position': 'OF'}, 'Dustin Pedroia_batter': {'Salary': 2900.0, 'projected_FD_points': 2.2685185185185186, 'confidence': -0.074341780710113436, 'FD_Position': '2B'}}</t>
  </si>
  <si>
    <t>{'Kris Bryant_batter': {'Salary': 3600.0, 'projected_FD_points': 3.0, 'confidence': 0, 'FD_Position': '3B'}, 'Michael Brantley_batter': {'Salary': 3600.0, 'projected_FD_points': 3.988215800555369, 'confidence': -0.12295094210715307, 'FD_Position': 'OF'}, 'Melky Cabrera_batter': {'Salary': 2300.0, 'projected_FD_points': 2.7045106253611157, 'confidence': -0.32017911987160019, 'FD_Position': 'OF'}, 'Devon Travis_batter': {'Salary': 3300.0, 'projected_FD_points': 5.5187622891441581, 'confidence': -0.53199852946621706, 'FD_Position': '2B'}, 'Freddie Freeman_batter': {'Salary': 3200.0, 'projected_FD_points': 2.6898649842848994, 'confidence': 0.049639103298089182, 'FD_Position': '1B'}, 'Tim Beckham_batter': {'Salary': 2400.0, 'projected_FD_points': 2.8072203798613207, 'confidence': -3.7646632312128174, 'FD_Position': 'SS'}, 'Dexter Fowler_batter': {'Salary': 3400.0, 'projected_FD_points': 3.3932583743771421, 'confidence': -0.24678889253834635, 'FD_Position': 'OF'}, 'Jake Arrieta_pitcher': {'Salary': 9600.0, 'projected_FD_points': 15.640029642503009, 'confidence': -4.8882231424185285, 'FD_Position': 'P'}, 'Victor Martinez_batter': {'Salary': 3300.0, 'projected_FD_points': 2.810057915202929, 'confidence': -0.028792425133541633, 'FD_Position': 'C'}}</t>
  </si>
  <si>
    <t>{'Alexander Guerrero_batter': {'Salary': 2800.0, 'projected_FD_points': 2.9080291970802921, 'confidence': -0.27820796694723504, 'FD_Position': '2B'}, 'Evan Gattis_batter': {'Salary': 2300.0, 'projected_FD_points': 2.16223687975467, 'confidence': -0.015112098752344538, 'FD_Position': 'C'}, 'Francisco Liriano_pitcher': {'Salary': 8000.0, 'projected_FD_points': 10.108788794287282, 'confidence': -1.0955925287917152, 'FD_Position': 'P'}, 'Paul Goldschmidt_batter': {'Salary': 4700.0, 'projected_FD_points': 3.681560412871888, 'confidence': -0.80413116447460498, 'FD_Position': '1B'}, 'Marcus Semien_batter': {'Salary': 2900.0, 'projected_FD_points': 2.3181572616814812, 'confidence': -0.53276397478513027, 'FD_Position': 'SS'}, 'A.J. Pollock_batter': {'Salary': 3100.0, 'projected_FD_points': 2.7351050518587927, 'confidence': 0.085556159183930447, 'FD_Position': 'OF'}, 'Justin Upton_batter': {'Salary': 3400.0, 'projected_FD_points': 2.9269575616059487, 'confidence': -0.075936426906545229, 'FD_Position': 'OF'}, 'Kyle Seager_batter': {'Salary': 3400.0, 'projected_FD_points': 2.70295163043121, 'confidence': -0.12178625438249591, 'FD_Position': '3B'}, 'Andrew McCutchen_batter': {'Salary': 4000.0, 'projected_FD_points': 3.1326530612244898, 'confidence': -0.00024134984470003396, 'FD_Position': 'OF'}}</t>
  </si>
  <si>
    <t>{'Justin Upton_batter': {'Salary': 3500.0, 'projected_FD_points': 2.8899124333651875, 'confidence': 0.011510653500771406, 'FD_Position': 'OF'}, 'Jimmy Paredes_batter': {'Salary': 2600.0, 'projected_FD_points': 3.3233569419852094, 'confidence': 0.26902263769026236, 'FD_Position': '2B'}, 'Ian Kennedy_pitcher': {'Salary': 7800.0, 'projected_FD_points': 13.40705503654582, 'confidence': -1.5151224174476479, 'FD_Position': 'P'}, 'Freddie Freeman_batter': {'Salary': 3300.0, 'projected_FD_points': 2.6689359505260972, 'confidence': 0.0064685675814238897, 'FD_Position': '1B'}, 'A.J. Pollock_batter': {'Salary': 3200.0, 'projected_FD_points': 2.6936253978890936, 'confidence': 0.10035738015492179, 'FD_Position': 'OF'}, 'Robinson Chirinos_batter': {'Salary': 2400.0, 'projected_FD_points': 1.938780862521144, 'confidence': -0.088251003137060025, 'FD_Position': 'C'}, 'Kyle Seager_batter': {'Salary': 3400.0, 'projected_FD_points': 2.7562297234775639, 'confidence': -0.048621403151845044, 'FD_Position': '3B'}, 'Troy Tulowitzki_batter': {'Salary': 4700.0, 'projected_FD_points': 3.2597909701820149, 'confidence': 0.038384354527118081, 'FD_Position': 'SS'}, 'Andrew McCutchen_batter': {'Salary': 4100.0, 'projected_FD_points': 3.1202290891955671, 'confidence': -0.0019664115717923369, 'FD_Position': 'OF'}}</t>
  </si>
  <si>
    <t>{'Russell Martin_batter': {'Salary': 3100.0, 'projected_FD_points': 2.5830466645424788, 'confidence': -0.037235604797287714, 'FD_Position': 'C'}, 'Devon Travis_batter': {'Salary': 3200.0, 'projected_FD_points': 6.6510365972357404, 'confidence': 0.59948550112978971, 'FD_Position': '2B'}, 'Stephen Strasburg_pitcher': {'Salary': 9600.0, 'projected_FD_points': 12.704757171899704, 'confidence': -0.7026315311762874, 'FD_Position': 'P'}, 'Josh Donaldson_batter': {'Salary': 4200.0, 'projected_FD_points': 2.9810962243617536, 'confidence': -0.011975415876023243, 'FD_Position': '3B'}, 'Michael Saunders_batter': {'Salary': 2700.0, 'projected_FD_points': 2.591806061925233, 'confidence': -2.2584998683976307, 'FD_Position': 'OF'}, 'Edwin Encarnacion_batter': {'Salary': 3700.0, 'projected_FD_points': 2.7493817626076993, 'confidence': -0.059910703573266444, 'FD_Position': '1B'}, 'Jacob Elmore_batter': {'Salary': 2200.0, 'projected_FD_points': 3.5, 'confidence': 0, 'FD_Position': 'SS'}, 'Michael Cuddyer_batter': {'Salary': 3000.0, 'projected_FD_points': 2.6817332553963462, 'confidence': 0.015594432971671734, 'FD_Position': 'OF'}, 'Jayson Werth_batter': {'Salary': 2900.0, 'projected_FD_points': 2.6067522390189173, 'confidence': -0.012255327802376259, 'FD_Position': 'OF'}}</t>
  </si>
  <si>
    <t>{'Michael Brantley_batter': {'Salary': 3800.0, 'projected_FD_points': 3.7764724046876021, 'confidence': 0.06882020230976571, 'FD_Position': 'OF'}, 'Kris Bryant_batter': {'Salary': 3900.0, 'projected_FD_points': 4.3944444444444439, 'confidence': 0, 'FD_Position': '3B'}, 'Devon Travis_batter': {'Salary': 3100.0, 'projected_FD_points': 10.000381033022864, 'confidence': -4.0523292234297017, 'FD_Position': '2B'}, 'Paulo Orlando_batter': {'Salary': 3000.0, 'projected_FD_points': 11.029999999999999, 'confidence': 0, 'FD_Position': 'OF'}, 'Prince Fielder_batter': {'Salary': 3700.0, 'projected_FD_points': 2.6994993211133744, 'confidence': -0.15312065067890201, 'FD_Position': '1B'}, 'Daniel Santana_batter': {'Salary': 2900.0, 'projected_FD_points': 2.5656584337662918, 'confidence': -0.027655942920647325, 'FD_Position': 'SS'}, 'Dexter Fowler_batter': {'Salary': 3700.0, 'projected_FD_points': 3.6073985189248483, 'confidence': -0.21349090546926663, 'FD_Position': 'OF'}, 'Chris Iannetta_batter': {'Salary': 2200.0, 'projected_FD_points': 1.9997836520357928, 'confidence': -0.23460907242823281, 'FD_Position': 'C'}, 'Michael Pineda_pitcher': {'Salary': 8700.0, 'projected_FD_points': 14.385417164714326, 'confidence': -0.75891488319012801, 'FD_Position': 'P'}}</t>
  </si>
  <si>
    <t>{'Brian Dozier_batter': {'Salary': 3100.0, 'projected_FD_points': 2.6137284321080272, 'confidence': -0.087653326649182794, 'FD_Position': '2B'}, 'Evan Gattis_batter': {'Salary': 2600.0, 'projected_FD_points': 2.1502436128627589, 'confidence': 0.061258345233392353, 'FD_Position': 'C'}, 'Robbie Grossman_batter': {'Salary': 2500.0, 'projected_FD_points': 2.1705008065454909, 'confidence': -0.011413384615381883, 'FD_Position': 'OF'}, 'Felix Hernandez_pitcher': {'Salary': 11500.0, 'projected_FD_points': 15.083658508756912, 'confidence': -2.9765875110108246, 'FD_Position': 'P'}, 'Kennys Vargas_batter': {'Salary': 2400.0, 'projected_FD_points': 2.25, 'confidence': -0.0025090325170613603, 'FD_Position': '1B'}, 'A.J. Pollock_batter': {'Salary': 3500.0, 'projected_FD_points': 2.8559890516229638, 'confidence': 0.072881405714083303, 'FD_Position': 'OF'}, 'Daniel Santana_batter': {'Salary': 2900.0, 'projected_FD_points': 2.5656584337662918, 'confidence': -0.027655942920647325, 'FD_Position': 'SS'}, 'Kyle Seager_batter': {'Salary': 3700.0, 'projected_FD_points': 2.8554962305525771, 'confidence': 0.017260319386929845, 'FD_Position': '3B'}, 'Chris Carter_batter': {'Salary': 2700.0, 'projected_FD_points': 2.340793797304781, 'confidence': 0.0059325485391090726, 'FD_Position': 'OF'}}</t>
  </si>
  <si>
    <t>{'Kolten Wong_batter': {'Salary': 3200.0, 'projected_FD_points': 2.4207011821972797, 'confidence': 0.0085313864377152271, 'FD_Position': '2B'}, 'Adam Eaton_batter': {'Salary': 2500.0, 'projected_FD_points': 2.6587380808778569, 'confidence': -0.27108801881848787, 'FD_Position': 'OF'}, 'Melky Cabrera_batter': {'Salary': 2700.0, 'projected_FD_points': 2.6449275362318843, 'confidence': -0.26261862462964936, 'FD_Position': 'OF'}, 'Paulo Orlando_batter': {'Salary': 3000.0, 'projected_FD_points': 11.029999999999999, 'confidence': 0, 'FD_Position': 'OF'}, 'Jhonny Peralta_batter': {'Salary': 2800.0, 'projected_FD_points': 2.1095777416205661, 'confidence': -0.016791846404689226, 'FD_Position': 'SS'}, 'Buster Posey_batter': {'Salary': 4400.0, 'projected_FD_points': 2.3328140844907193, 'confidence': -0.059610145077569898, 'FD_Position': 'C'}, 'Jose Abreu_batter': {'Salary': 4400.0, 'projected_FD_points': 3.2563057237867277, 'confidence': -0.038032324527570216, 'FD_Position': '1B'}, 'Matt Garza_pitcher': {'Salary': 7300.0, 'projected_FD_points': 10.888535031847134, 'confidence': -0.98780592939504896, 'FD_Position': 'P'}, 'Nolan Arenado_batter': {'Salary': 4700.0, 'projected_FD_points': 2.8147321428571428, 'confidence': -0.20148196623424441, 'FD_Position': '3B'}}</t>
  </si>
  <si>
    <t>{'Kolten Wong_batter': {'Salary': 2900.0, 'projected_FD_points': 2.5250356914291343, 'confidence': -0.05629813648185622, 'FD_Position': '2B'}, 'Wil Nieves_batter': {'Salary': 2200.0, 'projected_FD_points': 1.5179442793664641, 'confidence': -0.084738911723595045, 'FD_Position': 'C'}, 'Corey Dickerson_batter': {'Salary': 4600.0, 'projected_FD_points': 2.9621924888242233, 'confidence': -0.027091045234499234, 'FD_Position': 'OF'}, 'Matt Holliday_batter': {'Salary': 3600.0, 'projected_FD_points': 2.5671875416892713, 'confidence': -0.0056762301463169074, 'FD_Position': 'OF'}, 'Jhonny Peralta_batter': {'Salary': 2800.0, 'projected_FD_points': 2.1133540372670807, 'confidence': -0.0066232660424430101, 'FD_Position': 'SS'}, 'Matt Adams_batter': {'Salary': 3000.0, 'projected_FD_points': 2.095890410958904, 'confidence': -0.0096718243422528882, 'FD_Position': '1B'}, 'Tyson Ross_pitcher': {'Salary': 8400.0, 'projected_FD_points': 12.353128102338159, 'confidence': -0.19307601437420541, 'FD_Position': 'P'}, 'Denard Span_batter': {'Salary': 3100.0, 'projected_FD_points': 2.0923913043478262, 'confidence': -0.52987614127677851, 'FD_Position': 'OF'}, 'Matt Carpenter_batter': {'Salary': 4300.0, 'projected_FD_points': 2.9056014472939737, 'confidence': -0.61123366710428573, 'FD_Position': '3B'}}</t>
  </si>
  <si>
    <t>{'Russell Martin_batter': {'Salary': 3300.0, 'projected_FD_points': 2.5918449486763908, 'confidence': -0.053528034975453664, 'FD_Position': 'C'}, 'Melky Cabrera_batter': {'Salary': 2700.0, 'projected_FD_points': 2.6494134646653951, 'confidence': -0.10484845848256819, 'FD_Position': 'OF'}, 'Devon Travis_batter': {'Salary': 2800.0, 'projected_FD_points': 11.832571428571429, 'confidence': -1.8937117567680124, 'FD_Position': '2B'}, 'Paulo Orlando_batter': {'Salary': 3000.0, 'projected_FD_points': 4.2333333333333334, 'confidence': 0, 'FD_Position': 'OF'}, 'Conor Gillaspie_batter': {'Salary': 2200.0, 'projected_FD_points': 1.8341003911635656, 'confidence': -0.032849325445403199, 'FD_Position': '3B'}, 'Alexei Ramirez_batter': {'Salary': 3000.0, 'projected_FD_points': 2.083647730177586, 'confidence': -0.005996390685267361, 'FD_Position': 'SS'}, 'Dalton Pompey_batter': {'Salary': 3200.0, 'projected_FD_points': 2.7949939135727329, 'confidence': -7.0890037127795313, 'FD_Position': 'OF'}, 'Jose Abreu_batter': {'Salary': 4400.0, 'projected_FD_points': 3.3832551357502094, 'confidence': -0.089678964176574505, 'FD_Position': '1B'}, 'Chris Sale_pitcher': {'Salary': 10200.0, 'projected_FD_points': 15.350602409638553, 'confidence': -0.58180959729851356, 'FD_Position': 'P'}}</t>
  </si>
  <si>
    <t>{'Michael Brantley_batter': {'Salary': 3800.0, 'projected_FD_points': 3.7157071179611667, 'confidence': 0.024045626252917951, 'FD_Position': 'OF'}, 'Odubel Herrera_batter': {'Salary': 3000.0, 'projected_FD_points': 3.0654069767441867, 'confidence': 0.24451779039721122, 'FD_Position': 'OF'}, 'Melky Cabrera_batter': {'Salary': 2700.0, 'projected_FD_points': 2.4577205882352939, 'confidence': -0.026472740470733225, 'FD_Position': 'OF'}, 'Trevor Plouffe_batter': {'Salary': 2600.0, 'projected_FD_points': 2.2239158657756164, 'confidence': -0.049132298994195134, 'FD_Position': '3B'}, 'Devon Travis_batter': {'Salary': 2800.0, 'projected_FD_points': 12.808333333333332, 'confidence': -9.100277777777773, 'FD_Position': '2B'}, 'Daniel Santana_batter': {'Salary': 3000.0, 'projected_FD_points': 2.6204298570315454, 'confidence': -0.030690771366567615, 'FD_Position': 'SS'}, 'Clayton Kershaw_pitcher': {'Salary': 12000.0, 'projected_FD_points': 16.919409282700421, 'confidence': -0.44171554239990529, 'FD_Position': 'P'}, 'Mike Napoli_batter': {'Salary': 2900.0, 'projected_FD_points': 2.3311965811965814, 'confidence': -0.016855645871291181, 'FD_Position': '1B'}, 'Michael McKenry_batter': {'Salary': 2200.0, 'projected_FD_points': 2.7437711533454832, 'confidence': -0.12806712683144328, 'FD_Position': 'C'}}</t>
  </si>
  <si>
    <t>{'Ben Revere_batter': {'Salary': 2600.0, 'projected_FD_points': 2.4263110100364025, 'confidence': 0.041074217888885656, 'FD_Position': 'OF'}, 'Trevor Plouffe_batter': {'Salary': 2600.0, 'projected_FD_points': 2.2239158657756164, 'confidence': -0.049132298994195134, 'FD_Position': '3B'}, 'Devon Travis_batter': {'Salary': 2800.0, 'projected_FD_points': 12.808333333333332, 'confidence': -9.100277777777773, 'FD_Position': '2B'}, 'Paulo Orlando_batter': {'Salary': 3000.0, 'projected_FD_points': 2.8722222222222218, 'confidence': 0, 'FD_Position': 'OF'}, 'Odubel Herrera_batter': {'Salary': 3000.0, 'projected_FD_points': 3.0654069767441867, 'confidence': 0.24451779039721122, 'FD_Position': 'OF'}, 'Daniel Santana_batter': {'Salary': 3000.0, 'projected_FD_points': 2.6204298570315454, 'confidence': -0.030690771366567615, 'FD_Position': 'SS'}, 'Clayton Kershaw_pitcher': {'Salary': 12000.0, 'projected_FD_points': 16.919409282700421, 'confidence': -0.44171554239990529, 'FD_Position': 'P'}, 'David Ortiz_batter': {'Salary': 3600.0, 'projected_FD_points': 2.8903374741200829, 'confidence': -0.28008564902139854, 'FD_Position': '1B'}, 'Michael McKenry_batter': {'Salary': 2200.0, 'projected_FD_points': 2.7437711533454832, 'confidence': -0.12806712683144328, 'FD_Position': 'C'}}</t>
  </si>
  <si>
    <t>{'Adrian Beltre_batter': {'Salary': 3400.0, 'projected_FD_points': 2.5156169492463198, 'confidence': -0.027283129268107276, 'FD_Position': '3B'}, 'Seth Smith_batter': {'Salary': 2400.0, 'projected_FD_points': 2.180244780826238, 'confidence': -0.52366719513961857, 'FD_Position': 'OF'}, 'Howie Kendrick_batter': {'Salary': 3800.0, 'projected_FD_points': 2.8051463438642661, 'confidence': -0.15476486035633363, 'FD_Position': '2B'}, 'Marcus Semien_batter': {'Salary': 3000.0, 'projected_FD_points': 2.2537480898900415, 'confidence': -0.25654192477082405, 'FD_Position': 'SS'}, 'A.J. Pollock_batter': {'Salary': 3500.0, 'projected_FD_points': 2.9207915625137044, 'confidence': -0.054157271949542451, 'FD_Position': 'OF'}, 'Logan Morrison_batter': {'Salary': 2200.0, 'projected_FD_points': 1.73, 'confidence': -0.062075616438356018, 'FD_Position': '1B'}, 'Clayton Kershaw_pitcher': {'Salary': 12000.0, 'projected_FD_points': 16.919409282700421, 'confidence': -0.44171554239990529, 'FD_Position': 'P'}, 'Chris Iannetta_batter': {'Salary': 2200.0, 'projected_FD_points': 2.039891192172528, 'confidence': -0.43730696659159385, 'FD_Position': 'C'}, 'Chris Carter_batter': {'Salary': 2400.0, 'projected_FD_points': 2.3757221560377464, 'confidence': -0.45643778591426254, 'FD_Position': 'OF'}}</t>
  </si>
  <si>
    <t>{'Brian Dozier_batter': {'Salary': 3000.0, 'projected_FD_points': 2.5212753909567498, 'confidence': 3.2465821629967806e-05, 'FD_Position': '2B'}, 'Johnny Cueto_pitcher': {'Salary': 10600.0, 'projected_FD_points': 14.325051958741982, 'confidence': -0.6125132161902731, 'FD_Position': 'P'}, 'Paulo Orlando_batter': {'Salary': 3000.0, 'projected_FD_points': 2.8722222222222218, 'confidence': 0, 'FD_Position': 'OF'}, 'Todd Frazier_batter': {'Salary': 3500.0, 'projected_FD_points': 2.6503267973856208, 'confidence': -0.0020878721859114435, 'FD_Position': '3B'}, 'Ryan Braun_batter': {'Salary': 3600.0, 'projected_FD_points': 2.6105465930082681, 'confidence': -0.73270764131446908, 'FD_Position': 'OF'}, 'Michael McKenry_batter': {'Salary': 2200.0, 'projected_FD_points': 2.7437711533454832, 'confidence': -0.12806712683144328, 'FD_Position': 'C'}, 'Alex Gordon_batter': {'Salary': 3100.0, 'projected_FD_points': 2.3603394091766186, 'confidence': -0.04754347084588928, 'FD_Position': 'OF'}, 'Daniel Santana_batter': {'Salary': 3000.0, 'projected_FD_points': 2.6204298570315454, 'confidence': -0.030690771366567615, 'FD_Position': 'SS'}, 'Joe Mauer_batter': {'Salary': 2900.0, 'projected_FD_points': 2.1854166666666668, 'confidence': -0.068375308998683826, 'FD_Position': '1B'}}</t>
  </si>
  <si>
    <t>{'Michael Brantley_batter': {'Salary': 3800.0, 'projected_FD_points': 3.6332859019264445, 'confidence': 0.062406129136650113, 'FD_Position': 'OF'}, 'Kolten Wong_batter': {'Salary': 2800.0, 'projected_FD_points': 2.4715618121831788, 'confidence': 0.014333198444255846, 'FD_Position': '2B'}, 'Odubel Herrera_batter': {'Salary': 3000.0, 'projected_FD_points': 3.8538461538461535, 'confidence': 0.94067500659575265, 'FD_Position': 'OF'}, 'Paulo Orlando_batter': {'Salary': 3000.0, 'projected_FD_points': 3.375, 'confidence': 0, 'FD_Position': 'OF'}, 'Josh Phegley_batter': {'Salary': 2200.0, 'projected_FD_points': 2.9766584766584767, 'confidence': -1.2267038376325847, 'FD_Position': 'C'}, 'Daniel Santana_batter': {'Salary': 3100.0, 'projected_FD_points': 2.5938312679201032, 'confidence': -0.20233196050599855, 'FD_Position': 'SS'}, 'Kyle Seager_batter': {'Salary': 3600.0, 'projected_FD_points': 2.9888172667485131, 'confidence': -0.081394313343425395, 'FD_Position': '3B'}, 'Jose Abreu_batter': {'Salary': 4400.0, 'projected_FD_points': 3.2970134043396215, 'confidence': -0.0048025825607707073, 'FD_Position': '1B'}, 'Collin McHugh_pitcher': {'Salary': 8900.0, 'projected_FD_points': 13.240458244526254, 'confidence': -0.98433043966103084, 'FD_Position': 'P'}}</t>
  </si>
  <si>
    <t>{'Michael Brantley_batter': {'Salary': 3800.0, 'projected_FD_points': 3.6332859019264445, 'confidence': 0.062406129136650113, 'FD_Position': 'OF'}, 'Brian Dozier_batter': {'Salary': 3000.0, 'projected_FD_points': 2.4165182514518584, 'confidence': -0.0031708595791439809, 'FD_Position': '2B'}, 'Paulo Orlando_batter': {'Salary': 3000.0, 'projected_FD_points': 3.375, 'confidence': 0, 'FD_Position': 'OF'}, 'Derek Norris_batter': {'Salary': 3000.0, 'projected_FD_points': 1.938976377952756, 'confidence': -0.00032411193219927803, 'FD_Position': 'C'}, 'Todd Frazier_batter': {'Salary': 3400.0, 'projected_FD_points': 2.448642728558601, 'confidence': -0.027972650527550158, 'FD_Position': '3B'}, 'Troy Tulowitzki_batter': {'Salary': 5300.0, 'projected_FD_points': 3.3893577593731834, 'confidence': 0.043551761372270348, 'FD_Position': 'SS'}, 'Jose Abreu_batter': {'Salary': 4400.0, 'projected_FD_points': 3.2970134043396215, 'confidence': -0.0048025825607707073, 'FD_Position': '1B'}, 'Tyler Matzek_pitcher': {'Salary': 6100.0, 'projected_FD_points': 10.208317551549129, 'confidence': -1.452962627171889, 'FD_Position': 'P'}, 'Melky Cabrera_batter': {'Salary': 2700.0, 'projected_FD_points': 2.6277777777777778, 'confidence': -0.24433396671131469, 'FD_Position': 'OF'}}</t>
  </si>
  <si>
    <t>{'Alex Rodriguez_batter': {'Salary': 3700.0, 'projected_FD_points': 4.6066666666666674, 'confidence': -2.5490858729548473, 'FD_Position': '3B'}, 'Melky Cabrera_batter': {'Salary': 2700.0, 'projected_FD_points': 2.7645228114562972, 'confidence': -0.50087194571862481, 'FD_Position': 'OF'}, 'Paulo Orlando_batter': {'Salary': 3000.0, 'projected_FD_points': 3.5, 'confidence': 0, 'FD_Position': 'OF'}, 'Kris Negron_batter': {'Salary': 2400.0, 'projected_FD_points': 2.6691122314217508, 'confidence': -1.1128521055718199, 'FD_Position': '2B'}, 'Daniel Santana_batter': {'Salary': 3100.0, 'projected_FD_points': 2.6136908517350159, 'confidence': 0.034443261732112762, 'FD_Position': 'SS'}, 'Dexter Fowler_batter': {'Salary': 3800.0, 'projected_FD_points': 3.382585783359715, 'confidence': -0.49799990249420634, 'FD_Position': 'OF'}, 'Jake Arrieta_pitcher': {'Salary': 9200.0, 'projected_FD_points': 13.93021338349906, 'confidence': 0.44278357455938133, 'FD_Position': 'P'}, 'Carlos Santana_batter': {'Salary': 3200.0, 'projected_FD_points': 2.672945205479452, 'confidence': -0.02693208209901421, 'FD_Position': '1B'}, 'Victor Martinez_batter': {'Salary': 3900.0, 'projected_FD_points': 2.8387606674441983, 'confidence': -0.0065096197532381606, 'FD_Position': 'C'}}</t>
  </si>
  <si>
    <t>{'Michael Brantley_batter': {'Salary': 3900.0, 'projected_FD_points': 3.3454476407695219, 'confidence': 0.022581234789800897, 'FD_Position': 'OF'}, 'Brian Dozier_batter': {'Salary': 3100.0, 'projected_FD_points': 2.5281183384157484, 'confidence': -0.0028574880997391805, 'FD_Position': '2B'}, 'Trevor Plouffe_batter': {'Salary': 2500.0, 'projected_FD_points': 2.161886808325991, 'confidence': -0.40648307425101748, 'FD_Position': '3B'}, 'Paulo Orlando_batter': {'Salary': 3000.0, 'projected_FD_points': 3.5, 'confidence': 0, 'FD_Position': 'OF'}, 'Odrisamer Despaigne_pitcher': {'Salary': 6600.0, 'projected_FD_points': 9.8927245124372298, 'confidence': 0.065106795691474484, 'FD_Position': 'P'}, 'Derek Norris_batter': {'Salary': 2800.0, 'projected_FD_points': 1.9563492063492063, 'confidence': -0.052951259487107327, 'FD_Position': 'C'}, 'Troy Tulowitzki_batter': {'Salary': 5300.0, 'projected_FD_points': 3.3161918754979105, 'confidence': -0.11349180202221198, 'FD_Position': 'SS'}, 'Jose Abreu_batter': {'Salary': 4400.0, 'projected_FD_points': 3.214028776978417, 'confidence': -0.00023288428086276625, 'FD_Position': '1B'}, 'Melky Cabrera_batter': {'Salary': 2700.0, 'projected_FD_points': 2.7645228114562972, 'confidence': -0.50087194571862481, 'FD_Position': 'OF'}}</t>
  </si>
  <si>
    <t>Derrick Rose, Jason Terry, James Harden, Jimmy Butler, LeBron  GTD James, Matt Barnes, Terrence Jones, Taj Gibson, Timofey Mozgov</t>
  </si>
  <si>
    <t>Chris Sale, Buster Posey, Jose Abreu, Brian Dozier, Luis Valbuena, Troy Tulowitzki, Leonys Martin, Jay Bruce, Coco Crisp</t>
  </si>
  <si>
    <t>Derrick Rose, Jason Terry, James Harden, Jimmy Butler, LeBron James, Trevor Ariza, Tristan Thompson, Nikola Mirotic, Timofey Mozgov</t>
  </si>
  <si>
    <t xml:space="preserve">Chris Paul, James Harden, Nikola Mirotic, LeBron James, Joakim Noah, , Aaron Brooks, Jamal Crawford, Tristan Thompson, Trevor Ariza, </t>
  </si>
  <si>
    <t>&lt;!DOCTYPE html&gt;
&lt;html xmlns="http://www.w3.org/1999/xhtml"&gt;&lt;head&gt;
&lt;meta content="Daily fantasy optimizer with projections from Yahoo, ESPN, and CBSSports. We use math to optimize and make suggestions, you make your modifications! - fd for MLB" name="Description"/&gt;
&lt;meta content="fantasy calculator, ffl calculator, ffl assistant, fantasy football calculations, daily fantasy roster help, fantasy sports, online game, online baseball game, online football game, fantasy football, ffl, lineup assistant, ffl lineup calculator, ffl lineup, lineup calculator, ffl assistancefantasy baseball, fanduel, fan duel, fanduel mlb, fan duel mlb, daily fantasy baseball, daily baseball lineup optimizer, daily baseball fantasy advice, free fanduel mlb lineup advice, free fantasy baseball lineup advice fan duel" name="Keywords"/&gt;
&lt;meta content="3eacff57a4cc54f10216750ce475ce09" name="p:domain_verify"/&gt;
&lt;meta content="public" http-equiv="Cache-control"/&gt;
&lt;!--
    &lt;meta name="Copyright" content="fivedigittext.com" /&gt;
    &lt;meta name="Publisher" content="fivedigittext.com" /&gt;
    &lt;meta http-equiv="X-UA-Compatible" content="IE=edge;chrome=1" /&gt;
    &lt;meta http-equiv="content-language" content="en" /&gt;--&gt;
&lt;meta content="text/html; charset=utf-8" http-equiv="Content-Type"/&gt;
&lt;meta content="gzip" http-equiv="Content-Encoding"/&gt;
&lt;meta content="noodp,noydir" name="robots"/&gt;
&lt;link href="favicon.ico" rel="icon" type="image/x-icon"/&gt;
&lt;link href="/1css/style.css" rel="stylesheet" type="text/css"/&gt;
&lt;script id="facebook-jssdk" src="//connect.facebook.net/en_US/sdk.js#version=v2.0"&gt;&lt;/script&gt;&lt;script async="" src="//www.google-analytics.com/analytics.js"&gt;&lt;/script&gt;&lt;script async="" src="http://pagead2.googlesyndication.com/pub-config/ca-pub-0052530569385649.js" type="text/javascript"&gt;&lt;/script&gt;&lt;script src="/1js/jquery-1.7.1.min.js" type="text/javascript"&gt;&lt;/script&gt;
&lt;script src="/1js/jquery-ui-1.8.2.custom.min.js" type="text/javascript"&gt;&lt;/script&gt;
&lt;script src="/1js/jquery.popupBox.js" type="text/javascript"&gt;&lt;/script&gt;
&lt;script src="/1js/jquery.formtools.js" type="text/javascript"&gt;&lt;/script&gt;
&lt;script src="/1js/jquery-1.7.1.min.js" type="text/javascript"&gt;&lt;/script&gt;
&lt;script src="/1js/jquery-2.0.3.js" type="text/javascript"&gt;&lt;/script&gt;
&lt;script type="text/javascript"&gt;var switchTo5x=true;&lt;/script&gt;
&lt;script src="http://w.sharethis.com/button/buttons.js" type="text/javascript"&gt;&lt;/script&gt;
&lt;script type="text/javascript"&gt;stLight.options({publisher: "6425f8a5-7cf6-46db-99c3-4d54c7b8ab6a", doNotHash: true, doNotCopy: false, hashAddressBar: false});&lt;/script&gt;
&lt;title&gt;RN | Optimal MLB Lineup On FanDuel - Updated Daily!&lt;/title&gt;
&lt;script src="http://wd-edge.sharethis.com/button/getAllAppDefault.esi?cb=stLight.allDefault&amp;amp;app=all&amp;amp;publisher=6425f8a5-7cf6-46db-99c3-4d54c7b8ab6a&amp;amp;domain=mlb.rosternerds.com" type="text/javascript"&gt;&lt;/script&gt;&lt;script src="http://wd-edge.sharethis.com/button/checkOAuth.esi" type="text/javascript"&gt;&lt;/script&gt;&lt;link href="http://w.sharethis.com/button/css/buttons.096692daff8b1e9d4dd6b4d8973e12a8.css" rel="stylesheet" type="text/css"/&gt;&lt;style type="text/css"&gt;.fb_hidden{position:absolute;top:-10000px;z-index:10001}.fb_invisible{display:none}.fb_reset{background:none;border:0;border-spacing:0;color:#000;cursor:auto;direction:ltr;font-family:"lucida grande", tahoma, verdana, arial, sans-serif;font-size:11px;font-style:normal;font-variant:normal;font-weight:normal;letter-spacing:normal;line-height:1;margin:0;overflow:visible;padding:0;text-align:left;text-decoration:none;text-indent:0;text-shadow:none;text-transform:none;visibility:visible;white-space:normal;word-spacing:normal}.fb_reset&amp;gt;div{overflow:hidden}.fb_link img{border:none}
.fb_dialog{background:rgba(82, 82, 82, .7);position:absolute;top:-10000px;z-index:10001}.fb_reset .fb_dialog_legacy{overflow:visible}.fb_dialog_advanced{padding:10px;-moz-border-radius:8px;-webkit-border-radius:8px;border-radius:8px}.fb_dialog_content{background:#fff;color:#333}.fb_dialog_close_icon{background:url(http://static.ak.fbcdn.net/rsrc.php/v2/yq/r/IE9JII6Z1Ys.png) no-repeat scroll 0 0 transparent;_background-image:url(http://static.ak.fbcdn.net/rsrc.php/v2/yL/r/s816eWC-2sl.gif);cursor:pointer;display:block;height:15px;position:absolute;right:18px;top:17px;width:15px}.fb_dialog_mobile .fb_dialog_close_icon{top:5px;left:5px;right:auto}.fb_dialog_padding{background-color:transparent;position:absolute;width:1px;z-index:-1}.fb_dialog_close_icon:hover{background:url(http://static.ak.fbcdn.net/rsrc.php/v2/yq/r/IE9JII6Z1Ys.png) no-repeat scroll 0 -15px transparent;_background-image:url(http://static.ak.fbcdn.net/rsrc.php/v2/yL/r/s816eWC-2sl.gif)}.fb_dialog_close_icon:active{background:url(http://static.ak.fbcdn.net/rsrc.php/v2/yq/r/IE9JII6Z1Ys.png) no-repeat scroll 0 -30px transparent;_background-image:url(http://static.ak.fbcdn.net/rsrc.php/v2/yL/r/s816eWC-2sl.gif)}.fb_dialog_loader{background-color:#f6f7f8;border:1px solid #606060;font-size:24px;padding:20px}.fb_dialog_top_left,.fb_dialog_top_right,.fb_dialog_bottom_left,.fb_dialog_bottom_right{height:10px;width:10px;overflow:hidden;position:absolute}.fb_dialog_top_left{background:url(http://static.ak.fbcdn.net/rsrc.php/v2/ye/r/8YeTNIlTZjm.png) no-repeat 0 0;left:-10px;top:-10px}.fb_dialog_top_right{background:url(http://static.ak.fbcdn.net/rsrc.php/v2/ye/r/8YeTNIlTZjm.png) no-repeat 0 -10px;right:-10px;top:-10px}.fb_dialog_bottom_left{background:url(http://static.ak.fbcdn.net/rsrc.php/v2/ye/r/8YeTNIlTZjm.png) no-repeat 0 -20px;bottom:-10px;left:-10px}.fb_dialog_bottom_right{background:url(http://static.ak.fbcdn.net/rsrc.php/v2/ye/r/8YeTNIlTZjm.png) no-repeat 0 -30px;right:-10px;bottom:-10px}.fb_dialog_vert_left,.fb_dialog_vert_right,.fb_dialog_horiz_top,.fb_dialog_horiz_bottom{position:absolute;background:#525252;filter:alpha(opacity=70);opacity:.7}.fb_dialog_vert_left,.fb_dialog_vert_right{width:10px;height:100%}.fb_dialog_vert_left{margin-left:-10px}.fb_dialog_vert_right{right:0;margin-right:-10px}.fb_dialog_horiz_top,.fb_dialog_horiz_bottom{width:100%;height:10px}.fb_dialog_horiz_top{margin-top:-10px}.fb_dialog_horiz_bottom{bottom:0;margin-bottom:-10px}.fb_dialog_iframe{line-height:0}.fb_dialog_content .dialog_title{background:#6d84b4;border:1px solid #3a5795;color:#fff;font-size:14px;font-weight:bold;margin:0}.fb_dialog_content .dialog_title&amp;gt;span{background:url(http://static.ak.fbcdn.net/rsrc.php/v2/yd/r/Cou7n-nqK52.gif) no-repeat 5px 50%;float:left;padding:5px 0 7px 26px}body.fb_hidden{-webkit-transform:none;height:100%;margin:0;overflow:visible;position:absolute;top:-10000px;left:0;width:100%}.fb_dialog.fb_dialog_mobile.loading{background:url(http://static.ak.fbcdn.net/rsrc.php/v2/ya/r/3rhSv5V8j3o.gif) white no-repeat 50% 50%;min-height:100%;min-width:100%;overflow:hidden;position:absolute;top:0;z-index:10001}.fb_dialog.fb_dialog_mobile.loading.centered{max-height:590px;min-height:590px;max-width:500px;min-width:500px}#fb-root #fb_dialog_ipad_overlay{background:rgba(0, 0, 0, .45);position:absolute;left:0;top:0;width:100%;min-height:100%;z-index:10000}#fb-root #fb_dialog_ipad_overlay.hidden{display:none}.fb_dialog.fb_dialog_mobile.loading iframe{visibility:hidden}.fb_dialog_content .dialog_header{-webkit-box-shadow:white 0 1px 1px -1px inset;background:-webkit-gradient(linear, 0% 0%, 0% 100%, from(#738ABA), to(#2C4987));border-bottom:1px solid;border-color:#1d4088;color:#fff;font:14px Helvetica, sans-serif;font-weight:bold;text-overflow:ellipsis;text-shadow:rgba(0, 30, 84, .296875) 0 -1px 0;vertical-align:middle;white-space:nowrap}.fb_dialog_content .dialog_header table{-webkit-font-smoothing:subpixel-antialiased;height:43px;width:100%}.fb_dialog_content .dialog_header td.header_left{font-size:12px;padding-left:5px;vertical-align:middle;width:60px}.fb_dialog_content .dialog_header td.header_right{font-size:12px;padding-right:5px;vertical-align:middle;width:60px}.fb_dialog_content .touchable_button{background:-webkit-gradient(linear, 0% 0%, 0% 100%, from(#4966A6), color-stop(.5, #355492), to(#2A4887));border:1px solid #2f477a;-webkit-background-clip:padding-box;-webkit-border-radius:3px;-webkit-box-shadow:rgba(0, 0, 0, .117188) 0 1px 1px inset, rgba(255, 255, 255, .167969) 0 1px 0;display:inline-block;margin-top:3px;max-width:85px;line-height:18px;padding:4px 12px;position:relative}.fb_dialog_content .dialog_header .touchable_button input{border:none;background:none;color:#fff;font:12px Helvetica, sans-serif;font-weight:bold;margin:2px -12px;padding:2px 6px 3px 6px;text-shadow:rgba(0, 30, 84, .296875) 0 -1px 0}.fb_dialog_content .dialog_header .header_center{color:#fff;font-size:16px;font-weight:bold;line-height:18px;text-align:center;vertical-align:middle}.fb_dialog_content .dialog_content{background:url(http://static.ak.fbcdn.net/rsrc.php/v2/y9/r/jKEcVPZFk-2.gif) no-repeat 50% 50%;border:1px solid #555;border-bottom:0;border-top:0;height:150px}.fb_dialog_content .dialog_footer{background:#f6f7f8;border:1px solid #555;border-top-color:#ccc;height:40px}#fb_dialog_loader_close{float:left}.fb_dialog.fb_dialog_mobile .fb_dialog_close_button{text-shadow:rgba(0, 30, 84, .296875) 0 -1px 0}.fb_dialog.fb_dialog_mobile .fb_dialog_close_icon{visibility:hidden}
.fb_iframe_widget{display:inline-block;position:relative}.fb_iframe_widget span{display:inline-block;position:relative;text-align:justify}.fb_iframe_widget iframe{position:absolute}.fb_iframe_widget_fluid_desktop,.fb_iframe_widget_fluid_desktop span,.fb_iframe_widget_fluid_desktop iframe{max-width:100%}.fb_iframe_widget_fluid_desktop iframe{min-width:220px;position:relative}.fb_iframe_widget_lift{z-index:1}.fb_hide_iframes iframe{position:relative;left:-10000px}.fb_iframe_widget_loader{position:relative;display:inline-block}.fb_iframe_widget_fluid{display:inline}.fb_iframe_widget_fluid span{width:100%}.fb_iframe_widget_loader iframe{min-height:32px;z-index:2;zoom:1}.fb_iframe_widget_loader .FB_Loader{background:url(http://static.ak.fbcdn.net/rsrc.php/v2/y9/r/jKEcVPZFk-2.gif) no-repeat;height:32px;width:32px;margin-left:-16px;position:absolute;left:50%;z-index:4}&lt;/style&gt;&lt;/head&gt;
&lt;body&gt;
&lt;form action="" id="form1" method="post"&gt;
&lt;div class="aspNetHidden"&gt;
&lt;input id="__EVENTTARGET" name="__EVENTTARGET" type="hidden" value=""/&gt;
&lt;input id="__EVENTARGUMENT" name="__EVENTARGUMENT" type="hidden" value=""/&gt;
&lt;input id="__LASTFOCUS" name="__LASTFOCUS" type="hidden" value=""/&gt;
&lt;input id="__VIEWSTATE" name="__VIEWSTATE" type="hidden" value="/wEPDwUJNDQ1OTAwMDE3D2QWAmYPZBYCZg8PFgIeC1Bvc3RCYWNrVXJsBQkvZmQvZnVsbC9kZGRYHnMwlpyLrz4S8qoFODqIaHzleDsjNg1OVdxMYVWsbA=="/&gt;
&lt;/div&gt;
&lt;script type="text/javascript"&gt;
//&amp;lt;![CDATA[
var theForm = document.forms['form1'];
if (!theForm) {
    theForm = document.form1;
}
function __doPostBack(eventTarget, eventArgument) {
    if (!theForm.onsubmit || (theForm.onsubmit() != false)) {
        theForm.__EVENTTARGET.value = eventTarget;
        theForm.__EVENTARGUMENT.value = eventArgument;
        theForm.submit();
    }
}
//]]&amp;gt;
&lt;/script&gt;
&lt;script src="/rn/WebResource.axd?d=wL0GyHcwwEV4LGJtRLDtIiOZllkF-5qMk4Yy1ns5TS6rZFimr2zSZeNPWWVxkulFll4KlrRcArSDv9lK31fk0bYVFqZRrF3UAaDGOa-tWsw1&amp;amp;t=635586541120000000" type="text/javascript"&gt;&lt;/script&gt;
&lt;div class="aspNetHidden"&gt;
&lt;input id="__VIEWSTATEGENERATOR" name="__VIEWSTATEGENERATOR" type="hidden" value="D1265C36"/&gt;
&lt;input id="__PREVIOUSPAGE" name="__PREVIOUSPAGE" type="hidden" value="1cua_eRrjlzYnzd_15FU_K74pvAHuZ0sbxM7Y5OJimoCf6---sld6T6k-4Y2n3rAFel7jZyT1Q8lm-vD7mOBBUkTLDok3rylewNZ1XcujGw1"/&gt;
&lt;input id="__EVENTVALIDATION" name="__EVENTVALIDATION" type="hidden" value="/wEdAA2AZ4Wk6JWj++fDvWwYtYXsYI8mQ7zif37tUCFbSneQC3NkoNm+0SkP9SfQItyYkCmp3B/HVoMhOHgiEWybfyAJ4QOzzyySQP0YImDiOymfjM5NTvDVaTMUCMJvq4lF7yoCT8seGYwQgINknZ1sW2eh8ikS1oHVSNCl2R+mJOulQn3/R+9b/rBcuhNw9akoStOBmu50U772sw7VS/tbCVT03BKQnYD25U6JRNYjWYVirqARXGN2puqHIWCWNBhxy8QRc6HsUJfYx/YX1nRsBiV2RINtCC+UHVdXGyiZBvILo5Ckz/6Jbr6np/CGPsNDvGg="/&gt;
&lt;/div&gt;
&lt;div id="main"&gt;
&lt;header class="global-header"&gt;
&lt;div class="global-header-container"&gt;
&lt;section class="logo-container"&gt;
&lt;h3&gt;&lt;a href="/" title="RN | Optimal MLB Lineup On FanDuel - Updated Daily!"&gt;&lt;/a&gt;&lt;/h3&gt;
&lt;/section&gt;
&lt;div id="topNav"&gt;
&lt;ul class="navigation-menu"&gt;
&lt;li class="" id="li1"&gt;&lt;a class="link" href="http://nfl.rosternerds.com" title="NFL Projections"&gt;NFL&lt;/a&gt;&lt;/li&gt;
&lt;li class="selected" id="li2"&gt;&lt;a class="link" href="http://mlb.rosternerds.com" title="MLB Projections"&gt;MLB&lt;/a&gt;&lt;/li&gt;
&lt;li class="" id="li3"&gt;&lt;a class="link" href="http://nba.rosternerds.com" title="NBA Projections"&gt;NBA&lt;/a&gt;&lt;/li&gt;
&lt;li class="" id="li4"&gt;&lt;a class="link" href="http://nhl.rosternerds.com" title="NHL Projections"&gt;NHL&lt;/a&gt;&lt;/li&gt;
&lt;li class="" id="li5"&gt;&lt;a class="link" href="http://cfb.rosternerds.com" title="College Football Projections"&gt;CFB&lt;/a&gt;&lt;/li&gt;
&lt;li class="" id="li6"&gt;&lt;a class="link" href="/about/" title="About Us, Contact Us, FAQs, and More!"&gt;About Us&lt;/a&gt;&lt;/li&gt;
&lt;li class="h4img" id="li19"&gt;&lt;/li&gt;
&lt;/ul&gt;
&lt;/div&gt;
&lt;/div&gt;
&lt;/header&gt;
&lt;div class="body-container"&gt;
&lt;div class="subheader"&gt;
&lt;div class="spacer"&gt;&lt;/div&gt;
&lt;div class="body-header"&gt;
&lt;!--&lt;div class="body-heading"&gt;MLB&lt;/div&gt;
                &lt;div class="body-heading-mid"&gt;Daily Fantasy Football Lineup Assist&lt;/div&gt;--&gt;
&lt;!--&lt;div class="body-heading-small"&gt;
                            &lt;h2&gt;Are you tired of spending hours trying to find the &lt;span class="bold"&gt;optimal lineup&lt;/span&gt; that is under budget? Did you know that there are &lt;span class="underscore"&gt;over 30 trillion combinations of rosters&lt;/span&gt; available and that is just assuming you are looking at the top player for each position on each team? Let &lt;span class="bold"&gt;us&lt;/span&gt; do the heavy lifting!&lt;/h2&gt;
                        &lt;/div&gt;--&gt;
&lt;div class="body-heading-small"&gt;
&lt;div class="affiliate-2"&gt;&lt;div class="over8"&gt;&lt;/div&gt;&lt;div class="down25"&gt;&lt;/div&gt;&lt;!-- Affiliate Code Do NOT Modify--&gt;
&lt;a href="http://partners.fanduel.com/processing/clickthrgh.asp?btag=a_5114b_811&amp;amp;aid=" onclick="window.open(this.href,'_blank');return false;"&gt;
&lt;img border="" src="http://partners.fanduel.com/processing/impressions.asp?btag=a_5114b_811&amp;amp;aid=" style="border: none; width: 234px; height: 60px;"/&gt;&lt;/a&gt;&lt;!-- End affiliate Code--&gt;&lt;/div&gt;
&lt;div class="affiliate-1"&gt;
&lt;div class="over54"&gt;&lt;/div&gt;
&lt;a href="http://partners.draftkings.com/aff_c?offer_id=124&amp;amp;aff_id=151395&amp;amp;file_id=2576&amp;amp;url_id=296" onclick="window.open(this.href,'_blank');return false;"&gt;
&lt;img alt="DraftKings Logo" height="105px" src="http://media.go2speed.org/brand/files/draftkings/124/20130626153419-draftkingslogosmall.png" width="143px"/&gt;&lt;/a&gt;&lt;img height="1" src="http://partners.draftkings.com/aff_i?offer_id=124&amp;amp;file_id=2576&amp;amp;aff_id=151395" width="1"/&gt;&lt;/div&gt;
&lt;div class="affiliate-3"&gt;&lt;div class="over18"&gt;&lt;/div&gt;&lt;div class="down20x"&gt;&lt;/div&gt;
&lt;a class="dd-affiliate" href="https://www.draftday.com/deposit.php?affiliateRefCode=sbachm01&amp;amp;idBanner=662" onclick="window.open(this.href,'_blank');return false;"&gt;&lt;/a&gt;
&lt;/div&gt;
&lt;/div&gt;
&lt;div class="social"&gt;
&lt;div class="social-words"&gt;Connect with:&lt;/div&gt;
&lt;div class="social-list"&gt;
&lt;a class="social-list-fb" data-provider="Facebook" href="//facebook.com/pages/Roster-Nerds/317867401725682" rel="nofollow" target="_blank" title="Connect with Facebook"&gt;
&lt;/a&gt;
&lt;a class="social-list-tw" data-provider="Twitter" href="http://www.twitter.com/rosternerds" rel="nofollow" target="_blank" title="Connect with Twitter"&gt;
&lt;/a&gt;
&lt;a class="social-list-gp" data-provider="Google" href="http://plus.google.com/118341098166774303501" rel="nofollow" target="_blank" title="Connect with Google"&gt;
&lt;/a&gt;
&lt;/div&gt;
&lt;/div&gt;
&lt;/div&gt;
&lt;div class="body-top"&gt;
&lt;div id="footballsites"&gt;
&lt;div class="gray"&gt;&lt;/div&gt;
&lt;div class="navigation-menu-pref"&gt;Daily Fantasy Site: &lt;/div&gt;
&lt;div&gt;
&lt;ul class="navigation-menu-fs"&gt;
&lt;li class="fan-site-sel" id="li10"&gt;&lt;a class="link" href="/fd/full/" title="FanDuel Projections"&gt;FanDuel&lt;/a&gt;&lt;/li&gt;
&lt;li class="fan-site-un" id="li11"&gt;&lt;a class="link" href="/dd/full/" title="DraftDay Projections"&gt;DraftDay&lt;/a&gt;&lt;/li&gt;
&lt;li class="fan-site-un" id="li12"&gt;&lt;a class="link" href="/dk/full/" title="DraftKing Projections"&gt;DraftKings&lt;/a&gt;&lt;/li&gt;
&lt;/ul&gt;
&lt;/div&gt;
&lt;div class="gray"&gt;&lt;/div&gt;
&lt;div class="navigation-menu-preg"&gt;Game Time: &lt;/div&gt;
&lt;div&gt;
&lt;ul class="navigation-menu-gt"&gt;
&lt;li class="gametime-sel" id="li13"&gt;&lt;a class="link" href="/fd/Full/" title="Thursday Through Monday Fantasy Projections"&gt;Full&lt;/a&gt;&lt;/li&gt;
&lt;li class="gametime-none" id="li14"&gt;&lt;a class="link" href="/fd/Sunday/" title="Sunday All Day Fantasy Projections"&gt;Sunday&lt;/a&gt;&lt;/li&gt;
&lt;li class="gametime-none" id="li15"&gt;&lt;a class="link" href="/fd/SundayEarly/" title="Sunday 1 pm Only Fantasy Projection"&gt;Sun 1pm&lt;/a&gt;&lt;/li&gt;
&lt;li class="gametime-none" id="li16"&gt;&lt;a class="link" href="/fd/Sun-Mon/" title="Sunday/Monday Fantasy Projections"&gt;Sun-Mon&lt;/a&gt;&lt;/li&gt;
&lt;!--&lt;li id="li17" class="gametime-none"&gt;&lt;a href="/fd/PrimeTime/" class="link" title="Monday and Next Week's Thursday Fantasy Projections"&gt;Sun pm-Mon pm&lt;/a&gt;&lt;/li&gt;--&gt;
&lt;!--&lt;li id="li30" class="gametime-none"&gt;&lt;a href="/fd/MonPM-ThurPM/" class="link" title="Monday and Next Week's Thursday Fantasy Projections"&gt;Mon pm-Thur pm&lt;/a&gt;&lt;/li&gt;--&gt;
&lt;/ul&gt;
&lt;/div&gt;
&lt;div class="gray"&gt;&lt;/div&gt;
&lt;div class="navigation-menu-pre"&gt;&lt;!--Projections: --&gt;&lt;/div&gt;
&lt;div&gt;
&lt;ul class="navigation-menu-ps"&gt;
&lt;!--&lt;li id="li7" class="proj-site-un"&gt;&lt;a href="/fd/yah/full/" class="link" title="Yahoo! Sports Fantasy Projections"&gt;Yahoo!&lt;/a&gt;&lt;/li&gt;--&gt;
&lt;!--&lt;li id="li8" class="proj-site-un"&gt;&lt;a href="/fd/espn/full/" class="link" title="ESPN Fantasy Projections"&gt;ESPN&lt;/a&gt;&lt;/li&gt;--&gt;
&lt;!--&lt;li id="li9" class="proj-site-un"&gt;&lt;a href="/fd/cbs/full/" class="link" title="CBS Sports Fantasy Projections"&gt;CBS Sports&lt;/a&gt;&lt;/li&gt;--&gt;
&lt;/ul&gt;
&lt;/div&gt;
&lt;div class="gray"&gt;&lt;/div&gt;
&lt;div class="down6"&gt;&lt;/div&gt;
&lt;div class="topaddfull"&gt;
&lt;div class="topadspace"&gt;&lt;/div&gt;
&lt;div class="topad"&gt;
&lt;script async="" src="//pagead2.googlesyndication.com/pagead/1js/adsbygoogle.js"&gt;&lt;/script&gt;&lt;ins class="adsbygoogle" data-ad-client="ca-pub-0052530569385649" data-ad-slot="9844228921" data-adsbygoogle-status="done" style="display: inline-block; width: 728px; height: 15px"&gt;&lt;ins id="aswift_0_expand" style="display:inline-table;border:none;height:15px;margin:0;padding:0;position:relative;visibility:visible;width:728px;background-color:transparent"&gt;&lt;ins id="aswift_0_anchor" style="display:block;border:none;height:15px;margin:0;padding:0;position:relative;visibility:visible;width:728px;background-color:transparent"&gt;&lt;iframe allowfullscreen="true" allowtransparency="true" frameborder="0" height="15" hspace="0" id="aswift_0" marginheight="0" marginwidth="0" name="aswift_0" onload="var i=this.id,s=window.google_iframe_oncopy,H=s&amp;amp;&amp;amp;s.handlers,h=H&amp;amp;&amp;amp;H[i],w=this.contentWindow,d;try{d=w.document}catch(e){}if(h&amp;amp;&amp;amp;d&amp;amp;&amp;amp;(!d.body||!d.body.firstChild)){if(h.call){setTimeout(h,0)}else if(h.match){try{h=s.upd(h,i)}catch(e){}w.location.replace(h)}}" scrolling="no" style="left:0;position:absolute;top:0;" vspace="0" width="728"&gt;&lt;/iframe&gt;&lt;/ins&gt;&lt;/ins&gt;&lt;/ins&gt;&lt;script&gt;(adsbygoogle = window.adsbygoogle || []).push({});&lt;/script&gt;
&lt;/div&gt;
&lt;/div&gt;
&lt;/div&gt;
&lt;/div&gt;
&lt;/div&gt;
&lt;div class="body-wide"&gt;
&lt;div class="spacer"&gt;&lt;script async="" src="//pagead2.googlesyndication.com/pagead/js/adsbygoogle.js"&gt;&lt;/script&gt;&lt;ins class="adsbygoogle" data-ad-client="ca-pub-0052530569385649" data-ad-slot="4995226920" data-adsbygoogle-status="done" style="display:inline-block;width:160px;height:600px"&gt;&lt;ins id="aswift_1_expand" style="display:inline-table;border:none;height:600px;margin:0;padding:0;position:relative;visibility:visible;width:160px;background-color:transparent"&gt;&lt;ins id="aswift_1_anchor" style="display:block;border:none;height:600px;margin:0;padding:0;position:relative;visibility:visible;width:160px;background-color:transparent"&gt;&lt;iframe allowfullscreen="true" allowtransparency="true" frameborder="0" height="600" hspace="0" id="aswift_1" marginheight="0" marginwidth="0" name="aswift_1" onload="var i=this.id,s=window.google_iframe_oncopy,H=s&amp;amp;&amp;amp;s.handlers,h=H&amp;amp;&amp;amp;H[i],w=this.contentWindow,d;try{d=w.document}catch(e){}if(h&amp;amp;&amp;amp;d&amp;amp;&amp;amp;(!d.body||!d.body.firstChild)){if(h.call){setTimeout(h,0)}else if(h.match){try{h=s.upd(h,i)}catch(e){}w.location.replace(h)}}" scrolling="no" style="left:0;position:absolute;top:0;" vspace="0" width="160"&gt;&lt;/iframe&gt;&lt;/ins&gt;&lt;/ins&gt;&lt;/ins&gt;&lt;script&gt;(adsbygoogle = window.adsbygoogle || []).push({});&lt;/script&gt;&lt;/div&gt;
&lt;div class="body-main-hidden" hidden="hidden"&gt;
&lt;div class="down50"&gt;&lt;/div&gt;
&lt;div&gt;
&lt;div class="over10p"&gt;&lt;/div&gt;
&lt;div class="maint-container"&gt;
&lt;div class="maint"&gt;We are putting the finishing touches on our site. Please check back around 03/22/2014 for the finalized product. You won't be disappointed!&lt;/div&gt;
&lt;div class="maintsig"&gt;- Roster Nerds Management    &lt;/div&gt;
&lt;/div&gt;
&lt;/div&gt;
&lt;div class="down20"&gt;&lt;/div&gt;
&lt;div class="maint-ad-holder"&gt;
&lt;div class="maint-ad-spacer"&gt;&lt;/div&gt;
&lt;div class="maint-ads"&gt;
&lt;/div&gt;
&lt;div class="over15"&gt;&lt;/div&gt;
&lt;div class="maint-ads"&gt;
&lt;/div&gt;
&lt;/div&gt;
&lt;/div&gt;
&lt;div class="body-main-hidden" hidden="hidden"&gt;
&lt;div class="down50"&gt;&lt;/div&gt;
&lt;div&gt;
&lt;div class="over10p"&gt;&lt;/div&gt;
&lt;div class="maint-container"&gt;
&lt;div class="maint"&gt;&lt;/div&gt;
&lt;div class="maintsig"&gt;- Roster Nerds Management    &lt;/div&gt;
&lt;/div&gt;
&lt;/div&gt;
&lt;div class="down20"&gt;&lt;/div&gt;
&lt;div class="maint-ad-holder"&gt;
&lt;div class="maint-ad-spacer"&gt;&lt;/div&gt;
&lt;div class="maint-ads"&gt;
&lt;/div&gt;
&lt;div class="over15"&gt;&lt;/div&gt;
&lt;div class="maint-ads"&gt;
&lt;/div&gt;
&lt;/div&gt;
&lt;/div&gt;
&lt;div class="body-main"&gt;
&lt;div class="body-left"&gt;
&lt;div class="body-left-top"&gt;
&lt;div class="body-left-top-spacer"&gt;&lt;/div&gt;
&lt;div class="body-left-top-table"&gt;
&lt;div class="body-left-top-header"&gt;
&lt;h1&gt;Optimal &lt;span class="bold"&gt;MLB&lt;/span&gt; Lineup On &lt;span class="bold"&gt;FanDuel&lt;/span&gt; For &lt;span class="bold"&gt;May 12, 2015&lt;/span&gt;&lt;/h1&gt;
&lt;/div&gt;
&lt;table class="players" id="lineup"&gt;
&lt;thead class="lineup-header"&gt;
&lt;tr&gt;
&lt;th class="header-lock" title="Lock Him In!"&gt;Lock&lt;/th&gt;
&lt;th class="header-pos" title="Roster Position"&gt;Pos&lt;/th&gt;
&lt;th class="header-player" title="Player Name"&gt;Player&lt;/th&gt;
&lt;th class="header-team" title="Player Team"&gt;Team&lt;/th&gt;
&lt;th class="header-opp" title="Opposing Team (@ For Away Games)"&gt;Opp&lt;/th&gt;
&lt;th class="header-salary" title="Player Salary"&gt;Salary&lt;/th&gt;
&lt;th class="header-proj" title="This Week's Point Projection"&gt;Proj&lt;/th&gt;
&lt;!--&lt;th class="header-dpp" title="Dollars Per Point"&gt;DPP&lt;/th&gt;--&gt;
&lt;th class="header-ppt" title="Points Per $1000"&gt;Pts/1000&lt;/th&gt;
&lt;th class="header-cap" title="Percentage of Overall Salary Cap"&gt;Cap %&lt;/th&gt;
&lt;th class="header-block" title="Block Him From My Lineups!"&gt;Block&lt;/th&gt;
&lt;/tr&gt;
&lt;/thead&gt;
&lt;tbody&gt;&lt;tr class="odd" id="p422"&gt;
&lt;td class="lock-cell"&gt;&lt;img alt="P" class="unlock2" id="l422" src="\1img\unlock.png" title="Lock This Player"/&gt;&lt;/td&gt;
&lt;td class="pos-cell"&gt;P&lt;/td&gt;
&lt;td class="player-cell"&gt;Jake Arrieta&lt;/td&gt;
&lt;td class="team-cell"&gt;CHC&lt;/td&gt;
&lt;td class="opp-cell"&gt;NYM&lt;/td&gt;
&lt;td class="salary-cell"&gt;9500&lt;/td&gt;
&lt;td class="proj-cell"&gt;12.28&lt;/td&gt;
&lt;td class="dpp-cell"&gt;1.29&lt;/td&gt;
&lt;td class="cap-cell"&gt;27.14%&lt;/td&gt;
&lt;td class="block-cell"&gt;&lt;img alt="P" class="block2" id="b422" src="\1img\block.png" title="Block This Player"/&gt;&lt;/td&gt;
&lt;/tr&gt;
&lt;tr class="even" id="p4724"&gt;
&lt;td class="lock-cell"&gt;&lt;img alt="C" class="unlock2" id="l4724" src="\1img\unlock.png" title="Lock This Player"/&gt;&lt;/td&gt;
&lt;td class="pos-cell"&gt;C&lt;/td&gt;
&lt;td class="player-cell"&gt;Andrew Susac&lt;/td&gt;
&lt;td class="team-cell"&gt;SF&lt;/td&gt;
&lt;td class="opp-cell"&gt;@HOU&lt;/td&gt;
&lt;td class="salary-cell"&gt;2200&lt;/td&gt;
&lt;td class="proj-cell"&gt;2.56&lt;/td&gt;
&lt;td class="dpp-cell"&gt;1.16&lt;/td&gt;
&lt;td class="cap-cell"&gt;6.29%&lt;/td&gt;
&lt;td class="block-cell"&gt;&lt;img alt="C" class="block2" id="b4724" src="\1img\block.png" title="Block This Player"/&gt;&lt;/td&gt;
&lt;/tr&gt;
&lt;tr class="odd" id="p360"&gt;
&lt;td class="lock-cell"&gt;&lt;img alt="1B" class="unlock2" id="l360" src="\1img\unlock.png" title="Lock This Player"/&gt;&lt;/td&gt;
&lt;td class="pos-cell"&gt;1B&lt;/td&gt;
&lt;td class="player-cell"&gt;Freddie Freeman&lt;/td&gt;
&lt;td class="team-cell"&gt;ATL&lt;/td&gt;
&lt;td class="opp-cell"&gt;@CIN&lt;/td&gt;
&lt;td class="salary-cell"&gt;3900&lt;/td&gt;
&lt;td class="proj-cell"&gt;3.27&lt;/td&gt;
&lt;td class="dpp-cell"&gt;0.84&lt;/td&gt;
&lt;td class="cap-cell"&gt;11.14%&lt;/td&gt;
&lt;td class="block-cell"&gt;&lt;img alt="1B" class="block2" id="b360" src="\1img\block.png" title="Block This Player"/&gt;&lt;/td&gt;
&lt;/tr&gt;
&lt;tr class="even" id="p3769"&gt;
&lt;td class="lock-cell"&gt;&lt;img alt="2B" class="unlock2" id="l3769" src="\1img\unlock.png" title="Lock This Player"/&gt;&lt;/td&gt;
&lt;td class="pos-cell"&gt;2B&lt;/td&gt;
&lt;td class="player-cell"&gt;Brian Dozier&lt;/td&gt;
&lt;td class="team-cell"&gt;MIN&lt;/td&gt;
&lt;td class="opp-cell"&gt;@DET&lt;/td&gt;
&lt;td class="salary-cell"&gt;3500&lt;/td&gt;
&lt;td class="proj-cell"&gt;3.62&lt;/td&gt;
&lt;td class="dpp-cell"&gt;1.03&lt;/td&gt;
&lt;td class="cap-cell"&gt;10.00%&lt;/td&gt;
&lt;td class="block-cell"&gt;&lt;img alt="2B" class="block2" id="b3769" src="\1img\block.png" title="Block This Player"/&gt;&lt;/td&gt;
&lt;/tr&gt;
&lt;tr class="odd" id="p1067"&gt;
&lt;td class="lock-cell"&gt;&lt;img alt="3B" class="unlock2" id="l1067" src="\1img\unlock.png" title="Lock This Player"/&gt;&lt;/td&gt;
&lt;td class="pos-cell"&gt;3B&lt;/td&gt;
&lt;td class="player-cell"&gt;Josh Donaldson&lt;/td&gt;
&lt;td class="team-cell"&gt;TOR&lt;/td&gt;
&lt;td class="opp-cell"&gt;@BAL&lt;/td&gt;
&lt;td class="salary-cell"&gt;3800&lt;/td&gt;
&lt;td class="proj-cell"&gt;3.57&lt;/td&gt;
&lt;td class="dpp-cell"&gt;0.94&lt;/td&gt;
&lt;td class="cap-cell"&gt;10.86%&lt;/td&gt;
&lt;td class="block-cell"&gt;&lt;img alt="3B" class="block2" id="b1067" src="\1img\block.png" title="Block This Player"/&gt;&lt;/td&gt;
&lt;/tr&gt;
&lt;tr class="even" id="p492"&gt;
&lt;td class="lock-cell"&gt;&lt;img alt="SS" class="unlock2" id="l492" src="\1img\unlock.png" title="Lock This Player"/&gt;&lt;/td&gt;
&lt;td class="pos-cell"&gt;SS&lt;/td&gt;
&lt;td class="player-cell"&gt;Jimmy Rollins&lt;/td&gt;
&lt;td class="team-cell"&gt;LAD&lt;/td&gt;
&lt;td class="opp-cell"&gt;MIA&lt;/td&gt;
&lt;td class="salary-cell"&gt;2800&lt;/td&gt;
&lt;td class="proj-cell"&gt;3.12&lt;/td&gt;
&lt;td class="dpp-cell"&gt;1.11&lt;/td&gt;
&lt;td class="cap-cell"&gt;8.00%&lt;/td&gt;
&lt;td class="block-cell"&gt;&lt;img alt="SS" class="block2" id="b492" src="\1img\block.png" title="Block This Player"/&gt;&lt;/td&gt;
&lt;/tr&gt;
&lt;tr class="odd" id="p4143"&gt;
&lt;td class="lock-cell"&gt;&lt;img alt="OF" class="unlock2" id="l4143" src="\1img\unlock.png" title="Lock This Player"/&gt;&lt;/td&gt;
&lt;td class="pos-cell"&gt;OF&lt;/td&gt;
&lt;td class="player-cell"&gt;Kole Calhoun&lt;/td&gt;
&lt;td class="team-cell"&gt;LAA&lt;/td&gt;
&lt;td class="opp-cell"&gt;COL&lt;/td&gt;
&lt;td class="salary-cell"&gt;3100&lt;/td&gt;
&lt;td class="proj-cell"&gt;3.95&lt;/td&gt;
&lt;td class="dpp-cell"&gt;1.27&lt;/td&gt;
&lt;td class="cap-cell"&gt;8.86%&lt;/td&gt;
&lt;td class="block-cell"&gt;&lt;img alt="OF" class="block2" id="b4143" src="\1img\block.png" title="Block This Player"/&gt;&lt;/td&gt;
&lt;/tr&gt;
&lt;tr class="even" id="p433"&gt;
&lt;td class="lock-cell"&gt;&lt;img alt="OF" class="unlock2" id="l433" src="\1img\unlock.png" title="Lock This Player"/&gt;&lt;/td&gt;
&lt;td class="pos-cell"&gt;OF&lt;/td&gt;
&lt;td class="player-cell"&gt;Jarrod Dyson&lt;/td&gt;
&lt;td class="team-cell"&gt;KC&lt;/td&gt;
&lt;td class="opp-cell"&gt;@TEX&lt;/td&gt;
&lt;td class="salary-cell"&gt;2600&lt;/td&gt;
&lt;td class="proj-cell"&gt;3.15&lt;/td&gt;
&lt;td class="dpp-cell"&gt;1.21&lt;/td&gt;
&lt;td class="cap-cell"&gt;7.43%&lt;/td&gt;
&lt;td class="block-cell"&gt;&lt;img alt="OF" class="block2" id="b433" src="\1img\block.png" title="Block This Player"/&gt;&lt;/td&gt;
&lt;/tr&gt;
&lt;tr class="odd" id="p35"&gt;
&lt;td class="lock-cell"&gt;&lt;img alt="OF" class="unlock2" id="l35" src="\1img\unlock.png" title="Lock This Player"/&gt;&lt;/td&gt;
&lt;td class="pos-cell"&gt;OF&lt;/td&gt;
&lt;td class="player-cell"&gt;Alex Gordon&lt;/td&gt;
&lt;td class="team-cell"&gt;KC&lt;/td&gt;
&lt;td class="opp-cell"&gt;@TEX&lt;/td&gt;
&lt;td class="salary-cell"&gt;3300&lt;/td&gt;
&lt;td class="proj-cell"&gt;3.68&lt;/td&gt;
&lt;td class="dpp-cell"&gt;1.12&lt;/td&gt;
&lt;td class="cap-cell"&gt;9.43%&lt;/td&gt;
&lt;td class="block-cell"&gt;&lt;img alt="OF" class="block2" id="b35" src="\1img\block.png" title="Block This Player"/&gt;&lt;/td&gt;
&lt;/tr&gt;
&lt;tr class="even"&gt;
&lt;td class="lock-cell"&gt;&lt;/td&gt;
&lt;td class="pos-cell"&gt;&lt;/td&gt;
&lt;td class="player-cell"&gt;&lt;/td&gt;
&lt;td class="team-cell"&gt;&lt;/td&gt;
&lt;td class="opp-cell"&gt;&lt;/td&gt;
&lt;td class="salary-cell"&gt;&lt;/td&gt;
&lt;td class="proj-cell"&gt;&lt;/td&gt;
&lt;td class="dpp-cell"&gt;&lt;/td&gt;
&lt;td class="cap-cell"&gt;&lt;/td&gt;
&lt;td class="block-cell"&gt;&lt;/td&gt;
&lt;/tr&gt;
&lt;tr class="odd"&gt;
&lt;td class="lock-cell"&gt;&lt;/td&gt;
&lt;td class="pos-cell"&gt;&lt;/td&gt;
&lt;td class="player-cell"&gt;&lt;/td&gt;
&lt;td class="team-cell"&gt;&lt;/td&gt;
&lt;td class="opp-cell"&gt;&lt;/td&gt;
&lt;td class="salary-cell"&gt;&lt;/td&gt;
&lt;td class="proj-cell"&gt;&lt;/td&gt;
&lt;td class="dpp-cell"&gt;&lt;/td&gt;
&lt;td class="cap-cell"&gt;&lt;/td&gt;
&lt;td class="block-cell"&gt;&lt;/td&gt;
&lt;/tr&gt;
&lt;/tbody&gt;&lt;tfoot class="lineup-footer"&gt;
&lt;tr&gt;
&lt;td class="footer-lock"&gt;Totals&lt;/td&gt;
&lt;td class="footer-pos"&gt;&lt;/td&gt;
&lt;td class="footer-player"&gt;&lt;/td&gt;
&lt;td class="footer-team"&gt;&lt;/td&gt;
&lt;td class="footer-opp"&gt;&lt;/td&gt;
&lt;td class="footer-salary"&gt;34700&lt;/td&gt;
&lt;td class="footer-proj"&gt;39.20&lt;/td&gt;
&lt;td class="footer-dpp"&gt;1.13&lt;/td&gt;
&lt;!--&lt;td class="footer-ppt"&gt;PPT&lt;/td&gt;--&gt;
&lt;td class="footer-cap"&gt;99.14%&lt;/td&gt;
&lt;td class="footer-block"&gt;&lt;/td&gt;
&lt;/tr&gt;
&lt;/tfoot&gt;
&lt;/table&gt;
&lt;div class="body-left-top-blank" id="refreshalert"&gt;&lt;input class="body-left-top-blank" id="refreshtext" type="text" value=""/&gt;
&lt;/div&gt;
&lt;div class="body-left-top-footer"&gt;
&lt;div class="lineup-prev"&gt;
&lt;input class="lineup-prev-button-disabled" disabled="" id="prevlineup" type="button" value="Previous"/&gt;&lt;/div&gt;
&lt;div class="lineup-refresh"&gt;
&lt;div class="lineup-refresh-button-spacer"&gt;&lt;/div&gt;
&lt;div class="lineup-refresh-button"&gt;
&lt;input class="refreshButton" id="fetchmore" name="fetchmore" onclick='javascript:WebForm_DoPostBackWithOptions(new WebForm_PostBackOptions("fetchmore", "", false, "", "/fd/full/", false, false))' type="submit" value="Pull More Lineups"/&gt;&lt;/div&gt;
&lt;/div&gt;
&lt;div class="lineup-next"&gt;
&lt;input class="lineup-next-button" id="nextlineup" type="button" value="Next"/&gt;&lt;/div&gt;
&lt;/div&gt;
&lt;/div&gt;
&lt;/div&gt;
&lt;div class="down20"&gt;&lt;/div&gt;
&lt;div class="over41"&gt;&lt;/div&gt;
&lt;div class="body-left-lower-ad"&gt;
&lt;script async="" src="//pagead2.googlesyndication.com/pagead/js/adsbygoogle.js"&gt;&lt;/script&gt;&lt;ins class="adsbygoogle" data-ad-client="ca-pub-0052530569385649" data-ad-slot="5838321726" data-adsbygoogle-status="done" style="display:inline-block;width:468px;height:60px"&gt;&lt;ins id="aswift_2_expand" style="display:inline-table;border:none;height:60px;margin:0;padding:0;position:relative;visibility:visible;width:468px;background-color:transparent"&gt;&lt;ins id="aswift_2_anchor" style="display:block;border:none;height:60px;margin:0;padding:0;position:relative;visibility:visible;width:468px;background-color:transparent"&gt;&lt;iframe allowfullscreen="true" allowtransparency="true" frameborder="0" height="60" hspace="0" id="aswift_2" marginheight="0" marginwidth="0" name="aswift_2" onload="var i=this.id,s=window.google_iframe_oncopy,H=s&amp;amp;&amp;amp;s.handlers,h=H&amp;amp;&amp;amp;H[i],w=this.contentWindow,d;try{d=w.document}catch(e){}if(h&amp;amp;&amp;amp;d&amp;amp;&amp;amp;(!d.body||!d.body.firstChild)){if(h.call){setTimeout(h,0)}else if(h.match){try{h=s.upd(h,i)}catch(e){}w.location.replace(h)}}" scrolling="no" style="left:0;position:absolute;top:0;" vspace="0" width="468"&gt;&lt;/iframe&gt;&lt;/ins&gt;&lt;/ins&gt;&lt;/ins&gt;&lt;script&gt;(adsbygoogle = window.adsbygoogle || []).push({});&lt;/script&gt;
&lt;/div&gt;
&lt;div class="down6"&gt;&lt;/div&gt;
&lt;div class="body-left-top"&gt;
&lt;div class="body-left-top-spacer"&gt;&lt;/div&gt;
&lt;div class="body-left-bottom-table"&gt;
&lt;div class="body-left-bottom-header"&gt;
&lt;ul class="navigation-menu-pos"&gt;
&lt;li class="pos-small-sel" id="li18"&gt;ALL&lt;/li&gt;
&lt;li class="pos-small-un" id="li29"&gt;P&lt;/li&gt;
&lt;li class="pos-small-un" id="li20"&gt;C&lt;/li&gt;
&lt;li class="pos-small-un" id="li21"&gt;1B&lt;/li&gt;
&lt;li class="pos-small-un" id="li22"&gt;2B&lt;/li&gt;
&lt;li class="pos-small-un" id="li23"&gt;3B&lt;/li&gt;
&lt;li class="pos-small-un" id="li27"&gt;SS&lt;/li&gt;
&lt;li class="pos-small-un" id="li28"&gt;OF&lt;/li&gt;
&lt;/ul&gt;
&lt;/div&gt;
&lt;div class="body-left-bottom-filters"&gt;&lt;div class="player-filter"&gt;
                                            Player Search: &lt;input class="player-input" id="player-text" type="text"/&gt;&lt;/div&gt;&lt;div class="team-filter"&gt;
                                        Team: &lt;select class="team-input" id="team-dd"&gt;&lt;option&gt;ALL&lt;/option&gt;&lt;option&gt;ARI&lt;/option&gt;&lt;option&gt;ATL&lt;/option&gt;&lt;option&gt;BAL&lt;/option&gt;&lt;option&gt;BOS&lt;/option&gt;&lt;option&gt;CHC&lt;/option&gt;&lt;option&gt;CHW&lt;/option&gt;&lt;option&gt;CIN&lt;/option&gt;&lt;option&gt;CLE&lt;/option&gt;&lt;option&gt;COL&lt;/option&gt;&lt;option&gt;DET&lt;/option&gt;&lt;option&gt;HOU&lt;/option&gt;&lt;option&gt;KC&lt;/option&gt;&lt;option&gt;LAA&lt;/option&gt;&lt;option&gt;LAD&lt;/option&gt;&lt;option&gt;MIA&lt;/option&gt;&lt;option&gt;MIL&lt;/option&gt;&lt;option&gt;MIN&lt;/option&gt;&lt;option&gt;NYM&lt;/option&gt;&lt;option&gt;NYY&lt;/option&gt;&lt;option&gt;OAK&lt;/option&gt;&lt;option&gt;PHI&lt;/option&gt;&lt;option&gt;PIT&lt;/option&gt;&lt;option&gt;SD&lt;/option&gt;&lt;option&gt;SEA&lt;/option&gt;&lt;option&gt;SF&lt;/option&gt;&lt;option&gt;STL&lt;/option&gt;&lt;option&gt;TB&lt;/option&gt;&lt;option&gt;TEX&lt;/option&gt;&lt;option&gt;TOR&lt;/option&gt;&lt;option&gt;WSH&lt;/option&gt;&lt;/select&gt;&lt;/div&gt;
&lt;/div&gt;
&lt;div class="body-left-bottom-table-scroll"&gt;
&lt;table class="players-table" id="players"&gt;
&lt;thead class="player-header"&gt;&lt;tr&gt;&lt;th class="header-lock2" title="Lock Him In!"&gt;Lock&lt;/th&gt;&lt;th class="header-pos2" title="Roster Position"&gt;Pos&lt;/th&gt;&lt;th class="header-player2" title="Player Name"&gt;Player&lt;/th&gt;&lt;th class="header-team2" title="Player Team"&gt;Team&lt;/th&gt;&lt;th class="header-opp2" title="Opposing Team (@ For Away Games)"&gt;Opp&lt;/th&gt;&lt;th class="header-salary2" title="Player Salary"&gt;Salary&lt;/th&gt;&lt;th class="header-proj2" title="This Week's Point Projection"&gt;Proj&lt;/th&gt;&lt;th class="header-dpp2" title="Dollars Per Point"&gt;Pts/1000&lt;/th&gt;&lt;!--&lt;th class="header-ppt2"&gt;PPT&lt;/th&gt;--&gt;&lt;th class="header-block2" title="Block Him From My Lineups!"&gt;Block&lt;/th&gt;&lt;/tr&gt;&lt;/thead&gt;&lt;tbody&gt;&lt;tr class="even" id="p422"&gt;&lt;td class="lock-cell2"&gt;&lt;img alt="P" class="unlock2" id="l422x" src="\1img\unlock.png" title="Lock This Player"/&gt;&lt;/td&gt;&lt;td class="pos-cell2"&gt;P&lt;/td&gt;&lt;td class="player-cell2"&gt;Jake Arrieta&lt;/td&gt;&lt;td class="team-cell2"&gt;CHC&lt;/td</t>
  </si>
  <si>
    <t xml:space="preserve">Jake Arrieta, Freddie Freeman, Josh Donaldson, Kole Calhoun, Alex Gordon, , Andrew Susac, Brian Dozier, Jimmy Rollins, Jarrod Dyson, </t>
  </si>
  <si>
    <t>plot confidence vs. variance in projected vs. actual points!</t>
  </si>
  <si>
    <t>{'Michael Brantley_batter': {'Salary': 4000.0, 'projected_FD_points': 3.8959516135250354, 'confidence': -0.19970712992089834, 'FD_Position': 'OF'}, 'Alex Rodriguez_batter': {'Salary': 3700.0, 'projected_FD_points': 4.916666666666667, 'confidence': -0.67324128862590427, 'FD_Position': '3B'}, 'Melky Cabrera_batter': {'Salary': 2500.0, 'projected_FD_points': 2.6902795190090734, 'confidence': -0.1142336382785365, 'FD_Position': 'OF'}, 'Devon Travis_batter': {'Salary': 2800.0, 'projected_FD_points': 2.9545454545454546, 'confidence': 0.0, 'FD_Position': '2B'}, 'Adam LaRoche_batter': {'Salary': 3100.0, 'projected_FD_points': 2.6721237138853189, 'confidence': -0.015436241706317633, 'FD_Position': '1B'}, 'Marcus Semien_batter': {'Salary': 3000.0, 'projected_FD_points': 2.2704756206999703, 'confidence': 0.023181886072854208, 'FD_Position': 'SS'}, 'Josh Phegley_batter': {'Salary': 2200.0, 'projected_FD_points': 3.3743899782135083, 'confidence': -2.9195123661358973, 'FD_Position': 'C'}, 'Dexter Fowler_batter': {'Salary': 3800.0, 'projected_FD_points': 3.3815328577559214, 'confidence': 0.0077618105471866095, 'FD_Position': 'OF'}, 'Stephen Strasburg_pitcher': {'Salary': 9800.0, 'projected_FD_points': 15.229510191664126, 'confidence': -0.45155721741158228, 'FD_Position': 'P'}}</t>
  </si>
  <si>
    <t>Tot. Conf</t>
  </si>
  <si>
    <t>{'Adrian Beltre_batter': {'Salary': 3400.0, 'projected_FD_points': 2.5746527777777777, 'confidence': -0.098630627301341534, 'FD_Position': '3B'}, 'Kolten Wong_batter': {'Salary': 3000.0, 'projected_FD_points': 2.415098444570666, 'confidence': -0.011469725695818944, 'FD_Position': '2B'}, 'Brandon McCarthy_pitcher': {'Salary': 7900.0, 'projected_FD_points': 13.15632030090973, 'confidence': -0.16228471783976484, 'FD_Position': 'P'}, 'Matt Holliday_batter': {'Salary': 3600.0, 'projected_FD_points': 2.6223496631406875, 'confidence': -0.093943500741237251, 'FD_Position': 'OF'}, 'Prince Fielder_batter': {'Salary': 3700.0, 'projected_FD_points': 2.7087435035157443, 'confidence': -0.42031707937177765, 'FD_Position': '1B'}, 'Jake Smolinski_batter': {'Salary': 2700.0, 'projected_FD_points': 2.0785727093419402, 'confidence': -1.190678948459678, 'FD_Position': 'OF'}, 'A.J. Pollock_batter': {'Salary': 3500.0, 'projected_FD_points': 3.015075671430079, 'confidence': 0.13807708525381945, 'FD_Position': 'OF'}, 'Troy Tulowitzki_batter': {'Salary': 4900.0, 'projected_FD_points': 3.405032914979548, 'confidence': 0.060644130063532753, 'FD_Position': 'SS'}, 'Michael McKenry_batter': {'Salary': 2200.0, 'projected_FD_points': 2.4629530831953117, 'confidence': -0.032680703620672658, 'FD_Position': 'C'}}</t>
  </si>
  <si>
    <t>backtesting:</t>
  </si>
  <si>
    <t>games back for each model</t>
  </si>
  <si>
    <t>try lower total confidence? &lt;-10</t>
  </si>
  <si>
    <t>{'Alex Rodriguez_batter': {'Salary': 3300.0, 'projected_FD_points': 3.5166666666666675, 'confidence': 0, 'FD_Position': '3B'}, 'Chris Iannetta_batter': {'Salary': 2500.0, 'projected_FD_points': 2.0450044823289879, 'confidence': -0.75712255946874008, 'FD_Position': 'C'}, 'Robbie Grossman_batter': {'Salary': 2500.0, 'projected_FD_points': 2.3199692949252038, 'confidence': -0.10372451450678377, 'FD_Position': 'OF'}, 'Paul Goldschmidt_batter': {'Salary': 5200.0, 'projected_FD_points': 3.5619047619047617, 'confidence': -0.034601310843972222, 'FD_Position': '1B'}, 'Marcus Semien_batter': {'Salary': 2900.0, 'projected_FD_points': 2.4787337662337663, 'confidence': -0.1698640783650549, 'FD_Position': 'SS'}, 'Howie Kendrick_batter': {'Salary': 3300.0, 'projected_FD_points': 2.6420029955618163, 'confidence': -0.0082202552127070838, 'FD_Position': '2B'}, 'Michael Cuddyer_batter': {'Salary': 3300.0, 'projected_FD_points': 3.2916666666666665, 'confidence': -0.44734042553191466, 'FD_Position': 'OF'}, 'Chris Carter_batter': {'Salary': 2600.0, 'projected_FD_points': 2.3542574682162076, 'confidence': -0.00070598211862371585, 'FD_Position': 'OF'}, 'Jacob deGrom_pitcher': {'Salary': 9400.0, 'projected_FD_points': 13.523003286545416, 'confidence': -0.67460621491182038, 'FD_Position': 'P'}}</t>
  </si>
  <si>
    <t>{'Michael Brantley_batter': {'Salary': 4100.0, 'projected_FD_points': 3.9858244907637514, 'confidence': -0.24364782496967363, 'FD_Position': 'OF'}, 'Carlos Ruiz_batter': {'Salary': 2300.0, 'projected_FD_points': 1.8906299577750116, 'confidence': -0.068025890687039681, 'FD_Position': 'C'}, 'Alex Rodriguez_batter': {'Salary': 3300.0, 'projected_FD_points': 5.6416666666666675, 'confidence': 0, 'FD_Position': '3B'}, 'Devon Travis_batter': {'Salary': 2800.0, 'projected_FD_points': 2.96875, 'confidence': 0, 'FD_Position': '2B'}, 'Kennys Vargas_batter': {'Salary': 2400.0, 'projected_FD_points': 2.4886702634084417, 'confidence': -0.85213792549892786, 'FD_Position': '1B'}, 'A.J. Pollock_batter': {'Salary': 3000.0, 'projected_FD_points': 3.0021608763000662, 'confidence': 0.046387556065789592, 'FD_Position': 'OF'}, 'Clayton Kershaw_pitcher': {'Salary': 11800.0, 'projected_FD_points': 15.981246079866192, 'confidence': -0.56067374754584409, 'FD_Position': 'P'}, 'Michael Cuddyer_batter': {'Salary': 3000.0, 'projected_FD_points': 3.1342836038077464, 'confidence': -0.0012981227443922272, 'FD_Position': 'OF'}, 'Jordy Mercer_batter': {'Salary': 2200.0, 'projected_FD_points': 1.7709431523086954, 'confidence': -0.10111771717545359, 'FD_Position': 'SS'}}</t>
  </si>
  <si>
    <t>{'Robinson Chirinos_batter': {'Salary': 2600.0, 'projected_FD_points': 1.9508068144760142, 'confidence': -0.062823022321734312, 'FD_Position': 'C'}, 'Seth Smith_batter': {'Salary': 2600.0, 'projected_FD_points': 1.9342848034248368, 'confidence': -0.11818395557282257, 'FD_Position': 'OF'}, 'Jacob Lamb_batter': {'Salary': 3000.0, 'projected_FD_points': 2.3244054931554929, 'confidence': -7.3432032089808228, 'FD_Position': '3B'}, 'Prince Fielder_batter': {'Salary': 3600.0, 'projected_FD_points': 2.8030076094822483, 'confidence': -0.19755040018489423, 'FD_Position': '1B'}, 'A.J. Pollock_batter': {'Salary': 3000.0, 'projected_FD_points': 3.0021608763000662, 'confidence': 0.046387556065789592, 'FD_Position': 'OF'}, 'Clayton Kershaw_pitcher': {'Salary': 11800.0, 'projected_FD_points': 15.981246079866192, 'confidence': -0.56067374754584409, 'FD_Position': 'P'}, 'Howie Kendrick_batter': {'Salary': 3300.0, 'projected_FD_points': 2.8476663786710272, 'confidence': -0.10659229784565749, 'FD_Position': '2B'}, 'Brandon Crawford_batter': {'Salary': 2300.0, 'projected_FD_points': 1.7145061728395061, 'confidence': -0.083421971952786222, 'FD_Position': 'SS'}, 'David Peralta_batter': {'Salary': 2800.0, 'projected_FD_points': 1.9913793103448276, 'confidence': -0.097517401958928662, 'FD_Position': 'OF'}}</t>
  </si>
  <si>
    <t>were there 280 starting players?</t>
  </si>
  <si>
    <t>Pt. Variance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</si>
</sst>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6" formatCode="&quot;$&quot;#,##0_);[Red]\(&quot;$&quot;#,##0\)"/>
    <numFmt numFmtId="44" formatCode="_(&quot;$&quot;* #,##0.00_);_(&quot;$&quot;* \(#,##0.00\);_(&quot;$&quot;* &quot;-&quot;??_);_(@_)"/>
    <numFmt numFmtId="164" formatCode="dd/mm/yyyy;@"/>
    <numFmt numFmtId="165" formatCode="yyyy\-mm\-dd"/>
  </numFmts>
  <fonts count="23" x14ac:knownFonts="1">
    <font>
      <sz val="11"/>
      <color theme="1"/>
      <name val="Calibri"/>
      <family val="2"/>
      <scheme val="minor"/>
    </font>
    <font>
      <u/>
      <sz val="11"/>
      <color theme="10"/>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b/>
      <sz val="11"/>
      <color indexed="52"/>
      <name val="Calibri"/>
      <family val="2"/>
      <scheme val="minor"/>
    </font>
    <font>
      <b/>
      <sz val="15"/>
      <color indexed="56"/>
      <name val="Calibri"/>
      <family val="2"/>
      <scheme val="minor"/>
    </font>
    <font>
      <b/>
      <sz val="13"/>
      <color indexed="56"/>
      <name val="Calibri"/>
      <family val="2"/>
      <scheme val="minor"/>
    </font>
    <font>
      <b/>
      <sz val="11"/>
      <color indexed="56"/>
      <name val="Calibri"/>
      <family val="2"/>
      <scheme val="minor"/>
    </font>
    <font>
      <sz val="11"/>
      <color indexed="52"/>
      <name val="Calibri"/>
      <family val="2"/>
      <scheme val="minor"/>
    </font>
    <font>
      <sz val="11"/>
      <color indexed="60"/>
      <name val="Calibri"/>
      <family val="2"/>
      <scheme val="minor"/>
    </font>
    <font>
      <b/>
      <sz val="18"/>
      <color indexed="56"/>
      <name val="Cambria"/>
      <family val="2"/>
      <scheme val="major"/>
    </font>
    <font>
      <sz val="9"/>
      <color theme="1"/>
      <name val="Consolas"/>
      <family val="3"/>
    </font>
    <font>
      <sz val="11"/>
      <color rgb="FF000000"/>
      <name val="Calibri"/>
      <family val="2"/>
    </font>
    <font>
      <b/>
      <u/>
      <sz val="11"/>
      <color rgb="FFFF0000"/>
      <name val="Calibri"/>
      <family val="2"/>
      <scheme val="minor"/>
    </font>
  </fonts>
  <fills count="25">
    <fill>
      <patternFill patternType="none"/>
    </fill>
    <fill>
      <patternFill patternType="gray125"/>
    </fill>
    <fill>
      <patternFill patternType="solid">
        <fgColor rgb="FFFFEB9C"/>
      </patternFill>
    </fill>
    <fill>
      <patternFill patternType="solid">
        <fgColor rgb="FFA5A5A5"/>
      </patternFill>
    </fill>
    <fill>
      <patternFill patternType="solid">
        <fgColor rgb="FFFFFFCC"/>
      </patternFill>
    </fill>
    <fill>
      <patternFill patternType="solid">
        <fgColor theme="5" tint="0.59999389629810485"/>
        <bgColor indexed="65"/>
      </patternFill>
    </fill>
    <fill>
      <patternFill patternType="solid">
        <fgColor theme="8"/>
      </patternFill>
    </fill>
    <fill>
      <patternFill patternType="solid">
        <fgColor theme="8" tint="0.79998168889431442"/>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2"/>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s>
  <borders count="10">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right/>
      <top style="thin">
        <color indexed="62"/>
      </top>
      <bottom style="double">
        <color indexed="62"/>
      </bottom>
      <diagonal/>
    </border>
  </borders>
  <cellStyleXfs count="44">
    <xf numFmtId="0" fontId="0" fillId="0" borderId="0"/>
    <xf numFmtId="0" fontId="1" fillId="0" borderId="0" applyNumberFormat="0" applyFill="0" applyBorder="0" applyAlignment="0" applyProtection="0"/>
    <xf numFmtId="0" fontId="7" fillId="3" borderId="3" applyNumberFormat="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2" fillId="5" borderId="0" applyNumberFormat="0" applyBorder="0" applyAlignment="0" applyProtection="0"/>
    <xf numFmtId="0" fontId="11"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5" borderId="0" applyNumberFormat="0" applyBorder="0" applyAlignment="0" applyProtection="0"/>
    <xf numFmtId="0" fontId="2" fillId="11" borderId="0" applyNumberFormat="0" applyBorder="0" applyAlignment="0" applyProtection="0"/>
    <xf numFmtId="0" fontId="2" fillId="13" borderId="0" applyNumberFormat="0" applyBorder="0" applyAlignment="0" applyProtection="0"/>
    <xf numFmtId="0" fontId="2" fillId="16" borderId="0" applyNumberFormat="0" applyBorder="0" applyAlignment="0" applyProtection="0"/>
    <xf numFmtId="0" fontId="11" fillId="17" borderId="0" applyNumberFormat="0" applyBorder="0" applyAlignment="0" applyProtection="0"/>
    <xf numFmtId="0" fontId="11" fillId="14" borderId="0" applyNumberFormat="0" applyBorder="0" applyAlignment="0" applyProtection="0"/>
    <xf numFmtId="0" fontId="11" fillId="15" borderId="0" applyNumberFormat="0" applyBorder="0" applyAlignment="0" applyProtection="0"/>
    <xf numFmtId="0" fontId="11" fillId="18" borderId="0" applyNumberFormat="0" applyBorder="0" applyAlignment="0" applyProtection="0"/>
    <xf numFmtId="0" fontId="11" fillId="19" borderId="0" applyNumberFormat="0" applyBorder="0" applyAlignment="0" applyProtection="0"/>
    <xf numFmtId="0" fontId="11" fillId="20" borderId="0" applyNumberFormat="0" applyBorder="0" applyAlignment="0" applyProtection="0"/>
    <xf numFmtId="0" fontId="11" fillId="21" borderId="0" applyNumberFormat="0" applyBorder="0" applyAlignment="0" applyProtection="0"/>
    <xf numFmtId="0" fontId="11" fillId="22" borderId="0" applyNumberFormat="0" applyBorder="0" applyAlignment="0" applyProtection="0"/>
    <xf numFmtId="0" fontId="11" fillId="23" borderId="0" applyNumberFormat="0" applyBorder="0" applyAlignment="0" applyProtection="0"/>
    <xf numFmtId="0" fontId="11" fillId="18" borderId="0" applyNumberFormat="0" applyBorder="0" applyAlignment="0" applyProtection="0"/>
    <xf numFmtId="0" fontId="11" fillId="24" borderId="0" applyNumberFormat="0" applyBorder="0" applyAlignment="0" applyProtection="0"/>
    <xf numFmtId="0" fontId="4" fillId="9" borderId="0" applyNumberFormat="0" applyBorder="0" applyAlignment="0" applyProtection="0"/>
    <xf numFmtId="0" fontId="13" fillId="12" borderId="1" applyNumberFormat="0" applyAlignment="0" applyProtection="0"/>
    <xf numFmtId="0" fontId="3" fillId="10" borderId="0" applyNumberFormat="0" applyBorder="0" applyAlignment="0" applyProtection="0"/>
    <xf numFmtId="0" fontId="14" fillId="0" borderId="5" applyNumberFormat="0" applyFill="0" applyAlignment="0" applyProtection="0"/>
    <xf numFmtId="0" fontId="15" fillId="0" borderId="6" applyNumberFormat="0" applyFill="0" applyAlignment="0" applyProtection="0"/>
    <xf numFmtId="0" fontId="16" fillId="0" borderId="7" applyNumberFormat="0" applyFill="0" applyAlignment="0" applyProtection="0"/>
    <xf numFmtId="0" fontId="16" fillId="0" borderId="0" applyNumberFormat="0" applyFill="0" applyBorder="0" applyAlignment="0" applyProtection="0"/>
    <xf numFmtId="0" fontId="5" fillId="12" borderId="1" applyNumberFormat="0" applyAlignment="0" applyProtection="0"/>
    <xf numFmtId="0" fontId="17" fillId="0" borderId="8" applyNumberFormat="0" applyFill="0" applyAlignment="0" applyProtection="0"/>
    <xf numFmtId="0" fontId="18" fillId="2" borderId="0" applyNumberFormat="0" applyBorder="0" applyAlignment="0" applyProtection="0"/>
    <xf numFmtId="0" fontId="12" fillId="4" borderId="4" applyNumberFormat="0" applyFont="0" applyAlignment="0" applyProtection="0"/>
    <xf numFmtId="0" fontId="6" fillId="12" borderId="2" applyNumberFormat="0" applyAlignment="0" applyProtection="0"/>
    <xf numFmtId="0" fontId="19" fillId="0" borderId="0" applyNumberFormat="0" applyFill="0" applyBorder="0" applyAlignment="0" applyProtection="0"/>
    <xf numFmtId="0" fontId="10" fillId="0" borderId="9" applyNumberFormat="0" applyFill="0" applyAlignment="0" applyProtection="0"/>
    <xf numFmtId="44" fontId="2" fillId="0" borderId="0" applyFont="0" applyFill="0" applyBorder="0" applyAlignment="0" applyProtection="0"/>
  </cellStyleXfs>
  <cellXfs count="46">
    <xf numFmtId="0" fontId="0" fillId="0" borderId="0" xfId="0"/>
    <xf numFmtId="0" fontId="1" fillId="0" borderId="0" xfId="1"/>
    <xf numFmtId="0" fontId="0" fillId="0" borderId="0" xfId="0" applyAlignment="1">
      <alignment wrapText="1"/>
    </xf>
    <xf numFmtId="0" fontId="20" fillId="0" borderId="0" xfId="0" applyFont="1" applyAlignment="1">
      <alignment vertical="center"/>
    </xf>
    <xf numFmtId="0" fontId="0" fillId="0" borderId="0" xfId="0" quotePrefix="1"/>
    <xf numFmtId="0" fontId="0" fillId="0" borderId="0" xfId="0"/>
    <xf numFmtId="0" fontId="0" fillId="0" borderId="0" xfId="0" applyAlignment="1">
      <alignment horizontal="left" vertical="center" wrapText="1"/>
    </xf>
    <xf numFmtId="0" fontId="10" fillId="0" borderId="0" xfId="0" applyFont="1"/>
    <xf numFmtId="14" fontId="0" fillId="0" borderId="0" xfId="0" applyNumberFormat="1"/>
    <xf numFmtId="2" fontId="0" fillId="0" borderId="0" xfId="0" applyNumberFormat="1"/>
    <xf numFmtId="0" fontId="0" fillId="0" borderId="0" xfId="0" pivotButton="1"/>
    <xf numFmtId="14" fontId="0" fillId="0" borderId="0" xfId="0" applyNumberFormat="1" applyAlignment="1">
      <alignment horizontal="left"/>
    </xf>
    <xf numFmtId="0" fontId="0" fillId="0" borderId="0" xfId="0" applyAlignment="1">
      <alignment horizontal="left"/>
    </xf>
    <xf numFmtId="0" fontId="0" fillId="0" borderId="0" xfId="0" applyNumberFormat="1"/>
    <xf numFmtId="44" fontId="0" fillId="0" borderId="0" xfId="43" applyFont="1"/>
    <xf numFmtId="0" fontId="0" fillId="0" borderId="0" xfId="0" applyAlignment="1">
      <alignment vertical="center" wrapText="1"/>
    </xf>
    <xf numFmtId="164" fontId="0" fillId="0" borderId="0" xfId="0" applyNumberFormat="1"/>
    <xf numFmtId="20" fontId="0" fillId="0" borderId="0" xfId="0" applyNumberFormat="1" applyAlignment="1">
      <alignment vertical="center" wrapText="1"/>
    </xf>
    <xf numFmtId="0" fontId="10" fillId="0" borderId="0" xfId="0" applyFont="1" applyAlignment="1"/>
    <xf numFmtId="165" fontId="10" fillId="0" borderId="0" xfId="0" applyNumberFormat="1" applyFont="1" applyAlignment="1"/>
    <xf numFmtId="6" fontId="0" fillId="0" borderId="0" xfId="0" applyNumberFormat="1"/>
    <xf numFmtId="10" fontId="0" fillId="0" borderId="0" xfId="0" applyNumberFormat="1"/>
    <xf numFmtId="0" fontId="0" fillId="0" borderId="0" xfId="0" applyFont="1" applyAlignment="1">
      <alignment wrapText="1"/>
    </xf>
    <xf numFmtId="0" fontId="10" fillId="0" borderId="0" xfId="0" applyFont="1" applyAlignment="1">
      <alignment horizontal="center"/>
    </xf>
    <xf numFmtId="16" fontId="0" fillId="0" borderId="0" xfId="0" applyNumberFormat="1"/>
    <xf numFmtId="17" fontId="0" fillId="0" borderId="0" xfId="0" applyNumberFormat="1"/>
    <xf numFmtId="0" fontId="0" fillId="0" borderId="0" xfId="0" applyFont="1"/>
    <xf numFmtId="0" fontId="10" fillId="0" borderId="0" xfId="0" applyFont="1" applyAlignment="1">
      <alignment horizontal="center" wrapText="1"/>
    </xf>
    <xf numFmtId="0" fontId="22" fillId="0" borderId="0" xfId="0" applyFont="1" applyAlignment="1">
      <alignment wrapText="1"/>
    </xf>
    <xf numFmtId="0" fontId="10" fillId="0" borderId="0" xfId="0" applyFont="1" applyAlignment="1">
      <alignment horizontal="center"/>
    </xf>
    <xf numFmtId="0" fontId="0" fillId="0" borderId="0" xfId="0" applyFont="1" applyAlignment="1">
      <alignment horizontal="right"/>
    </xf>
    <xf numFmtId="14" fontId="0" fillId="0" borderId="0" xfId="0" applyNumberFormat="1" applyFont="1" applyAlignment="1">
      <alignment wrapText="1"/>
    </xf>
    <xf numFmtId="14" fontId="0" fillId="0" borderId="0" xfId="0" applyNumberFormat="1" applyAlignment="1">
      <alignment wrapText="1"/>
    </xf>
    <xf numFmtId="0" fontId="0" fillId="0" borderId="0" xfId="0" applyFont="1"/>
    <xf numFmtId="0" fontId="0" fillId="0" borderId="0" xfId="0"/>
    <xf numFmtId="0" fontId="10" fillId="0" borderId="0" xfId="0" applyFont="1"/>
    <xf numFmtId="0" fontId="0" fillId="0" borderId="0" xfId="0" applyFont="1"/>
    <xf numFmtId="14" fontId="0" fillId="0" borderId="0" xfId="0" applyNumberFormat="1" applyAlignment="1">
      <alignment vertical="top" wrapText="1"/>
    </xf>
    <xf numFmtId="0" fontId="10" fillId="0" borderId="0" xfId="0" applyFont="1" applyAlignment="1">
      <alignment vertical="top" wrapText="1"/>
    </xf>
    <xf numFmtId="165" fontId="0" fillId="0" borderId="0" xfId="0" applyNumberFormat="1"/>
    <xf numFmtId="0" fontId="0" fillId="0" borderId="0" xfId="0" applyNumberFormat="1" applyFont="1" applyAlignment="1">
      <alignment wrapText="1"/>
    </xf>
    <xf numFmtId="0" fontId="10" fillId="0" borderId="0" xfId="0" applyFont="1" applyAlignment="1">
      <alignment horizontal="center" vertical="center" wrapText="1"/>
    </xf>
    <xf numFmtId="0" fontId="10" fillId="0" borderId="0" xfId="0" applyFont="1" applyAlignment="1">
      <alignment horizontal="center" vertical="center"/>
    </xf>
    <xf numFmtId="14" fontId="0" fillId="0" borderId="0" xfId="0" applyNumberFormat="1" applyFont="1"/>
    <xf numFmtId="0" fontId="10" fillId="0" borderId="0" xfId="0" applyFont="1" applyAlignment="1">
      <alignment horizontal="center"/>
    </xf>
    <xf numFmtId="0" fontId="10" fillId="0" borderId="0" xfId="0" applyFont="1" applyAlignment="1">
      <alignment horizontal="left" vertical="center"/>
    </xf>
  </cellXfs>
  <cellStyles count="44">
    <cellStyle name="20% - Accent1 2" xfId="8"/>
    <cellStyle name="20% - Accent2 2" xfId="9"/>
    <cellStyle name="20% - Accent3 2" xfId="10"/>
    <cellStyle name="20% - Accent4 2" xfId="11"/>
    <cellStyle name="20% - Accent5" xfId="7" builtinId="46" customBuiltin="1"/>
    <cellStyle name="20% - Accent6 2" xfId="12"/>
    <cellStyle name="40% - Accent1 2" xfId="13"/>
    <cellStyle name="40% - Accent2" xfId="5" builtinId="35" customBuiltin="1"/>
    <cellStyle name="40% - Accent3 2" xfId="14"/>
    <cellStyle name="40% - Accent4 2" xfId="15"/>
    <cellStyle name="40% - Accent5 2" xfId="16"/>
    <cellStyle name="40% - Accent6 2" xfId="17"/>
    <cellStyle name="60% - Accent1 2" xfId="18"/>
    <cellStyle name="60% - Accent2 2" xfId="19"/>
    <cellStyle name="60% - Accent3 2" xfId="20"/>
    <cellStyle name="60% - Accent4 2" xfId="21"/>
    <cellStyle name="60% - Accent5 2" xfId="22"/>
    <cellStyle name="60% - Accent6 2" xfId="23"/>
    <cellStyle name="Accent1 2" xfId="24"/>
    <cellStyle name="Accent2 2" xfId="25"/>
    <cellStyle name="Accent3 2" xfId="26"/>
    <cellStyle name="Accent4 2" xfId="27"/>
    <cellStyle name="Accent5" xfId="6" builtinId="45" customBuiltin="1"/>
    <cellStyle name="Accent6 2" xfId="28"/>
    <cellStyle name="Bad 2" xfId="29"/>
    <cellStyle name="Calculation 2" xfId="30"/>
    <cellStyle name="Check Cell" xfId="2" builtinId="23" customBuiltin="1"/>
    <cellStyle name="Currency" xfId="43" builtinId="4"/>
    <cellStyle name="Explanatory Text" xfId="4" builtinId="53" customBuiltin="1"/>
    <cellStyle name="Good 2" xfId="31"/>
    <cellStyle name="Heading 1 2" xfId="32"/>
    <cellStyle name="Heading 2 2" xfId="33"/>
    <cellStyle name="Heading 3 2" xfId="34"/>
    <cellStyle name="Heading 4 2" xfId="35"/>
    <cellStyle name="Hyperlink" xfId="1" builtinId="8"/>
    <cellStyle name="Input 2" xfId="36"/>
    <cellStyle name="Linked Cell 2" xfId="37"/>
    <cellStyle name="Neutral 2" xfId="38"/>
    <cellStyle name="Normal" xfId="0" builtinId="0"/>
    <cellStyle name="Note 2" xfId="39"/>
    <cellStyle name="Output 2" xfId="40"/>
    <cellStyle name="Title 2" xfId="41"/>
    <cellStyle name="Total 2" xfId="42"/>
    <cellStyle name="Warning Text" xfId="3" builtinId="11" customBuiltin="1"/>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[Fanduel.xlsm]Dashboard!PivotTable1</c:name>
    <c:fmtId val="0"/>
  </c:pivotSource>
  <c:chart>
    <c:autoTitleDeleted val="0"/>
    <c:pivotFmts>
      <c:pivotFmt>
        <c:idx val="0"/>
        <c:marker>
          <c:symbol val="none"/>
        </c:marker>
      </c:pivotFmt>
      <c:pivotFmt>
        <c:idx val="1"/>
        <c:marker>
          <c:symbol val="none"/>
        </c:marker>
      </c:pivotFmt>
    </c:pivotFmts>
    <c:plotArea>
      <c:layout/>
      <c:barChart>
        <c:barDir val="col"/>
        <c:grouping val="clustered"/>
        <c:varyColors val="0"/>
        <c:ser>
          <c:idx val="0"/>
          <c:order val="0"/>
          <c:tx>
            <c:strRef>
              <c:f>Dashboard!$C$2</c:f>
              <c:strCache>
                <c:ptCount val="1"/>
                <c:pt idx="0">
                  <c:v>Sum of Profit</c:v>
                </c:pt>
              </c:strCache>
            </c:strRef>
          </c:tx>
          <c:invertIfNegative val="0"/>
          <c:cat>
            <c:strRef>
              <c:f>Dashboard!$B$3:$B$4</c:f>
              <c:strCache>
                <c:ptCount val="1"/>
                <c:pt idx="0">
                  <c:v>1/11/2015</c:v>
                </c:pt>
              </c:strCache>
            </c:strRef>
          </c:cat>
          <c:val>
            <c:numRef>
              <c:f>Dashboard!$C$3:$C$4</c:f>
              <c:numCache>
                <c:formatCode>General</c:formatCode>
                <c:ptCount val="1"/>
                <c:pt idx="0">
                  <c:v>-10</c:v>
                </c:pt>
              </c:numCache>
            </c:numRef>
          </c:val>
        </c:ser>
        <c:ser>
          <c:idx val="1"/>
          <c:order val="1"/>
          <c:tx>
            <c:strRef>
              <c:f>Dashboard!$D$2</c:f>
              <c:strCache>
                <c:ptCount val="1"/>
                <c:pt idx="0">
                  <c:v>Sum of ROI</c:v>
                </c:pt>
              </c:strCache>
            </c:strRef>
          </c:tx>
          <c:invertIfNegative val="0"/>
          <c:cat>
            <c:strRef>
              <c:f>Dashboard!$B$3:$B$4</c:f>
              <c:strCache>
                <c:ptCount val="1"/>
                <c:pt idx="0">
                  <c:v>1/11/2015</c:v>
                </c:pt>
              </c:strCache>
            </c:strRef>
          </c:cat>
          <c:val>
            <c:numRef>
              <c:f>Dashboard!$D$3:$D$4</c:f>
              <c:numCache>
                <c:formatCode>General</c:formatCode>
                <c:ptCount val="1"/>
                <c:pt idx="0">
                  <c:v>-1</c:v>
                </c:pt>
              </c:numCache>
            </c:numRef>
          </c:val>
        </c:ser>
        <c:dLbls>
          <c:showLegendKey val="0"/>
          <c:showVal val="0"/>
          <c:showCatName val="0"/>
          <c:showSerName val="0"/>
          <c:showPercent val="0"/>
          <c:showBubbleSize val="0"/>
        </c:dLbls>
        <c:gapWidth val="150"/>
        <c:axId val="131656704"/>
        <c:axId val="133989120"/>
      </c:barChart>
      <c:catAx>
        <c:axId val="131656704"/>
        <c:scaling>
          <c:orientation val="minMax"/>
        </c:scaling>
        <c:delete val="0"/>
        <c:axPos val="b"/>
        <c:majorTickMark val="out"/>
        <c:minorTickMark val="none"/>
        <c:tickLblPos val="nextTo"/>
        <c:crossAx val="133989120"/>
        <c:crosses val="autoZero"/>
        <c:auto val="1"/>
        <c:lblAlgn val="ctr"/>
        <c:lblOffset val="100"/>
        <c:noMultiLvlLbl val="0"/>
      </c:catAx>
      <c:valAx>
        <c:axId val="133989120"/>
        <c:scaling>
          <c:orientation val="minMax"/>
        </c:scaling>
        <c:delete val="0"/>
        <c:axPos val="l"/>
        <c:majorGridlines/>
        <c:numFmt formatCode="General" sourceLinked="1"/>
        <c:majorTickMark val="out"/>
        <c:minorTickMark val="none"/>
        <c:tickLblPos val="nextTo"/>
        <c:crossAx val="1316567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[Fanduel.xlsm]Dashboard!PivotTable2</c:name>
    <c:fmtId val="0"/>
  </c:pivotSource>
  <c:chart>
    <c:title>
      <c:overlay val="0"/>
    </c:title>
    <c:autoTitleDeleted val="0"/>
    <c:pivotFmts>
      <c:pivotFmt>
        <c:idx val="0"/>
        <c:marker>
          <c:symbol val="none"/>
        </c:marker>
      </c:pivotFmt>
    </c:pivotFmts>
    <c:plotArea>
      <c:layout/>
      <c:areaChart>
        <c:grouping val="percentStacked"/>
        <c:varyColors val="0"/>
        <c:ser>
          <c:idx val="0"/>
          <c:order val="0"/>
          <c:tx>
            <c:strRef>
              <c:f>Dashboard!$M$2</c:f>
              <c:strCache>
                <c:ptCount val="1"/>
                <c:pt idx="0">
                  <c:v>Total</c:v>
                </c:pt>
              </c:strCache>
            </c:strRef>
          </c:tx>
          <c:cat>
            <c:strRef>
              <c:f>Dashboard!$L$3:$L$4</c:f>
              <c:strCache>
                <c:ptCount val="1"/>
                <c:pt idx="0">
                  <c:v>Avg_Line_Goals*Avg_ToI</c:v>
                </c:pt>
              </c:strCache>
            </c:strRef>
          </c:cat>
          <c:val>
            <c:numRef>
              <c:f>Dashboard!$M$3:$M$4</c:f>
              <c:numCache>
                <c:formatCode>General</c:formatCode>
                <c:ptCount val="1"/>
                <c:pt idx="0">
                  <c:v>-1</c:v>
                </c:pt>
              </c:numCache>
            </c:numRef>
          </c:val>
        </c:ser>
        <c:dLbls>
          <c:showLegendKey val="0"/>
          <c:showVal val="0"/>
          <c:showCatName val="0"/>
          <c:showSerName val="0"/>
          <c:showPercent val="0"/>
          <c:showBubbleSize val="0"/>
        </c:dLbls>
        <c:axId val="135281664"/>
        <c:axId val="240593152"/>
      </c:areaChart>
      <c:catAx>
        <c:axId val="135281664"/>
        <c:scaling>
          <c:orientation val="minMax"/>
        </c:scaling>
        <c:delete val="0"/>
        <c:axPos val="b"/>
        <c:majorTickMark val="out"/>
        <c:minorTickMark val="none"/>
        <c:tickLblPos val="nextTo"/>
        <c:crossAx val="240593152"/>
        <c:crosses val="autoZero"/>
        <c:auto val="1"/>
        <c:lblAlgn val="ctr"/>
        <c:lblOffset val="100"/>
        <c:noMultiLvlLbl val="0"/>
      </c:catAx>
      <c:valAx>
        <c:axId val="240593152"/>
        <c:scaling>
          <c:orientation val="minMax"/>
        </c:scaling>
        <c:delete val="0"/>
        <c:axPos val="l"/>
        <c:majorGridlines/>
        <c:numFmt formatCode="0%" sourceLinked="1"/>
        <c:majorTickMark val="out"/>
        <c:minorTickMark val="none"/>
        <c:tickLblPos val="nextTo"/>
        <c:crossAx val="135281664"/>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linear"/>
            <c:dispRSqr val="0"/>
            <c:dispEq val="1"/>
            <c:trendlineLbl>
              <c:layout>
                <c:manualLayout>
                  <c:x val="-7.0438329645627601E-2"/>
                  <c:y val="-0.23329178616898755"/>
                </c:manualLayout>
              </c:layout>
              <c:numFmt formatCode="General" sourceLinked="0"/>
            </c:trendlineLbl>
          </c:trendline>
          <c:xVal>
            <c:numRef>
              <c:f>Backtest_Output!$C$2:$C$50</c:f>
              <c:numCache>
                <c:formatCode>General</c:formatCode>
                <c:ptCount val="49"/>
                <c:pt idx="0">
                  <c:v>281</c:v>
                </c:pt>
                <c:pt idx="1">
                  <c:v>170</c:v>
                </c:pt>
                <c:pt idx="2">
                  <c:v>91</c:v>
                </c:pt>
                <c:pt idx="3">
                  <c:v>158</c:v>
                </c:pt>
                <c:pt idx="4">
                  <c:v>57</c:v>
                </c:pt>
                <c:pt idx="5">
                  <c:v>263</c:v>
                </c:pt>
                <c:pt idx="6">
                  <c:v>112</c:v>
                </c:pt>
                <c:pt idx="7">
                  <c:v>226</c:v>
                </c:pt>
                <c:pt idx="8">
                  <c:v>263</c:v>
                </c:pt>
                <c:pt idx="9">
                  <c:v>188</c:v>
                </c:pt>
                <c:pt idx="10">
                  <c:v>58</c:v>
                </c:pt>
                <c:pt idx="11">
                  <c:v>38</c:v>
                </c:pt>
                <c:pt idx="12">
                  <c:v>73</c:v>
                </c:pt>
                <c:pt idx="13">
                  <c:v>280</c:v>
                </c:pt>
                <c:pt idx="14">
                  <c:v>129</c:v>
                </c:pt>
                <c:pt idx="15">
                  <c:v>151</c:v>
                </c:pt>
                <c:pt idx="16">
                  <c:v>54</c:v>
                </c:pt>
                <c:pt idx="17">
                  <c:v>262</c:v>
                </c:pt>
                <c:pt idx="18">
                  <c:v>98</c:v>
                </c:pt>
                <c:pt idx="19">
                  <c:v>146</c:v>
                </c:pt>
                <c:pt idx="20">
                  <c:v>59</c:v>
                </c:pt>
                <c:pt idx="21">
                  <c:v>219</c:v>
                </c:pt>
                <c:pt idx="22">
                  <c:v>113</c:v>
                </c:pt>
                <c:pt idx="23">
                  <c:v>244</c:v>
                </c:pt>
                <c:pt idx="24">
                  <c:v>203</c:v>
                </c:pt>
                <c:pt idx="25">
                  <c:v>115</c:v>
                </c:pt>
                <c:pt idx="26">
                  <c:v>268</c:v>
                </c:pt>
                <c:pt idx="27">
                  <c:v>96</c:v>
                </c:pt>
                <c:pt idx="28">
                  <c:v>147</c:v>
                </c:pt>
                <c:pt idx="29">
                  <c:v>76</c:v>
                </c:pt>
                <c:pt idx="30">
                  <c:v>283</c:v>
                </c:pt>
                <c:pt idx="31">
                  <c:v>94</c:v>
                </c:pt>
                <c:pt idx="32">
                  <c:v>56</c:v>
                </c:pt>
                <c:pt idx="33">
                  <c:v>53</c:v>
                </c:pt>
                <c:pt idx="34">
                  <c:v>80</c:v>
                </c:pt>
                <c:pt idx="35">
                  <c:v>282</c:v>
                </c:pt>
                <c:pt idx="36">
                  <c:v>262</c:v>
                </c:pt>
                <c:pt idx="37">
                  <c:v>74</c:v>
                </c:pt>
                <c:pt idx="38">
                  <c:v>56</c:v>
                </c:pt>
                <c:pt idx="39">
                  <c:v>280</c:v>
                </c:pt>
                <c:pt idx="40">
                  <c:v>75</c:v>
                </c:pt>
                <c:pt idx="41">
                  <c:v>153</c:v>
                </c:pt>
                <c:pt idx="42">
                  <c:v>58</c:v>
                </c:pt>
                <c:pt idx="43">
                  <c:v>285</c:v>
                </c:pt>
                <c:pt idx="44">
                  <c:v>212</c:v>
                </c:pt>
                <c:pt idx="45">
                  <c:v>74</c:v>
                </c:pt>
                <c:pt idx="46">
                  <c:v>152</c:v>
                </c:pt>
                <c:pt idx="47">
                  <c:v>247</c:v>
                </c:pt>
                <c:pt idx="48">
                  <c:v>55</c:v>
                </c:pt>
              </c:numCache>
            </c:numRef>
          </c:xVal>
          <c:yVal>
            <c:numRef>
              <c:f>Backtest_Output!$D$2:$D$50</c:f>
              <c:numCache>
                <c:formatCode>General</c:formatCode>
                <c:ptCount val="49"/>
                <c:pt idx="0">
                  <c:v>37.5</c:v>
                </c:pt>
                <c:pt idx="1">
                  <c:v>42.75</c:v>
                </c:pt>
                <c:pt idx="2">
                  <c:v>25.95</c:v>
                </c:pt>
                <c:pt idx="3">
                  <c:v>39.1</c:v>
                </c:pt>
                <c:pt idx="4">
                  <c:v>33.75</c:v>
                </c:pt>
                <c:pt idx="5">
                  <c:v>36.25</c:v>
                </c:pt>
                <c:pt idx="6">
                  <c:v>41.6</c:v>
                </c:pt>
                <c:pt idx="7">
                  <c:v>52</c:v>
                </c:pt>
                <c:pt idx="8">
                  <c:v>50</c:v>
                </c:pt>
                <c:pt idx="9">
                  <c:v>39.6</c:v>
                </c:pt>
                <c:pt idx="10">
                  <c:v>38.5</c:v>
                </c:pt>
                <c:pt idx="11">
                  <c:v>21.75</c:v>
                </c:pt>
                <c:pt idx="12">
                  <c:v>43.45</c:v>
                </c:pt>
                <c:pt idx="13">
                  <c:v>51</c:v>
                </c:pt>
                <c:pt idx="14">
                  <c:v>44</c:v>
                </c:pt>
                <c:pt idx="15">
                  <c:v>52.75</c:v>
                </c:pt>
                <c:pt idx="16">
                  <c:v>39.75</c:v>
                </c:pt>
                <c:pt idx="17">
                  <c:v>33.75</c:v>
                </c:pt>
                <c:pt idx="18">
                  <c:v>14.75</c:v>
                </c:pt>
                <c:pt idx="19">
                  <c:v>34.700000000000003</c:v>
                </c:pt>
                <c:pt idx="20">
                  <c:v>19.5</c:v>
                </c:pt>
                <c:pt idx="21">
                  <c:v>40.75</c:v>
                </c:pt>
                <c:pt idx="22">
                  <c:v>47</c:v>
                </c:pt>
                <c:pt idx="23">
                  <c:v>27.6</c:v>
                </c:pt>
                <c:pt idx="24">
                  <c:v>33.1</c:v>
                </c:pt>
                <c:pt idx="25">
                  <c:v>21.1</c:v>
                </c:pt>
                <c:pt idx="26">
                  <c:v>28.75</c:v>
                </c:pt>
                <c:pt idx="27">
                  <c:v>40.6</c:v>
                </c:pt>
                <c:pt idx="28">
                  <c:v>30.1</c:v>
                </c:pt>
                <c:pt idx="29">
                  <c:v>20.75</c:v>
                </c:pt>
                <c:pt idx="30">
                  <c:v>42.45</c:v>
                </c:pt>
                <c:pt idx="31">
                  <c:v>27.5</c:v>
                </c:pt>
                <c:pt idx="32">
                  <c:v>34.25</c:v>
                </c:pt>
                <c:pt idx="33">
                  <c:v>28</c:v>
                </c:pt>
                <c:pt idx="34">
                  <c:v>24.5</c:v>
                </c:pt>
                <c:pt idx="35">
                  <c:v>41.5</c:v>
                </c:pt>
                <c:pt idx="36">
                  <c:v>40.5</c:v>
                </c:pt>
                <c:pt idx="37">
                  <c:v>34</c:v>
                </c:pt>
                <c:pt idx="38">
                  <c:v>36.75</c:v>
                </c:pt>
                <c:pt idx="39">
                  <c:v>36</c:v>
                </c:pt>
                <c:pt idx="40">
                  <c:v>49.25</c:v>
                </c:pt>
                <c:pt idx="41">
                  <c:v>22.75</c:v>
                </c:pt>
                <c:pt idx="42">
                  <c:v>36.450000000000003</c:v>
                </c:pt>
                <c:pt idx="43">
                  <c:v>29.35</c:v>
                </c:pt>
                <c:pt idx="44">
                  <c:v>29.35</c:v>
                </c:pt>
                <c:pt idx="45">
                  <c:v>35</c:v>
                </c:pt>
                <c:pt idx="46">
                  <c:v>40</c:v>
                </c:pt>
                <c:pt idx="47">
                  <c:v>60.5</c:v>
                </c:pt>
                <c:pt idx="48">
                  <c:v>70</c:v>
                </c:pt>
              </c:numCache>
            </c:numRef>
          </c:yVal>
          <c:smooth val="0"/>
        </c:ser>
        <c:dLbls>
          <c:showLegendKey val="0"/>
          <c:showVal val="0"/>
          <c:showCatName val="0"/>
          <c:showSerName val="0"/>
          <c:showPercent val="0"/>
          <c:showBubbleSize val="0"/>
        </c:dLbls>
        <c:axId val="134145920"/>
        <c:axId val="134147456"/>
      </c:scatterChart>
      <c:valAx>
        <c:axId val="134145920"/>
        <c:scaling>
          <c:orientation val="minMax"/>
        </c:scaling>
        <c:delete val="0"/>
        <c:axPos val="b"/>
        <c:numFmt formatCode="General" sourceLinked="1"/>
        <c:majorTickMark val="out"/>
        <c:minorTickMark val="none"/>
        <c:tickLblPos val="nextTo"/>
        <c:crossAx val="134147456"/>
        <c:crosses val="autoZero"/>
        <c:crossBetween val="midCat"/>
      </c:valAx>
      <c:valAx>
        <c:axId val="134147456"/>
        <c:scaling>
          <c:orientation val="minMax"/>
        </c:scaling>
        <c:delete val="0"/>
        <c:axPos val="l"/>
        <c:majorGridlines/>
        <c:numFmt formatCode="General" sourceLinked="1"/>
        <c:majorTickMark val="out"/>
        <c:minorTickMark val="none"/>
        <c:tickLblPos val="nextTo"/>
        <c:crossAx val="134145920"/>
        <c:crosses val="autoZero"/>
        <c:crossBetween val="midCat"/>
      </c:valAx>
    </c:plotArea>
    <c:legend>
      <c:legendPos val="b"/>
      <c:layout/>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linear"/>
            <c:dispRSqr val="0"/>
            <c:dispEq val="1"/>
            <c:trendlineLbl>
              <c:layout>
                <c:manualLayout>
                  <c:x val="-8.8716160571231106E-2"/>
                  <c:y val="-0.28565474538236957"/>
                </c:manualLayout>
              </c:layout>
              <c:numFmt formatCode="General" sourceLinked="0"/>
            </c:trendlineLbl>
          </c:trendline>
          <c:xVal>
            <c:numRef>
              <c:f>Backtest_Output!$F$2:$F$50</c:f>
              <c:numCache>
                <c:formatCode>General</c:formatCode>
                <c:ptCount val="49"/>
                <c:pt idx="0">
                  <c:v>-0.67674753240700003</c:v>
                </c:pt>
                <c:pt idx="1">
                  <c:v>-1.2349677434599999</c:v>
                </c:pt>
                <c:pt idx="2">
                  <c:v>-1.1204380566600001</c:v>
                </c:pt>
                <c:pt idx="3">
                  <c:v>-1.5925765332199999</c:v>
                </c:pt>
                <c:pt idx="4">
                  <c:v>-8.5974814482199999</c:v>
                </c:pt>
                <c:pt idx="5">
                  <c:v>-4.7209611873400004</c:v>
                </c:pt>
                <c:pt idx="6">
                  <c:v>-3.7813248434500002</c:v>
                </c:pt>
                <c:pt idx="7">
                  <c:v>-1.8309042636399999</c:v>
                </c:pt>
                <c:pt idx="8">
                  <c:v>-2.69018232592</c:v>
                </c:pt>
                <c:pt idx="9">
                  <c:v>-2.7901400984300002</c:v>
                </c:pt>
                <c:pt idx="10">
                  <c:v>-1.9864139291</c:v>
                </c:pt>
                <c:pt idx="11">
                  <c:v>-2.6061142050099999</c:v>
                </c:pt>
                <c:pt idx="12">
                  <c:v>-2.0175389410300002</c:v>
                </c:pt>
                <c:pt idx="13">
                  <c:v>-9.9297376636999992</c:v>
                </c:pt>
                <c:pt idx="14">
                  <c:v>-1.74327635657</c:v>
                </c:pt>
                <c:pt idx="15">
                  <c:v>-9.2018647909299993</c:v>
                </c:pt>
                <c:pt idx="16">
                  <c:v>-1.87219887977</c:v>
                </c:pt>
                <c:pt idx="17">
                  <c:v>-9.9902372330000002</c:v>
                </c:pt>
                <c:pt idx="18">
                  <c:v>-0.89673877622599996</c:v>
                </c:pt>
                <c:pt idx="19">
                  <c:v>-1.8714553409900001</c:v>
                </c:pt>
                <c:pt idx="20">
                  <c:v>-8.3022291037899993</c:v>
                </c:pt>
                <c:pt idx="21">
                  <c:v>-0.66734932921900003</c:v>
                </c:pt>
                <c:pt idx="22">
                  <c:v>-1.70350537203</c:v>
                </c:pt>
                <c:pt idx="23">
                  <c:v>-1.4140298176799999</c:v>
                </c:pt>
                <c:pt idx="24">
                  <c:v>-0.79088932518699995</c:v>
                </c:pt>
                <c:pt idx="25">
                  <c:v>-1.79091359612</c:v>
                </c:pt>
                <c:pt idx="26">
                  <c:v>-9.8539571794499992</c:v>
                </c:pt>
                <c:pt idx="27">
                  <c:v>-2.8382156056999999</c:v>
                </c:pt>
                <c:pt idx="28">
                  <c:v>-1.2282176418499999</c:v>
                </c:pt>
                <c:pt idx="29">
                  <c:v>-2.4674285175200001</c:v>
                </c:pt>
                <c:pt idx="30">
                  <c:v>-5.37130047581</c:v>
                </c:pt>
                <c:pt idx="31">
                  <c:v>-2.9484865788399999</c:v>
                </c:pt>
                <c:pt idx="32">
                  <c:v>-1.8288974686499999</c:v>
                </c:pt>
                <c:pt idx="33">
                  <c:v>-1.5242852367299999</c:v>
                </c:pt>
                <c:pt idx="34">
                  <c:v>-9.8514262406099995</c:v>
                </c:pt>
                <c:pt idx="35">
                  <c:v>-9.5246484870600003</c:v>
                </c:pt>
                <c:pt idx="36">
                  <c:v>-9.7443771581099998</c:v>
                </c:pt>
                <c:pt idx="37">
                  <c:v>-2.4139502928300001</c:v>
                </c:pt>
                <c:pt idx="38">
                  <c:v>-1.6219529419100001</c:v>
                </c:pt>
                <c:pt idx="39">
                  <c:v>-1.48214879953</c:v>
                </c:pt>
                <c:pt idx="40">
                  <c:v>-1.62760890797</c:v>
                </c:pt>
                <c:pt idx="41">
                  <c:v>-4.2170246922999999</c:v>
                </c:pt>
                <c:pt idx="42">
                  <c:v>-0.98920042337799996</c:v>
                </c:pt>
                <c:pt idx="43">
                  <c:v>-4.34274418546</c:v>
                </c:pt>
                <c:pt idx="44">
                  <c:v>-4.34274418546</c:v>
                </c:pt>
                <c:pt idx="45">
                  <c:v>-1.81128408771</c:v>
                </c:pt>
                <c:pt idx="46">
                  <c:v>-2.1961853409600001</c:v>
                </c:pt>
                <c:pt idx="47">
                  <c:v>-1.7805136725599999</c:v>
                </c:pt>
                <c:pt idx="48">
                  <c:v>-8.5235784503000005</c:v>
                </c:pt>
              </c:numCache>
            </c:numRef>
          </c:xVal>
          <c:yVal>
            <c:numRef>
              <c:f>Backtest_Output!$G$2:$G$50</c:f>
              <c:numCache>
                <c:formatCode>General</c:formatCode>
                <c:ptCount val="49"/>
                <c:pt idx="0">
                  <c:v>8.6699110997047342</c:v>
                </c:pt>
                <c:pt idx="1">
                  <c:v>4.5510606771009536</c:v>
                </c:pt>
                <c:pt idx="2">
                  <c:v>27.197173911848598</c:v>
                </c:pt>
                <c:pt idx="3">
                  <c:v>7.9821560839416561</c:v>
                </c:pt>
                <c:pt idx="4">
                  <c:v>0.12642155414839862</c:v>
                </c:pt>
                <c:pt idx="5">
                  <c:v>5.5046697206940296</c:v>
                </c:pt>
                <c:pt idx="6">
                  <c:v>17.368059917943331</c:v>
                </c:pt>
                <c:pt idx="7">
                  <c:v>36.341230577939207</c:v>
                </c:pt>
                <c:pt idx="8">
                  <c:v>21.166159851045443</c:v>
                </c:pt>
                <c:pt idx="9">
                  <c:v>3.3113137812419673</c:v>
                </c:pt>
                <c:pt idx="10">
                  <c:v>14.12949206037335</c:v>
                </c:pt>
                <c:pt idx="11">
                  <c:v>36.705391930408183</c:v>
                </c:pt>
                <c:pt idx="12">
                  <c:v>37.321154278413076</c:v>
                </c:pt>
                <c:pt idx="13">
                  <c:v>28.67592508885749</c:v>
                </c:pt>
                <c:pt idx="14">
                  <c:v>13.309519078249712</c:v>
                </c:pt>
                <c:pt idx="15">
                  <c:v>46.495468892270011</c:v>
                </c:pt>
                <c:pt idx="16">
                  <c:v>5.6141719986527363</c:v>
                </c:pt>
                <c:pt idx="17">
                  <c:v>13.792750582296334</c:v>
                </c:pt>
                <c:pt idx="18">
                  <c:v>58.652031921996851</c:v>
                </c:pt>
                <c:pt idx="19">
                  <c:v>5.6700864565434204</c:v>
                </c:pt>
                <c:pt idx="20">
                  <c:v>46.485031064993905</c:v>
                </c:pt>
                <c:pt idx="21">
                  <c:v>7.4176165129767169</c:v>
                </c:pt>
                <c:pt idx="22">
                  <c:v>26.233522033854946</c:v>
                </c:pt>
                <c:pt idx="23">
                  <c:v>29.3064604948223</c:v>
                </c:pt>
                <c:pt idx="24">
                  <c:v>13.259113836281447</c:v>
                </c:pt>
                <c:pt idx="25">
                  <c:v>41.041454089913834</c:v>
                </c:pt>
                <c:pt idx="26">
                  <c:v>32.435481190119717</c:v>
                </c:pt>
                <c:pt idx="27">
                  <c:v>24.248541718066054</c:v>
                </c:pt>
                <c:pt idx="28">
                  <c:v>16.523185473795639</c:v>
                </c:pt>
                <c:pt idx="29">
                  <c:v>46.8624654325059</c:v>
                </c:pt>
                <c:pt idx="30">
                  <c:v>22.051530234448737</c:v>
                </c:pt>
                <c:pt idx="31">
                  <c:v>21.171972400451729</c:v>
                </c:pt>
                <c:pt idx="32">
                  <c:v>14.70834436254394</c:v>
                </c:pt>
                <c:pt idx="33">
                  <c:v>10.062483361030434</c:v>
                </c:pt>
                <c:pt idx="34">
                  <c:v>47.597800570355417</c:v>
                </c:pt>
                <c:pt idx="35">
                  <c:v>15.108430350833219</c:v>
                </c:pt>
                <c:pt idx="36">
                  <c:v>16.615430065954207</c:v>
                </c:pt>
                <c:pt idx="37">
                  <c:v>4.870012817085585</c:v>
                </c:pt>
                <c:pt idx="38">
                  <c:v>5.3329120463405664</c:v>
                </c:pt>
                <c:pt idx="39">
                  <c:v>6.324336830162208</c:v>
                </c:pt>
                <c:pt idx="40">
                  <c:v>47.743101492379928</c:v>
                </c:pt>
                <c:pt idx="41">
                  <c:v>41.63448721697786</c:v>
                </c:pt>
                <c:pt idx="42">
                  <c:v>11.538599342147206</c:v>
                </c:pt>
                <c:pt idx="43">
                  <c:v>29.081399783036382</c:v>
                </c:pt>
                <c:pt idx="44">
                  <c:v>29.081399783036382</c:v>
                </c:pt>
                <c:pt idx="45">
                  <c:v>1.629560107416143</c:v>
                </c:pt>
                <c:pt idx="46">
                  <c:v>11.940686783968173</c:v>
                </c:pt>
                <c:pt idx="47">
                  <c:v>48.051440816855454</c:v>
                </c:pt>
                <c:pt idx="48">
                  <c:v>102.6080663214735</c:v>
                </c:pt>
              </c:numCache>
            </c:numRef>
          </c:yVal>
          <c:smooth val="0"/>
        </c:ser>
        <c:dLbls>
          <c:showLegendKey val="0"/>
          <c:showVal val="0"/>
          <c:showCatName val="0"/>
          <c:showSerName val="0"/>
          <c:showPercent val="0"/>
          <c:showBubbleSize val="0"/>
        </c:dLbls>
        <c:axId val="194183936"/>
        <c:axId val="194185472"/>
      </c:scatterChart>
      <c:valAx>
        <c:axId val="194183936"/>
        <c:scaling>
          <c:orientation val="minMax"/>
        </c:scaling>
        <c:delete val="0"/>
        <c:axPos val="b"/>
        <c:numFmt formatCode="General" sourceLinked="1"/>
        <c:majorTickMark val="out"/>
        <c:minorTickMark val="none"/>
        <c:tickLblPos val="nextTo"/>
        <c:crossAx val="194185472"/>
        <c:crosses val="autoZero"/>
        <c:crossBetween val="midCat"/>
      </c:valAx>
      <c:valAx>
        <c:axId val="194185472"/>
        <c:scaling>
          <c:orientation val="minMax"/>
        </c:scaling>
        <c:delete val="0"/>
        <c:axPos val="l"/>
        <c:majorGridlines/>
        <c:numFmt formatCode="General" sourceLinked="1"/>
        <c:majorTickMark val="out"/>
        <c:minorTickMark val="none"/>
        <c:tickLblPos val="nextTo"/>
        <c:crossAx val="194183936"/>
        <c:crosses val="autoZero"/>
        <c:crossBetween val="midCat"/>
      </c:valAx>
    </c:plotArea>
    <c:legend>
      <c:legendPos val="b"/>
      <c:layout/>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Rotowire</a:t>
            </a:r>
            <a:r>
              <a:rPr lang="en-US" baseline="0"/>
              <a:t> Lineup Optimizer Fanduel Points per Night</a:t>
            </a:r>
            <a:endParaRPr lang="en-US"/>
          </a:p>
        </c:rich>
      </c:tx>
      <c:overlay val="0"/>
    </c:title>
    <c:autoTitleDeleted val="0"/>
    <c:plotArea>
      <c:layout>
        <c:manualLayout>
          <c:layoutTarget val="inner"/>
          <c:xMode val="edge"/>
          <c:yMode val="edge"/>
          <c:x val="4.6908371191348289E-2"/>
          <c:y val="9.6351601468143186E-2"/>
          <c:w val="0.94048056546671988"/>
          <c:h val="0.72238713085392625"/>
        </c:manualLayout>
      </c:layout>
      <c:scatterChart>
        <c:scatterStyle val="smoothMarker"/>
        <c:varyColors val="0"/>
        <c:ser>
          <c:idx val="0"/>
          <c:order val="0"/>
          <c:tx>
            <c:v>Rotowire Daily FD Points</c:v>
          </c:tx>
          <c:xVal>
            <c:numRef>
              <c:f>'Output (2)'!$A$2:$A$20</c:f>
              <c:numCache>
                <c:formatCode>m/d/yyyy</c:formatCode>
                <c:ptCount val="19"/>
                <c:pt idx="0">
                  <c:v>42106</c:v>
                </c:pt>
                <c:pt idx="1">
                  <c:v>42107</c:v>
                </c:pt>
                <c:pt idx="2">
                  <c:v>42108</c:v>
                </c:pt>
                <c:pt idx="3">
                  <c:v>42109</c:v>
                </c:pt>
                <c:pt idx="4">
                  <c:v>42111</c:v>
                </c:pt>
                <c:pt idx="5">
                  <c:v>42112</c:v>
                </c:pt>
                <c:pt idx="6">
                  <c:v>42113</c:v>
                </c:pt>
                <c:pt idx="7">
                  <c:v>42114</c:v>
                </c:pt>
                <c:pt idx="8">
                  <c:v>42115</c:v>
                </c:pt>
                <c:pt idx="9">
                  <c:v>42116</c:v>
                </c:pt>
                <c:pt idx="10">
                  <c:v>42117</c:v>
                </c:pt>
                <c:pt idx="11">
                  <c:v>42118</c:v>
                </c:pt>
                <c:pt idx="12">
                  <c:v>42119</c:v>
                </c:pt>
                <c:pt idx="13">
                  <c:v>42120</c:v>
                </c:pt>
                <c:pt idx="14">
                  <c:v>42121</c:v>
                </c:pt>
                <c:pt idx="15">
                  <c:v>42122</c:v>
                </c:pt>
                <c:pt idx="16">
                  <c:v>42123</c:v>
                </c:pt>
                <c:pt idx="17">
                  <c:v>42125</c:v>
                </c:pt>
                <c:pt idx="18">
                  <c:v>42126</c:v>
                </c:pt>
              </c:numCache>
            </c:numRef>
          </c:xVal>
          <c:yVal>
            <c:numRef>
              <c:f>'Output (2)'!$B$2:$B$20</c:f>
              <c:numCache>
                <c:formatCode>General</c:formatCode>
                <c:ptCount val="19"/>
                <c:pt idx="0">
                  <c:v>44.75</c:v>
                </c:pt>
                <c:pt idx="1">
                  <c:v>28.25</c:v>
                </c:pt>
                <c:pt idx="2">
                  <c:v>27.5</c:v>
                </c:pt>
                <c:pt idx="3">
                  <c:v>39</c:v>
                </c:pt>
                <c:pt idx="4">
                  <c:v>37.75</c:v>
                </c:pt>
                <c:pt idx="5">
                  <c:v>42.25</c:v>
                </c:pt>
                <c:pt idx="6">
                  <c:v>45.5</c:v>
                </c:pt>
                <c:pt idx="7">
                  <c:v>37.75</c:v>
                </c:pt>
                <c:pt idx="8">
                  <c:v>38.1</c:v>
                </c:pt>
                <c:pt idx="9">
                  <c:v>42.5</c:v>
                </c:pt>
                <c:pt idx="10">
                  <c:v>38.5</c:v>
                </c:pt>
                <c:pt idx="11">
                  <c:v>57.25</c:v>
                </c:pt>
                <c:pt idx="12">
                  <c:v>40.25</c:v>
                </c:pt>
                <c:pt idx="13">
                  <c:v>21.85</c:v>
                </c:pt>
                <c:pt idx="14">
                  <c:v>35.85</c:v>
                </c:pt>
                <c:pt idx="15">
                  <c:v>39</c:v>
                </c:pt>
                <c:pt idx="16">
                  <c:v>26.95</c:v>
                </c:pt>
                <c:pt idx="17">
                  <c:v>26.75</c:v>
                </c:pt>
                <c:pt idx="18">
                  <c:v>46.5</c:v>
                </c:pt>
              </c:numCache>
            </c:numRef>
          </c:yVal>
          <c:smooth val="1"/>
        </c:ser>
        <c:ser>
          <c:idx val="1"/>
          <c:order val="1"/>
          <c:tx>
            <c:v>Average</c:v>
          </c:tx>
          <c:xVal>
            <c:numRef>
              <c:f>'Output (2)'!$A$21:$A$22</c:f>
              <c:numCache>
                <c:formatCode>m/d/yyyy</c:formatCode>
                <c:ptCount val="2"/>
                <c:pt idx="0">
                  <c:v>42105</c:v>
                </c:pt>
                <c:pt idx="1">
                  <c:v>42126</c:v>
                </c:pt>
              </c:numCache>
            </c:numRef>
          </c:xVal>
          <c:yVal>
            <c:numRef>
              <c:f>'Output (2)'!$B$21:$B$22</c:f>
              <c:numCache>
                <c:formatCode>General</c:formatCode>
                <c:ptCount val="2"/>
                <c:pt idx="0">
                  <c:v>38</c:v>
                </c:pt>
                <c:pt idx="1">
                  <c:v>38</c:v>
                </c:pt>
              </c:numCache>
            </c:numRef>
          </c:yVal>
          <c:smooth val="1"/>
        </c:ser>
        <c:dLbls>
          <c:showLegendKey val="0"/>
          <c:showVal val="0"/>
          <c:showCatName val="0"/>
          <c:showSerName val="0"/>
          <c:showPercent val="0"/>
          <c:showBubbleSize val="0"/>
        </c:dLbls>
        <c:axId val="238980096"/>
        <c:axId val="239760128"/>
      </c:scatterChart>
      <c:valAx>
        <c:axId val="238980096"/>
        <c:scaling>
          <c:orientation val="minMax"/>
          <c:max val="42127"/>
          <c:min val="42105"/>
        </c:scaling>
        <c:delete val="0"/>
        <c:axPos val="b"/>
        <c:numFmt formatCode="m/d/yyyy" sourceLinked="1"/>
        <c:majorTickMark val="out"/>
        <c:minorTickMark val="none"/>
        <c:tickLblPos val="nextTo"/>
        <c:txPr>
          <a:bodyPr rot="5400000" vert="horz"/>
          <a:lstStyle/>
          <a:p>
            <a:pPr>
              <a:defRPr/>
            </a:pPr>
            <a:endParaRPr lang="en-US"/>
          </a:p>
        </c:txPr>
        <c:crossAx val="239760128"/>
        <c:crosses val="autoZero"/>
        <c:crossBetween val="midCat"/>
        <c:majorUnit val="1"/>
      </c:valAx>
      <c:valAx>
        <c:axId val="239760128"/>
        <c:scaling>
          <c:orientation val="minMax"/>
          <c:max val="60"/>
        </c:scaling>
        <c:delete val="0"/>
        <c:axPos val="l"/>
        <c:majorGridlines/>
        <c:title>
          <c:tx>
            <c:rich>
              <a:bodyPr rot="-5400000" vert="horz"/>
              <a:lstStyle/>
              <a:p>
                <a:pPr>
                  <a:defRPr/>
                </a:pPr>
                <a:r>
                  <a:rPr lang="en-US"/>
                  <a:t>Fanduel</a:t>
                </a:r>
                <a:r>
                  <a:rPr lang="en-US" baseline="0"/>
                  <a:t> Points</a:t>
                </a:r>
                <a:endParaRPr lang="en-US"/>
              </a:p>
            </c:rich>
          </c:tx>
          <c:overlay val="0"/>
        </c:title>
        <c:numFmt formatCode="General" sourceLinked="1"/>
        <c:majorTickMark val="out"/>
        <c:minorTickMark val="none"/>
        <c:tickLblPos val="nextTo"/>
        <c:crossAx val="238980096"/>
        <c:crosses val="autoZero"/>
        <c:crossBetween val="midCat"/>
        <c:majorUnit val="5"/>
      </c:valAx>
    </c:plotArea>
    <c:legend>
      <c:legendPos val="b"/>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editAs="oneCell">
    <xdr:from>
      <xdr:col>9</xdr:col>
      <xdr:colOff>0</xdr:colOff>
      <xdr:row>0</xdr:row>
      <xdr:rowOff>0</xdr:rowOff>
    </xdr:from>
    <xdr:to>
      <xdr:col>21</xdr:col>
      <xdr:colOff>0</xdr:colOff>
      <xdr:row>24</xdr:row>
      <xdr:rowOff>38100</xdr:rowOff>
    </xdr:to>
    <xdr:pic>
      <xdr:nvPicPr>
        <xdr:cNvPr id="2" name="Picture 1" descr="IMG_0875.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011400" y="0"/>
          <a:ext cx="7315200" cy="9753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533400</xdr:colOff>
      <xdr:row>0</xdr:row>
      <xdr:rowOff>171449</xdr:rowOff>
    </xdr:from>
    <xdr:to>
      <xdr:col>8</xdr:col>
      <xdr:colOff>114300</xdr:colOff>
      <xdr:row>18</xdr:row>
      <xdr:rowOff>142874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1</xdr:row>
      <xdr:rowOff>19049</xdr:rowOff>
    </xdr:from>
    <xdr:to>
      <xdr:col>17</xdr:col>
      <xdr:colOff>123825</xdr:colOff>
      <xdr:row>18</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9</xdr:col>
      <xdr:colOff>163285</xdr:colOff>
      <xdr:row>0</xdr:row>
      <xdr:rowOff>227238</xdr:rowOff>
    </xdr:from>
    <xdr:to>
      <xdr:col>20</xdr:col>
      <xdr:colOff>517072</xdr:colOff>
      <xdr:row>15</xdr:row>
      <xdr:rowOff>27215</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190499</xdr:colOff>
      <xdr:row>16</xdr:row>
      <xdr:rowOff>111578</xdr:rowOff>
    </xdr:from>
    <xdr:to>
      <xdr:col>20</xdr:col>
      <xdr:colOff>585108</xdr:colOff>
      <xdr:row>29</xdr:row>
      <xdr:rowOff>27214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123825</xdr:colOff>
          <xdr:row>50</xdr:row>
          <xdr:rowOff>152400</xdr:rowOff>
        </xdr:from>
        <xdr:to>
          <xdr:col>0</xdr:col>
          <xdr:colOff>1409700</xdr:colOff>
          <xdr:row>52</xdr:row>
          <xdr:rowOff>28575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format mlb lineup</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6</xdr:col>
      <xdr:colOff>209550</xdr:colOff>
      <xdr:row>0</xdr:row>
      <xdr:rowOff>85725</xdr:rowOff>
    </xdr:from>
    <xdr:to>
      <xdr:col>23</xdr:col>
      <xdr:colOff>323850</xdr:colOff>
      <xdr:row>32</xdr:row>
      <xdr:rowOff>28575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ole MacLean" refreshedDate="42015.695505324074" createdVersion="4" refreshedVersion="4" minRefreshableVersion="3" recordCount="6">
  <cacheSource type="worksheet">
    <worksheetSource ref="A1:N1048576" sheet="Performance Monitoring"/>
  </cacheSource>
  <cacheFields count="10">
    <cacheField name="Contest Date" numFmtId="0">
      <sharedItems containsNonDate="0" containsDate="1" containsString="0" containsBlank="1" minDate="2015-01-11T00:00:00" maxDate="2015-01-12T00:00:00" count="2">
        <d v="2015-01-11T00:00:00"/>
        <m/>
      </sharedItems>
    </cacheField>
    <cacheField name="ContestID" numFmtId="0">
      <sharedItems containsBlank="1"/>
    </cacheField>
    <cacheField name="Avg Top 25% Wins" numFmtId="0">
      <sharedItems containsString="0" containsBlank="1" containsNumber="1" minValue="663.15" maxValue="1716.5"/>
    </cacheField>
    <cacheField name="Size" numFmtId="0">
      <sharedItems containsString="0" containsBlank="1" containsNumber="1" containsInteger="1" minValue="25" maxValue="75"/>
    </cacheField>
    <cacheField name="Cost" numFmtId="0">
      <sharedItems containsString="0" containsBlank="1" containsNumber="1" containsInteger="1" minValue="1" maxValue="5"/>
    </cacheField>
    <cacheField name="Contest Type" numFmtId="0">
      <sharedItems containsBlank="1"/>
    </cacheField>
    <cacheField name="Winnings" numFmtId="0">
      <sharedItems containsNonDate="0" containsString="0" containsBlank="1"/>
    </cacheField>
    <cacheField name="Strategy" numFmtId="0">
      <sharedItems containsBlank="1" count="2">
        <s v="Avg_Line_Goals*Avg_ToI"/>
        <m/>
      </sharedItems>
    </cacheField>
    <cacheField name="Profit" numFmtId="0" formula="Winnings-Cost" databaseField="0"/>
    <cacheField name="ROI" numFmtId="0" formula="Profit/Cost"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6">
  <r>
    <x v="0"/>
    <s v="https://www.fanduel.com/e/Game/11422?tableId=9654806&amp;fromLobby=true"/>
    <n v="723.2"/>
    <n v="53"/>
    <n v="1"/>
    <s v="50/50"/>
    <m/>
    <x v="0"/>
  </r>
  <r>
    <x v="0"/>
    <s v="https://www.fanduel.com/e/Game/11422?tableId=9654592&amp;fromLobby=true"/>
    <n v="1096.8"/>
    <n v="25"/>
    <n v="2"/>
    <s v="50/50"/>
    <m/>
    <x v="0"/>
  </r>
  <r>
    <x v="0"/>
    <s v="https://www.fanduel.com/e/Game/11422?tableId=9654052&amp;fromLobby=true"/>
    <n v="1716.5"/>
    <n v="39"/>
    <n v="5"/>
    <s v="50/50"/>
    <m/>
    <x v="0"/>
  </r>
  <r>
    <x v="0"/>
    <s v="https://www.fanduel.com/e/Game/11422?tableId=9655460&amp;fromLobby=true"/>
    <n v="933.8"/>
    <n v="75"/>
    <n v="1"/>
    <s v="50/51"/>
    <m/>
    <x v="0"/>
  </r>
  <r>
    <x v="0"/>
    <s v="https://www.fanduel.com/e/Game/11422?tableId=9655817&amp;fromLobby=true"/>
    <n v="663.15"/>
    <n v="43"/>
    <n v="1"/>
    <s v="50/52"/>
    <m/>
    <x v="0"/>
  </r>
  <r>
    <x v="1"/>
    <m/>
    <m/>
    <m/>
    <m/>
    <m/>
    <m/>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
  <location ref="L2:M4" firstHeaderRow="1" firstDataRow="1" firstDataCol="1"/>
  <pivotFields count="10">
    <pivotField showAll="0">
      <items count="3">
        <item x="0"/>
        <item x="1"/>
        <item t="default"/>
      </items>
    </pivotField>
    <pivotField showAll="0"/>
    <pivotField showAll="0"/>
    <pivotField showAll="0"/>
    <pivotField showAll="0"/>
    <pivotField showAll="0"/>
    <pivotField showAll="0"/>
    <pivotField axis="axisRow" showAll="0">
      <items count="3">
        <item x="0"/>
        <item h="1" x="1"/>
        <item t="default"/>
      </items>
    </pivotField>
    <pivotField dragToRow="0" dragToCol="0" dragToPage="0" showAll="0" defaultSubtotal="0"/>
    <pivotField dataField="1" dragToRow="0" dragToCol="0" dragToPage="0" showAll="0" defaultSubtotal="0"/>
  </pivotFields>
  <rowFields count="1">
    <field x="7"/>
  </rowFields>
  <rowItems count="2">
    <i>
      <x/>
    </i>
    <i t="grand">
      <x/>
    </i>
  </rowItems>
  <colItems count="1">
    <i/>
  </colItems>
  <dataFields count="1">
    <dataField name="Sum of ROI" fld="9"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
  <location ref="B2:D4" firstHeaderRow="0" firstDataRow="1" firstDataCol="1"/>
  <pivotFields count="10">
    <pivotField axis="axisRow" showAll="0">
      <items count="3">
        <item x="0"/>
        <item h="1" x="1"/>
        <item t="default"/>
      </items>
    </pivotField>
    <pivotField showAll="0"/>
    <pivotField showAll="0"/>
    <pivotField showAll="0"/>
    <pivotField showAll="0"/>
    <pivotField showAll="0"/>
    <pivotField showAll="0"/>
    <pivotField showAll="0">
      <items count="3">
        <item x="0"/>
        <item x="1"/>
        <item t="default"/>
      </items>
    </pivotField>
    <pivotField dataField="1" dragToRow="0" dragToCol="0" dragToPage="0" showAll="0" defaultSubtotal="0"/>
    <pivotField dataField="1" dragToRow="0" dragToCol="0" dragToPage="0" showAll="0" defaultSubtotal="0"/>
  </pivotFields>
  <rowFields count="1">
    <field x="0"/>
  </rowFields>
  <rowItems count="2">
    <i>
      <x/>
    </i>
    <i t="grand">
      <x/>
    </i>
  </rowItems>
  <colFields count="1">
    <field x="-2"/>
  </colFields>
  <colItems count="2">
    <i>
      <x/>
    </i>
    <i i="1">
      <x v="1"/>
    </i>
  </colItems>
  <dataFields count="2">
    <dataField name="Sum of Profit" fld="8" baseField="0" baseItem="0"/>
    <dataField name="Sum of ROI" fld="9"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www.fanduel.com/e/Game/12108?tableId=11949750&amp;fromLobby=true"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fanduel.com/e/Game/11649?tableId=10601885&amp;fromLobby=true"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31"/>
  <sheetViews>
    <sheetView workbookViewId="0"/>
  </sheetViews>
  <sheetFormatPr defaultRowHeight="15" x14ac:dyDescent="0.25"/>
  <sheetData>
    <row r="1" spans="1:2" x14ac:dyDescent="0.25">
      <c r="A1">
        <v>30</v>
      </c>
    </row>
    <row r="3" spans="1:2" x14ac:dyDescent="0.25">
      <c r="A3" t="s">
        <v>0</v>
      </c>
      <c r="B3">
        <v>14</v>
      </c>
    </row>
    <row r="4" spans="1:2" x14ac:dyDescent="0.25">
      <c r="A4" t="s">
        <v>1</v>
      </c>
      <c r="B4" t="s">
        <v>1521</v>
      </c>
    </row>
    <row r="5" spans="1:2" x14ac:dyDescent="0.25">
      <c r="A5" t="s">
        <v>2</v>
      </c>
      <c r="B5" t="s">
        <v>1522</v>
      </c>
    </row>
    <row r="6" spans="1:2" x14ac:dyDescent="0.25">
      <c r="A6" t="s">
        <v>5</v>
      </c>
      <c r="B6" t="s">
        <v>1519</v>
      </c>
    </row>
    <row r="7" spans="1:2" x14ac:dyDescent="0.25">
      <c r="A7" t="s">
        <v>6</v>
      </c>
      <c r="B7" t="s">
        <v>1520</v>
      </c>
    </row>
    <row r="8" spans="1:2" x14ac:dyDescent="0.25">
      <c r="A8" t="s">
        <v>7</v>
      </c>
      <c r="B8" t="s">
        <v>11</v>
      </c>
    </row>
    <row r="9" spans="1:2" x14ac:dyDescent="0.25">
      <c r="A9" t="s">
        <v>8</v>
      </c>
      <c r="B9" t="s">
        <v>207</v>
      </c>
    </row>
    <row r="10" spans="1:2" x14ac:dyDescent="0.25">
      <c r="A10" t="s">
        <v>9</v>
      </c>
      <c r="B10" t="s">
        <v>1472</v>
      </c>
    </row>
    <row r="11" spans="1:2" x14ac:dyDescent="0.25">
      <c r="A11" t="s">
        <v>10</v>
      </c>
      <c r="B11" t="s">
        <v>1473</v>
      </c>
    </row>
    <row r="12" spans="1:2" x14ac:dyDescent="0.25">
      <c r="A12" t="s">
        <v>12</v>
      </c>
      <c r="B12" t="s">
        <v>1437</v>
      </c>
    </row>
    <row r="13" spans="1:2" x14ac:dyDescent="0.25">
      <c r="A13" t="s">
        <v>13</v>
      </c>
      <c r="B13" t="s">
        <v>1438</v>
      </c>
    </row>
    <row r="14" spans="1:2" x14ac:dyDescent="0.25">
      <c r="A14" t="s">
        <v>706</v>
      </c>
      <c r="B14" t="s">
        <v>762</v>
      </c>
    </row>
    <row r="15" spans="1:2" x14ac:dyDescent="0.25">
      <c r="A15" t="s">
        <v>707</v>
      </c>
      <c r="B15" t="s">
        <v>763</v>
      </c>
    </row>
    <row r="16" spans="1:2" x14ac:dyDescent="0.25">
      <c r="A16" t="s">
        <v>712</v>
      </c>
      <c r="B16" t="s">
        <v>758</v>
      </c>
    </row>
    <row r="17" spans="1:2" x14ac:dyDescent="0.25">
      <c r="A17" t="s">
        <v>713</v>
      </c>
      <c r="B17" t="s">
        <v>759</v>
      </c>
    </row>
    <row r="18" spans="1:2" x14ac:dyDescent="0.25">
      <c r="A18" t="s">
        <v>716</v>
      </c>
      <c r="B18" t="s">
        <v>722</v>
      </c>
    </row>
    <row r="19" spans="1:2" x14ac:dyDescent="0.25">
      <c r="A19" t="s">
        <v>717</v>
      </c>
      <c r="B19" t="s">
        <v>723</v>
      </c>
    </row>
    <row r="20" spans="1:2" x14ac:dyDescent="0.25">
      <c r="A20" t="s">
        <v>720</v>
      </c>
      <c r="B20" t="s">
        <v>718</v>
      </c>
    </row>
    <row r="21" spans="1:2" x14ac:dyDescent="0.25">
      <c r="A21" t="s">
        <v>721</v>
      </c>
      <c r="B21" t="s">
        <v>719</v>
      </c>
    </row>
    <row r="22" spans="1:2" x14ac:dyDescent="0.25">
      <c r="A22" t="s">
        <v>724</v>
      </c>
      <c r="B22" t="s">
        <v>714</v>
      </c>
    </row>
    <row r="23" spans="1:2" x14ac:dyDescent="0.25">
      <c r="A23" t="s">
        <v>725</v>
      </c>
      <c r="B23" t="s">
        <v>715</v>
      </c>
    </row>
    <row r="24" spans="1:2" x14ac:dyDescent="0.25">
      <c r="A24" t="s">
        <v>760</v>
      </c>
      <c r="B24" t="s">
        <v>704</v>
      </c>
    </row>
    <row r="25" spans="1:2" x14ac:dyDescent="0.25">
      <c r="A25" t="s">
        <v>761</v>
      </c>
      <c r="B25" t="s">
        <v>705</v>
      </c>
    </row>
    <row r="26" spans="1:2" x14ac:dyDescent="0.25">
      <c r="A26" t="s">
        <v>764</v>
      </c>
      <c r="B26" t="s">
        <v>335</v>
      </c>
    </row>
    <row r="27" spans="1:2" x14ac:dyDescent="0.25">
      <c r="A27" t="s">
        <v>765</v>
      </c>
      <c r="B27" t="s">
        <v>336</v>
      </c>
    </row>
    <row r="28" spans="1:2" x14ac:dyDescent="0.25">
      <c r="A28" t="s">
        <v>1439</v>
      </c>
      <c r="B28" t="s">
        <v>223</v>
      </c>
    </row>
    <row r="29" spans="1:2" x14ac:dyDescent="0.25">
      <c r="A29" t="s">
        <v>1440</v>
      </c>
      <c r="B29" t="s">
        <v>224</v>
      </c>
    </row>
    <row r="30" spans="1:2" x14ac:dyDescent="0.25">
      <c r="A30" t="s">
        <v>1523</v>
      </c>
      <c r="B30" t="s">
        <v>208</v>
      </c>
    </row>
    <row r="31" spans="1:2" x14ac:dyDescent="0.25">
      <c r="A31" t="s">
        <v>1524</v>
      </c>
      <c r="B31" t="s">
        <v>209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H25"/>
  <sheetViews>
    <sheetView topLeftCell="H1" zoomScaleNormal="100" workbookViewId="0">
      <selection activeCell="W4" sqref="W4"/>
    </sheetView>
  </sheetViews>
  <sheetFormatPr defaultRowHeight="15" x14ac:dyDescent="0.25"/>
  <cols>
    <col min="1" max="1" width="33.140625" style="6" bestFit="1" customWidth="1"/>
    <col min="2" max="2" width="82.7109375" style="6" bestFit="1" customWidth="1"/>
    <col min="3" max="3" width="16.85546875" style="6" bestFit="1" customWidth="1"/>
    <col min="4" max="4" width="21.7109375" style="6" bestFit="1" customWidth="1"/>
    <col min="5" max="5" width="7.5703125" style="6" bestFit="1" customWidth="1"/>
    <col min="6" max="6" width="13" style="6" customWidth="1"/>
    <col min="7" max="7" width="31.85546875" style="6" customWidth="1"/>
  </cols>
  <sheetData>
    <row r="1" spans="1:8" x14ac:dyDescent="0.25">
      <c r="A1" s="6" t="s">
        <v>14</v>
      </c>
      <c r="B1" s="6" t="s">
        <v>15</v>
      </c>
      <c r="C1" s="6" t="s">
        <v>228</v>
      </c>
      <c r="D1" s="6" t="s">
        <v>229</v>
      </c>
      <c r="E1" s="6" t="s">
        <v>16</v>
      </c>
      <c r="F1" s="6" t="s">
        <v>28</v>
      </c>
      <c r="G1" s="6" t="s">
        <v>20</v>
      </c>
      <c r="H1" s="6" t="s">
        <v>206</v>
      </c>
    </row>
    <row r="2" spans="1:8" ht="45" x14ac:dyDescent="0.25">
      <c r="A2" s="6" t="s">
        <v>17</v>
      </c>
      <c r="B2" s="6" t="s">
        <v>18</v>
      </c>
      <c r="C2" s="6" t="s">
        <v>230</v>
      </c>
      <c r="D2" s="6" t="s">
        <v>22</v>
      </c>
      <c r="E2" s="6">
        <v>1</v>
      </c>
      <c r="F2" s="6" t="s">
        <v>48</v>
      </c>
      <c r="G2" s="6" t="s">
        <v>195</v>
      </c>
    </row>
    <row r="3" spans="1:8" x14ac:dyDescent="0.25">
      <c r="A3" s="6" t="s">
        <v>21</v>
      </c>
      <c r="B3" s="6" t="s">
        <v>23</v>
      </c>
      <c r="C3" s="6" t="s">
        <v>95</v>
      </c>
      <c r="D3" s="6" t="s">
        <v>19</v>
      </c>
      <c r="E3" s="6">
        <v>1</v>
      </c>
      <c r="F3" s="6" t="s">
        <v>95</v>
      </c>
      <c r="G3" s="6" t="s">
        <v>57</v>
      </c>
    </row>
    <row r="4" spans="1:8" ht="75" x14ac:dyDescent="0.25">
      <c r="A4" s="6" t="s">
        <v>36</v>
      </c>
      <c r="B4" s="6" t="s">
        <v>37</v>
      </c>
      <c r="C4" s="6" t="s">
        <v>95</v>
      </c>
      <c r="D4" s="6" t="s">
        <v>19</v>
      </c>
      <c r="E4" s="6" t="s">
        <v>39</v>
      </c>
      <c r="F4" s="6" t="s">
        <v>95</v>
      </c>
      <c r="G4" s="6" t="s">
        <v>82</v>
      </c>
    </row>
    <row r="5" spans="1:8" x14ac:dyDescent="0.25">
      <c r="A5" s="6" t="s">
        <v>51</v>
      </c>
      <c r="B5" s="6" t="s">
        <v>52</v>
      </c>
      <c r="C5" s="6" t="s">
        <v>230</v>
      </c>
      <c r="D5" s="6" t="s">
        <v>53</v>
      </c>
      <c r="E5" s="6" t="s">
        <v>39</v>
      </c>
      <c r="F5" s="6" t="s">
        <v>38</v>
      </c>
    </row>
    <row r="6" spans="1:8" ht="30" x14ac:dyDescent="0.25">
      <c r="A6" s="6" t="s">
        <v>24</v>
      </c>
      <c r="B6" s="6" t="s">
        <v>25</v>
      </c>
      <c r="C6" s="6" t="s">
        <v>95</v>
      </c>
      <c r="D6" s="6" t="s">
        <v>31</v>
      </c>
      <c r="E6" s="6">
        <v>7</v>
      </c>
      <c r="F6" s="6" t="s">
        <v>48</v>
      </c>
      <c r="G6" s="6" t="s">
        <v>83</v>
      </c>
    </row>
    <row r="7" spans="1:8" ht="45" x14ac:dyDescent="0.25">
      <c r="A7" s="6" t="s">
        <v>26</v>
      </c>
      <c r="B7" s="6" t="s">
        <v>27</v>
      </c>
      <c r="C7" s="6" t="s">
        <v>230</v>
      </c>
      <c r="D7" s="6" t="s">
        <v>30</v>
      </c>
      <c r="E7" s="6">
        <v>3</v>
      </c>
      <c r="F7" s="6" t="s">
        <v>29</v>
      </c>
    </row>
    <row r="8" spans="1:8" x14ac:dyDescent="0.25">
      <c r="A8" s="6" t="s">
        <v>34</v>
      </c>
      <c r="B8" s="6" t="s">
        <v>35</v>
      </c>
      <c r="C8" s="6" t="s">
        <v>34</v>
      </c>
      <c r="D8" s="6" t="s">
        <v>34</v>
      </c>
      <c r="E8" s="6">
        <v>3</v>
      </c>
      <c r="F8" s="6" t="s">
        <v>29</v>
      </c>
    </row>
    <row r="9" spans="1:8" x14ac:dyDescent="0.25">
      <c r="A9" s="6" t="s">
        <v>40</v>
      </c>
      <c r="B9" s="6" t="s">
        <v>41</v>
      </c>
      <c r="C9" s="6" t="s">
        <v>203</v>
      </c>
      <c r="D9" s="6" t="s">
        <v>40</v>
      </c>
      <c r="E9" s="6">
        <v>3</v>
      </c>
      <c r="F9" s="6" t="s">
        <v>29</v>
      </c>
    </row>
    <row r="10" spans="1:8" ht="30" x14ac:dyDescent="0.25">
      <c r="A10" s="6" t="s">
        <v>49</v>
      </c>
      <c r="B10" s="6" t="s">
        <v>50</v>
      </c>
      <c r="C10" s="6" t="s">
        <v>230</v>
      </c>
      <c r="D10" s="6" t="s">
        <v>46</v>
      </c>
      <c r="E10" s="6">
        <v>3</v>
      </c>
      <c r="F10" s="6" t="s">
        <v>29</v>
      </c>
    </row>
    <row r="11" spans="1:8" ht="30" x14ac:dyDescent="0.25">
      <c r="A11" s="6" t="s">
        <v>42</v>
      </c>
      <c r="B11" s="6" t="s">
        <v>43</v>
      </c>
      <c r="C11" s="6" t="s">
        <v>95</v>
      </c>
      <c r="D11" s="6" t="s">
        <v>44</v>
      </c>
      <c r="E11" s="6">
        <v>4</v>
      </c>
      <c r="F11" s="6" t="s">
        <v>29</v>
      </c>
    </row>
    <row r="12" spans="1:8" ht="60" x14ac:dyDescent="0.25">
      <c r="A12" s="6" t="s">
        <v>45</v>
      </c>
      <c r="B12" s="6" t="s">
        <v>84</v>
      </c>
      <c r="C12" s="6" t="s">
        <v>230</v>
      </c>
      <c r="D12" s="6" t="s">
        <v>46</v>
      </c>
      <c r="E12" s="6">
        <v>5</v>
      </c>
      <c r="F12" s="6" t="s">
        <v>47</v>
      </c>
      <c r="G12" s="6" t="s">
        <v>196</v>
      </c>
    </row>
    <row r="13" spans="1:8" x14ac:dyDescent="0.25">
      <c r="A13" s="6" t="s">
        <v>32</v>
      </c>
      <c r="B13" s="6" t="s">
        <v>33</v>
      </c>
      <c r="C13" s="6" t="s">
        <v>230</v>
      </c>
      <c r="D13" s="6" t="s">
        <v>30</v>
      </c>
      <c r="E13" s="6" t="s">
        <v>39</v>
      </c>
      <c r="F13" s="6" t="s">
        <v>38</v>
      </c>
    </row>
    <row r="14" spans="1:8" ht="30" x14ac:dyDescent="0.25">
      <c r="A14" s="6" t="s">
        <v>54</v>
      </c>
      <c r="B14" s="6" t="s">
        <v>55</v>
      </c>
      <c r="C14" s="6" t="s">
        <v>34</v>
      </c>
      <c r="D14" s="6" t="s">
        <v>56</v>
      </c>
      <c r="E14" s="6">
        <v>2</v>
      </c>
      <c r="F14" s="6" t="s">
        <v>29</v>
      </c>
    </row>
    <row r="15" spans="1:8" ht="105" x14ac:dyDescent="0.25">
      <c r="A15" s="6" t="s">
        <v>85</v>
      </c>
      <c r="B15" s="6" t="s">
        <v>86</v>
      </c>
      <c r="C15" s="6" t="s">
        <v>95</v>
      </c>
      <c r="D15" s="6" t="s">
        <v>85</v>
      </c>
      <c r="E15" s="6">
        <v>4</v>
      </c>
      <c r="F15" s="6" t="s">
        <v>48</v>
      </c>
      <c r="G15" s="6" t="s">
        <v>92</v>
      </c>
    </row>
    <row r="16" spans="1:8" ht="30" x14ac:dyDescent="0.25">
      <c r="A16" s="6" t="s">
        <v>87</v>
      </c>
      <c r="B16" s="6" t="s">
        <v>88</v>
      </c>
      <c r="C16" s="6" t="s">
        <v>230</v>
      </c>
      <c r="D16" s="6" t="s">
        <v>89</v>
      </c>
      <c r="E16" s="6">
        <v>4</v>
      </c>
      <c r="F16" s="6" t="s">
        <v>48</v>
      </c>
    </row>
    <row r="17" spans="1:7" ht="30" x14ac:dyDescent="0.25">
      <c r="A17" s="6" t="s">
        <v>90</v>
      </c>
      <c r="B17" s="6" t="s">
        <v>91</v>
      </c>
      <c r="C17" s="6" t="s">
        <v>230</v>
      </c>
      <c r="D17" s="6" t="s">
        <v>90</v>
      </c>
      <c r="E17" s="6">
        <v>5</v>
      </c>
      <c r="F17" s="6" t="s">
        <v>48</v>
      </c>
    </row>
    <row r="18" spans="1:7" x14ac:dyDescent="0.25">
      <c r="A18" s="6" t="s">
        <v>93</v>
      </c>
      <c r="B18" s="6" t="s">
        <v>94</v>
      </c>
      <c r="C18" s="6" t="s">
        <v>95</v>
      </c>
      <c r="D18" s="6" t="s">
        <v>95</v>
      </c>
      <c r="E18" s="6">
        <v>6</v>
      </c>
      <c r="F18" s="6" t="s">
        <v>29</v>
      </c>
    </row>
    <row r="19" spans="1:7" ht="30" x14ac:dyDescent="0.25">
      <c r="A19" s="6" t="s">
        <v>96</v>
      </c>
      <c r="B19" s="6" t="s">
        <v>97</v>
      </c>
      <c r="C19" s="6" t="s">
        <v>34</v>
      </c>
      <c r="D19" s="6" t="s">
        <v>98</v>
      </c>
      <c r="E19" s="6">
        <v>1</v>
      </c>
      <c r="F19" s="6" t="s">
        <v>29</v>
      </c>
      <c r="G19" s="6" t="s">
        <v>197</v>
      </c>
    </row>
    <row r="20" spans="1:7" x14ac:dyDescent="0.25">
      <c r="A20" s="6" t="s">
        <v>201</v>
      </c>
      <c r="B20" s="6" t="s">
        <v>202</v>
      </c>
      <c r="C20" s="6" t="s">
        <v>203</v>
      </c>
      <c r="D20" s="6" t="s">
        <v>232</v>
      </c>
      <c r="E20" s="6">
        <v>4</v>
      </c>
      <c r="F20" s="6" t="s">
        <v>29</v>
      </c>
    </row>
    <row r="21" spans="1:7" ht="30" x14ac:dyDescent="0.25">
      <c r="A21" s="6" t="s">
        <v>204</v>
      </c>
      <c r="C21" s="6" t="s">
        <v>203</v>
      </c>
      <c r="D21" s="6" t="s">
        <v>231</v>
      </c>
      <c r="E21" s="6">
        <v>5</v>
      </c>
    </row>
    <row r="22" spans="1:7" ht="30" x14ac:dyDescent="0.25">
      <c r="A22" s="6" t="s">
        <v>205</v>
      </c>
      <c r="C22" s="6" t="s">
        <v>203</v>
      </c>
      <c r="D22" s="6" t="s">
        <v>233</v>
      </c>
      <c r="E22" s="6">
        <v>5</v>
      </c>
    </row>
    <row r="23" spans="1:7" ht="30" x14ac:dyDescent="0.25">
      <c r="A23" s="6" t="s">
        <v>246</v>
      </c>
      <c r="B23" s="6" t="s">
        <v>247</v>
      </c>
      <c r="C23" s="6" t="s">
        <v>230</v>
      </c>
      <c r="D23" s="6" t="s">
        <v>248</v>
      </c>
      <c r="E23" s="6">
        <v>5</v>
      </c>
    </row>
    <row r="24" spans="1:7" x14ac:dyDescent="0.25">
      <c r="A24" s="6" t="s">
        <v>305</v>
      </c>
      <c r="B24" s="6" t="s">
        <v>306</v>
      </c>
      <c r="C24" s="6" t="s">
        <v>230</v>
      </c>
      <c r="D24" s="6" t="s">
        <v>307</v>
      </c>
      <c r="E24" s="6">
        <v>5</v>
      </c>
      <c r="F24" s="6" t="s">
        <v>29</v>
      </c>
    </row>
    <row r="25" spans="1:7" x14ac:dyDescent="0.25">
      <c r="A25" s="6" t="s">
        <v>320</v>
      </c>
      <c r="B25" s="6" t="s">
        <v>321</v>
      </c>
      <c r="C25" s="6" t="s">
        <v>230</v>
      </c>
      <c r="D25" s="6" t="s">
        <v>319</v>
      </c>
      <c r="E25" s="6">
        <v>2</v>
      </c>
      <c r="F25" s="6" t="s">
        <v>29</v>
      </c>
    </row>
  </sheetData>
  <autoFilter ref="A1:H22"/>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M4"/>
  <sheetViews>
    <sheetView workbookViewId="0">
      <selection activeCell="H28" sqref="H28"/>
    </sheetView>
  </sheetViews>
  <sheetFormatPr defaultRowHeight="15" x14ac:dyDescent="0.25"/>
  <cols>
    <col min="2" max="2" width="13.140625" customWidth="1"/>
    <col min="3" max="3" width="12.5703125" customWidth="1"/>
    <col min="4" max="4" width="10.7109375" customWidth="1"/>
    <col min="5" max="5" width="23.42578125" bestFit="1" customWidth="1"/>
    <col min="6" max="6" width="7.7109375" customWidth="1"/>
    <col min="7" max="7" width="17.7109375" bestFit="1" customWidth="1"/>
    <col min="8" max="8" width="15.7109375" bestFit="1" customWidth="1"/>
    <col min="12" max="12" width="23.28515625" customWidth="1"/>
    <col min="13" max="13" width="10.7109375" customWidth="1"/>
    <col min="14" max="14" width="11.28515625" bestFit="1" customWidth="1"/>
  </cols>
  <sheetData>
    <row r="2" spans="2:13" x14ac:dyDescent="0.25">
      <c r="B2" s="10" t="s">
        <v>169</v>
      </c>
      <c r="C2" s="5" t="s">
        <v>171</v>
      </c>
      <c r="D2" s="5" t="s">
        <v>172</v>
      </c>
      <c r="L2" s="10" t="s">
        <v>169</v>
      </c>
      <c r="M2" t="s">
        <v>172</v>
      </c>
    </row>
    <row r="3" spans="2:13" x14ac:dyDescent="0.25">
      <c r="B3" s="11">
        <v>42015</v>
      </c>
      <c r="C3" s="13">
        <v>-10</v>
      </c>
      <c r="D3" s="13">
        <v>-1</v>
      </c>
      <c r="L3" s="12" t="s">
        <v>160</v>
      </c>
      <c r="M3" s="13">
        <v>-1</v>
      </c>
    </row>
    <row r="4" spans="2:13" x14ac:dyDescent="0.25">
      <c r="B4" s="12" t="s">
        <v>170</v>
      </c>
      <c r="C4" s="13">
        <v>-10</v>
      </c>
      <c r="D4" s="13">
        <v>-1</v>
      </c>
      <c r="L4" s="12" t="s">
        <v>170</v>
      </c>
      <c r="M4" s="13">
        <v>-1</v>
      </c>
    </row>
  </sheetData>
  <pageMargins left="0.7" right="0.7" top="0.75" bottom="0.75" header="0.3" footer="0.3"/>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R56"/>
  <sheetViews>
    <sheetView workbookViewId="0">
      <selection activeCell="B13" sqref="B13"/>
    </sheetView>
  </sheetViews>
  <sheetFormatPr defaultRowHeight="15" x14ac:dyDescent="0.25"/>
  <cols>
    <col min="1" max="1" width="31.140625" style="5" bestFit="1" customWidth="1"/>
    <col min="2" max="2" width="51.7109375" style="5" customWidth="1"/>
    <col min="3" max="5" width="9.140625" style="5"/>
    <col min="6" max="6" width="17.7109375" style="5" bestFit="1" customWidth="1"/>
    <col min="7" max="8" width="9.140625" style="5"/>
    <col min="9" max="9" width="13.5703125" style="5" bestFit="1" customWidth="1"/>
    <col min="10" max="16384" width="9.140625" style="5"/>
  </cols>
  <sheetData>
    <row r="1" spans="1:18" x14ac:dyDescent="0.25">
      <c r="H1" s="44" t="s">
        <v>741</v>
      </c>
      <c r="I1" s="44"/>
      <c r="J1" s="44"/>
    </row>
    <row r="2" spans="1:18" x14ac:dyDescent="0.25">
      <c r="H2" s="5" t="s">
        <v>742</v>
      </c>
      <c r="I2" s="5" t="s">
        <v>748</v>
      </c>
      <c r="J2" s="5" t="s">
        <v>743</v>
      </c>
    </row>
    <row r="3" spans="1:18" ht="12.75" customHeight="1" x14ac:dyDescent="0.25">
      <c r="A3" s="18" t="s">
        <v>708</v>
      </c>
      <c r="B3" s="19">
        <v>42136</v>
      </c>
      <c r="H3" s="20" t="s">
        <v>735</v>
      </c>
      <c r="I3" s="20" t="s">
        <v>744</v>
      </c>
      <c r="J3" s="5" t="s">
        <v>155</v>
      </c>
    </row>
    <row r="4" spans="1:18" x14ac:dyDescent="0.25">
      <c r="A4" s="5" t="s">
        <v>709</v>
      </c>
      <c r="B4" s="5" t="s">
        <v>1611</v>
      </c>
      <c r="H4" s="20" t="s">
        <v>155</v>
      </c>
      <c r="I4" s="20" t="s">
        <v>744</v>
      </c>
      <c r="J4" s="5" t="s">
        <v>155</v>
      </c>
    </row>
    <row r="5" spans="1:18" x14ac:dyDescent="0.25">
      <c r="A5" s="5" t="s">
        <v>710</v>
      </c>
      <c r="B5" s="5" t="s">
        <v>1609</v>
      </c>
      <c r="H5" s="20" t="s">
        <v>736</v>
      </c>
      <c r="I5" s="20" t="s">
        <v>745</v>
      </c>
      <c r="J5" s="5" t="s">
        <v>156</v>
      </c>
    </row>
    <row r="6" spans="1:18" x14ac:dyDescent="0.25">
      <c r="A6" s="5" t="s">
        <v>711</v>
      </c>
      <c r="B6" s="5" t="s">
        <v>1610</v>
      </c>
      <c r="H6" s="20" t="s">
        <v>737</v>
      </c>
      <c r="I6" s="20" t="s">
        <v>745</v>
      </c>
      <c r="J6" s="5" t="s">
        <v>156</v>
      </c>
    </row>
    <row r="7" spans="1:18" x14ac:dyDescent="0.25">
      <c r="A7" s="5" t="s">
        <v>727</v>
      </c>
      <c r="H7" s="20" t="s">
        <v>738</v>
      </c>
      <c r="I7" s="20" t="s">
        <v>746</v>
      </c>
      <c r="J7" s="5" t="s">
        <v>157</v>
      </c>
      <c r="N7" s="21"/>
    </row>
    <row r="8" spans="1:18" x14ac:dyDescent="0.25">
      <c r="A8" s="5" t="s">
        <v>1563</v>
      </c>
      <c r="B8" s="5" t="s">
        <v>1612</v>
      </c>
      <c r="H8" s="20" t="s">
        <v>739</v>
      </c>
      <c r="I8" s="5" t="s">
        <v>746</v>
      </c>
      <c r="J8" s="5" t="s">
        <v>157</v>
      </c>
      <c r="K8" s="20"/>
      <c r="N8" s="21"/>
    </row>
    <row r="9" spans="1:18" x14ac:dyDescent="0.25">
      <c r="A9" s="5" t="s">
        <v>1564</v>
      </c>
      <c r="H9" s="20" t="s">
        <v>740</v>
      </c>
      <c r="I9" s="5" t="s">
        <v>747</v>
      </c>
      <c r="J9" s="5" t="s">
        <v>158</v>
      </c>
      <c r="K9" s="20"/>
      <c r="L9" s="20"/>
      <c r="N9" s="21"/>
    </row>
    <row r="10" spans="1:18" x14ac:dyDescent="0.25">
      <c r="A10" s="36" t="s">
        <v>1565</v>
      </c>
      <c r="B10" s="34" t="s">
        <v>1614</v>
      </c>
      <c r="H10" s="5" t="s">
        <v>740</v>
      </c>
      <c r="I10" s="5" t="s">
        <v>747</v>
      </c>
      <c r="J10" s="5" t="s">
        <v>158</v>
      </c>
      <c r="K10" s="20"/>
      <c r="L10" s="20"/>
      <c r="N10" s="21"/>
    </row>
    <row r="11" spans="1:18" x14ac:dyDescent="0.25">
      <c r="A11" s="20"/>
      <c r="B11" s="34"/>
      <c r="H11" s="5" t="s">
        <v>740</v>
      </c>
      <c r="I11" s="5" t="s">
        <v>155</v>
      </c>
      <c r="J11" s="5" t="s">
        <v>159</v>
      </c>
      <c r="K11" s="20"/>
      <c r="L11" s="20"/>
      <c r="M11" s="20"/>
      <c r="N11" s="21"/>
      <c r="P11" s="21"/>
    </row>
    <row r="12" spans="1:18" x14ac:dyDescent="0.25">
      <c r="B12" s="34"/>
      <c r="I12" s="20"/>
      <c r="K12" s="20"/>
      <c r="L12" s="20"/>
      <c r="M12" s="20"/>
      <c r="N12" s="21"/>
      <c r="P12" s="21"/>
    </row>
    <row r="13" spans="1:18" x14ac:dyDescent="0.25">
      <c r="B13" s="34" t="s">
        <v>1567</v>
      </c>
      <c r="I13" s="20"/>
      <c r="K13" s="20"/>
      <c r="L13" s="20"/>
      <c r="M13" s="20"/>
      <c r="N13" s="21"/>
      <c r="P13" s="21"/>
    </row>
    <row r="14" spans="1:18" x14ac:dyDescent="0.25">
      <c r="B14" s="34" t="s">
        <v>1573</v>
      </c>
      <c r="I14" s="20"/>
      <c r="K14" s="20"/>
      <c r="L14" s="20"/>
      <c r="M14" s="20"/>
      <c r="N14" s="20"/>
      <c r="O14" s="20"/>
      <c r="P14" s="21"/>
      <c r="Q14" s="21"/>
      <c r="R14" s="21"/>
    </row>
    <row r="15" spans="1:18" x14ac:dyDescent="0.25">
      <c r="B15" s="34"/>
      <c r="C15" s="34"/>
      <c r="D15" s="34"/>
      <c r="E15" s="34"/>
      <c r="F15" s="34"/>
      <c r="G15" s="34"/>
      <c r="H15" s="20"/>
      <c r="I15" s="20"/>
      <c r="J15" s="34"/>
      <c r="K15" s="21"/>
      <c r="L15" s="20"/>
      <c r="M15" s="20"/>
      <c r="N15" s="20"/>
      <c r="O15" s="20"/>
      <c r="P15" s="21"/>
      <c r="Q15" s="21"/>
      <c r="R15" s="21"/>
    </row>
    <row r="16" spans="1:18" x14ac:dyDescent="0.25">
      <c r="A16" s="20"/>
      <c r="B16" s="34"/>
      <c r="C16" s="34"/>
      <c r="D16" s="34"/>
      <c r="E16" s="34"/>
      <c r="F16" s="34"/>
      <c r="G16" s="34"/>
      <c r="H16" s="20"/>
      <c r="I16" s="20"/>
      <c r="J16" s="34"/>
      <c r="K16" s="21"/>
      <c r="L16" s="20"/>
      <c r="M16" s="20"/>
      <c r="N16" s="20"/>
      <c r="O16" s="20"/>
      <c r="P16" s="21"/>
      <c r="Q16" s="21"/>
      <c r="R16" s="21"/>
    </row>
    <row r="17" spans="1:18" x14ac:dyDescent="0.25">
      <c r="A17" s="20"/>
      <c r="B17" s="34"/>
      <c r="C17" s="34"/>
      <c r="D17" s="34"/>
      <c r="E17" s="34"/>
      <c r="F17" s="34"/>
      <c r="G17" s="34"/>
      <c r="H17" s="20"/>
      <c r="I17" s="20"/>
      <c r="J17" s="34"/>
      <c r="K17" s="21"/>
      <c r="L17" s="20"/>
      <c r="M17" s="20"/>
      <c r="N17" s="20"/>
      <c r="O17" s="20"/>
      <c r="P17" s="21"/>
      <c r="Q17" s="21"/>
      <c r="R17" s="21"/>
    </row>
    <row r="18" spans="1:18" x14ac:dyDescent="0.25">
      <c r="A18" s="20"/>
      <c r="B18" s="34"/>
      <c r="C18" s="34"/>
      <c r="D18" s="34"/>
      <c r="E18" s="34"/>
      <c r="F18" s="34"/>
      <c r="G18" s="34"/>
      <c r="H18" s="20"/>
      <c r="I18" s="34"/>
      <c r="J18" s="34"/>
      <c r="K18" s="21"/>
      <c r="L18" s="20"/>
      <c r="M18" s="20"/>
      <c r="N18" s="20"/>
      <c r="O18" s="20"/>
      <c r="P18" s="21"/>
      <c r="Q18" s="21"/>
      <c r="R18" s="21"/>
    </row>
    <row r="19" spans="1:18" x14ac:dyDescent="0.25">
      <c r="A19" s="20"/>
      <c r="B19" s="34"/>
      <c r="C19" s="34"/>
      <c r="D19" s="34"/>
      <c r="E19" s="34"/>
      <c r="F19" s="34"/>
      <c r="G19" s="34"/>
      <c r="H19" s="20"/>
      <c r="I19" s="20"/>
      <c r="J19" s="34"/>
      <c r="K19" s="21"/>
      <c r="L19" s="20"/>
      <c r="M19" s="20"/>
      <c r="N19" s="20"/>
      <c r="O19" s="20"/>
      <c r="P19" s="21"/>
      <c r="Q19" s="21"/>
      <c r="R19" s="21"/>
    </row>
    <row r="20" spans="1:18" x14ac:dyDescent="0.25">
      <c r="C20" s="34"/>
      <c r="D20" s="34"/>
      <c r="E20" s="34"/>
      <c r="F20" s="34"/>
      <c r="G20" s="34"/>
      <c r="H20" s="20"/>
      <c r="I20" s="20"/>
      <c r="J20" s="34"/>
      <c r="K20" s="21"/>
      <c r="L20" s="34"/>
      <c r="M20" s="20"/>
      <c r="N20" s="20"/>
      <c r="O20" s="20"/>
      <c r="P20" s="21"/>
      <c r="Q20" s="21"/>
      <c r="R20" s="21"/>
    </row>
    <row r="21" spans="1:18" x14ac:dyDescent="0.25">
      <c r="A21" s="7"/>
      <c r="C21" s="34"/>
      <c r="D21" s="34"/>
      <c r="E21" s="34"/>
      <c r="F21" s="34"/>
      <c r="G21" s="34"/>
      <c r="H21" s="20"/>
      <c r="I21" s="20"/>
      <c r="J21" s="34"/>
      <c r="K21" s="21"/>
      <c r="L21" s="20"/>
      <c r="M21" s="20"/>
      <c r="N21" s="20"/>
      <c r="O21" s="20"/>
      <c r="P21" s="21"/>
      <c r="Q21" s="21"/>
      <c r="R21" s="21"/>
    </row>
    <row r="22" spans="1:18" x14ac:dyDescent="0.25">
      <c r="A22" s="20"/>
      <c r="C22" s="34"/>
      <c r="D22" s="34"/>
      <c r="E22" s="34"/>
      <c r="F22" s="34"/>
      <c r="G22" s="34"/>
      <c r="H22" s="20"/>
      <c r="I22" s="20"/>
      <c r="J22" s="34"/>
      <c r="K22" s="21"/>
      <c r="L22" s="20"/>
      <c r="N22" s="20"/>
      <c r="O22" s="20"/>
      <c r="Q22" s="21"/>
      <c r="R22" s="21"/>
    </row>
    <row r="23" spans="1:18" x14ac:dyDescent="0.25">
      <c r="C23" s="34"/>
      <c r="D23" s="34"/>
      <c r="E23" s="34"/>
      <c r="F23" s="34"/>
      <c r="G23" s="34"/>
      <c r="H23" s="20"/>
      <c r="I23" s="34"/>
      <c r="J23" s="34"/>
      <c r="K23" s="21"/>
      <c r="L23" s="20"/>
      <c r="N23" s="21"/>
      <c r="O23" s="21"/>
      <c r="R23" s="21"/>
    </row>
    <row r="24" spans="1:18" hidden="1" x14ac:dyDescent="0.25">
      <c r="L24" s="20"/>
      <c r="N24" s="21"/>
      <c r="O24" s="21"/>
      <c r="R24" s="21"/>
    </row>
    <row r="25" spans="1:18" x14ac:dyDescent="0.25">
      <c r="L25" s="20"/>
      <c r="M25" s="20"/>
      <c r="N25" s="21"/>
      <c r="O25" s="21"/>
      <c r="R25" s="21"/>
    </row>
    <row r="26" spans="1:18" x14ac:dyDescent="0.25">
      <c r="L26" s="20"/>
      <c r="M26" s="20"/>
      <c r="N26" s="21"/>
      <c r="O26" s="21"/>
      <c r="R26" s="21"/>
    </row>
    <row r="27" spans="1:18" x14ac:dyDescent="0.25">
      <c r="A27" s="20"/>
      <c r="I27" s="20"/>
      <c r="J27" s="20"/>
      <c r="K27" s="20"/>
      <c r="L27" s="20"/>
      <c r="M27" s="20"/>
      <c r="N27" s="20"/>
      <c r="O27" s="20"/>
      <c r="P27" s="20"/>
      <c r="Q27" s="21"/>
      <c r="R27" s="21"/>
    </row>
    <row r="28" spans="1:18" x14ac:dyDescent="0.25">
      <c r="A28" s="20"/>
      <c r="M28" s="20"/>
      <c r="N28" s="20"/>
      <c r="O28" s="20"/>
      <c r="P28" s="20"/>
      <c r="Q28" s="21"/>
      <c r="R28" s="21"/>
    </row>
    <row r="29" spans="1:18" x14ac:dyDescent="0.25">
      <c r="A29" s="20"/>
      <c r="M29" s="20"/>
      <c r="N29" s="20"/>
      <c r="O29" s="20"/>
      <c r="P29" s="20"/>
      <c r="Q29" s="21"/>
      <c r="R29" s="21"/>
    </row>
    <row r="30" spans="1:18" x14ac:dyDescent="0.25">
      <c r="A30" s="20"/>
      <c r="M30" s="20"/>
      <c r="N30" s="20"/>
      <c r="O30" s="20"/>
      <c r="P30" s="20"/>
      <c r="Q30" s="21"/>
      <c r="R30" s="21"/>
    </row>
    <row r="31" spans="1:18" x14ac:dyDescent="0.25">
      <c r="M31" s="20"/>
      <c r="N31" s="20"/>
      <c r="O31" s="20"/>
      <c r="P31" s="20"/>
      <c r="Q31" s="21"/>
      <c r="R31" s="21"/>
    </row>
    <row r="32" spans="1:18" x14ac:dyDescent="0.25">
      <c r="A32" s="7"/>
      <c r="I32" s="20"/>
      <c r="J32" s="20"/>
      <c r="K32" s="20"/>
      <c r="L32" s="20"/>
      <c r="M32" s="20"/>
      <c r="N32" s="20"/>
      <c r="O32" s="20"/>
      <c r="P32" s="20"/>
      <c r="Q32" s="21"/>
      <c r="R32" s="21"/>
    </row>
    <row r="33" spans="1:18" x14ac:dyDescent="0.25">
      <c r="A33" s="20"/>
      <c r="I33" s="20"/>
      <c r="J33" s="20"/>
      <c r="K33" s="20"/>
      <c r="L33" s="20"/>
      <c r="M33" s="20"/>
      <c r="N33" s="20"/>
      <c r="O33" s="20"/>
      <c r="P33" s="20"/>
      <c r="Q33" s="21"/>
      <c r="R33" s="21"/>
    </row>
    <row r="34" spans="1:18" x14ac:dyDescent="0.25">
      <c r="I34" s="20"/>
      <c r="J34" s="20"/>
      <c r="K34" s="20"/>
      <c r="L34" s="20"/>
      <c r="M34" s="20"/>
      <c r="N34" s="20"/>
      <c r="O34" s="20"/>
      <c r="P34" s="20"/>
      <c r="Q34" s="21"/>
      <c r="R34" s="21"/>
    </row>
    <row r="35" spans="1:18" x14ac:dyDescent="0.25">
      <c r="I35" s="20"/>
      <c r="J35" s="20"/>
      <c r="K35" s="20"/>
      <c r="L35" s="20"/>
      <c r="M35" s="20"/>
      <c r="N35" s="20"/>
      <c r="O35" s="20"/>
      <c r="P35" s="20"/>
      <c r="Q35" s="21"/>
      <c r="R35" s="21"/>
    </row>
    <row r="36" spans="1:18" x14ac:dyDescent="0.25">
      <c r="H36" s="20"/>
      <c r="I36" s="20"/>
      <c r="J36" s="20"/>
      <c r="K36" s="20"/>
      <c r="L36" s="20"/>
      <c r="M36" s="20"/>
      <c r="N36" s="20"/>
      <c r="O36" s="20"/>
      <c r="P36" s="21"/>
      <c r="Q36" s="21"/>
      <c r="R36" s="21"/>
    </row>
    <row r="37" spans="1:18" x14ac:dyDescent="0.25">
      <c r="H37" s="20"/>
      <c r="I37" s="20"/>
      <c r="J37" s="20"/>
      <c r="K37" s="20"/>
      <c r="L37" s="20"/>
      <c r="M37" s="20"/>
      <c r="N37" s="20"/>
      <c r="O37" s="20"/>
      <c r="P37" s="21"/>
      <c r="Q37" s="21"/>
      <c r="R37" s="21"/>
    </row>
    <row r="38" spans="1:18" x14ac:dyDescent="0.25">
      <c r="A38" s="20"/>
      <c r="H38" s="20"/>
      <c r="I38" s="20"/>
      <c r="J38" s="20"/>
      <c r="K38" s="20"/>
      <c r="L38" s="20"/>
      <c r="M38" s="20"/>
      <c r="N38" s="20"/>
      <c r="O38" s="20"/>
      <c r="P38" s="21"/>
      <c r="Q38" s="21"/>
      <c r="R38" s="21"/>
    </row>
    <row r="39" spans="1:18" x14ac:dyDescent="0.25">
      <c r="A39" s="20"/>
      <c r="H39" s="20"/>
      <c r="I39" s="20"/>
      <c r="J39" s="20"/>
      <c r="K39" s="20"/>
      <c r="L39" s="20"/>
      <c r="M39" s="20"/>
      <c r="N39" s="20"/>
      <c r="O39" s="20"/>
      <c r="P39" s="21"/>
      <c r="Q39" s="21"/>
      <c r="R39" s="21"/>
    </row>
    <row r="40" spans="1:18" x14ac:dyDescent="0.25">
      <c r="A40" s="20"/>
      <c r="H40" s="20"/>
      <c r="J40" s="20"/>
      <c r="K40" s="20"/>
      <c r="L40" s="20"/>
      <c r="M40" s="20"/>
      <c r="N40" s="20"/>
      <c r="O40" s="20"/>
      <c r="P40" s="21"/>
      <c r="Q40" s="21"/>
      <c r="R40" s="21"/>
    </row>
    <row r="41" spans="1:18" x14ac:dyDescent="0.25">
      <c r="A41" s="20"/>
      <c r="M41" s="20"/>
      <c r="P41" s="21"/>
    </row>
    <row r="42" spans="1:18" x14ac:dyDescent="0.25">
      <c r="I42" s="20"/>
      <c r="L42" s="21"/>
      <c r="M42" s="20"/>
      <c r="P42" s="21"/>
    </row>
    <row r="43" spans="1:18" x14ac:dyDescent="0.25">
      <c r="I43" s="20"/>
      <c r="L43" s="21"/>
      <c r="M43" s="20"/>
      <c r="P43" s="21"/>
    </row>
    <row r="44" spans="1:18" x14ac:dyDescent="0.25">
      <c r="I44" s="20"/>
      <c r="L44" s="21"/>
      <c r="M44" s="20"/>
      <c r="P44" s="21"/>
    </row>
    <row r="45" spans="1:18" x14ac:dyDescent="0.25">
      <c r="I45" s="20"/>
      <c r="L45" s="21"/>
      <c r="M45" s="20"/>
      <c r="P45" s="21"/>
    </row>
    <row r="46" spans="1:18" x14ac:dyDescent="0.25">
      <c r="A46" s="7"/>
      <c r="I46" s="20"/>
      <c r="L46" s="21"/>
    </row>
    <row r="47" spans="1:18" x14ac:dyDescent="0.25">
      <c r="A47" s="20"/>
      <c r="I47" s="20"/>
      <c r="L47" s="21"/>
    </row>
    <row r="48" spans="1:18" x14ac:dyDescent="0.25">
      <c r="I48" s="20"/>
      <c r="L48" s="21"/>
      <c r="N48" s="20"/>
      <c r="Q48" s="21"/>
    </row>
    <row r="49" spans="1:17" x14ac:dyDescent="0.25">
      <c r="I49" s="20"/>
      <c r="L49" s="21"/>
      <c r="N49" s="20"/>
      <c r="Q49" s="21"/>
    </row>
    <row r="50" spans="1:17" x14ac:dyDescent="0.25">
      <c r="I50" s="20"/>
      <c r="L50" s="21"/>
      <c r="N50" s="20"/>
      <c r="Q50" s="21"/>
    </row>
    <row r="51" spans="1:17" x14ac:dyDescent="0.25">
      <c r="N51" s="20"/>
      <c r="Q51" s="21"/>
    </row>
    <row r="52" spans="1:17" x14ac:dyDescent="0.25">
      <c r="A52" s="20"/>
      <c r="N52" s="20"/>
      <c r="Q52" s="21"/>
    </row>
    <row r="53" spans="1:17" x14ac:dyDescent="0.25">
      <c r="A53" s="20"/>
      <c r="N53" s="20"/>
      <c r="Q53" s="21"/>
    </row>
    <row r="54" spans="1:17" x14ac:dyDescent="0.25">
      <c r="A54" s="20"/>
      <c r="N54" s="20"/>
      <c r="Q54" s="21"/>
    </row>
    <row r="55" spans="1:17" x14ac:dyDescent="0.25">
      <c r="A55" s="20"/>
      <c r="N55" s="20"/>
      <c r="Q55" s="21"/>
    </row>
    <row r="56" spans="1:17" x14ac:dyDescent="0.25">
      <c r="N56" s="20"/>
      <c r="Q56" s="21"/>
    </row>
  </sheetData>
  <mergeCells count="1">
    <mergeCell ref="H1:J1"/>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50"/>
  <sheetViews>
    <sheetView tabSelected="1" zoomScale="70" zoomScaleNormal="70" workbookViewId="0">
      <selection activeCell="C10" sqref="C10"/>
    </sheetView>
  </sheetViews>
  <sheetFormatPr defaultRowHeight="15" x14ac:dyDescent="0.25"/>
  <cols>
    <col min="1" max="1" width="74.7109375" customWidth="1"/>
    <col min="2" max="2" width="15.85546875" customWidth="1"/>
    <col min="3" max="3" width="26" bestFit="1" customWidth="1"/>
    <col min="4" max="4" width="8.85546875" bestFit="1" customWidth="1"/>
    <col min="5" max="5" width="10.28515625" customWidth="1"/>
    <col min="6" max="6" width="12.140625" bestFit="1" customWidth="1"/>
  </cols>
  <sheetData>
    <row r="1" spans="1:7" ht="18.75" customHeight="1" x14ac:dyDescent="0.25">
      <c r="A1" s="41" t="s">
        <v>1559</v>
      </c>
      <c r="B1" s="42" t="s">
        <v>314</v>
      </c>
      <c r="C1" s="42" t="s">
        <v>1579</v>
      </c>
      <c r="D1" s="42" t="s">
        <v>1543</v>
      </c>
      <c r="E1" s="42" t="s">
        <v>1580</v>
      </c>
      <c r="F1" s="42" t="s">
        <v>1617</v>
      </c>
      <c r="G1" s="45" t="s">
        <v>1626</v>
      </c>
    </row>
    <row r="2" spans="1:7" x14ac:dyDescent="0.25">
      <c r="A2" s="36" t="s">
        <v>1581</v>
      </c>
      <c r="B2" s="43">
        <v>42134</v>
      </c>
      <c r="C2" s="36">
        <v>281</v>
      </c>
      <c r="D2" s="36">
        <v>37.5</v>
      </c>
      <c r="E2" s="36">
        <v>41.059852729299998</v>
      </c>
      <c r="F2" s="36">
        <v>-0.67674753240700003</v>
      </c>
      <c r="G2" s="34">
        <f>ABS(D2-E2)/E2*100</f>
        <v>8.6699110997047342</v>
      </c>
    </row>
    <row r="3" spans="1:7" ht="18.75" customHeight="1" x14ac:dyDescent="0.25">
      <c r="A3" s="36" t="s">
        <v>1582</v>
      </c>
      <c r="B3" s="43">
        <v>42134</v>
      </c>
      <c r="C3" s="36">
        <v>170</v>
      </c>
      <c r="D3" s="36">
        <v>42.75</v>
      </c>
      <c r="E3" s="36">
        <v>40.8891117155</v>
      </c>
      <c r="F3" s="36">
        <v>-1.2349677434599999</v>
      </c>
      <c r="G3" s="34">
        <f t="shared" ref="G3:G50" si="0">ABS(D3-E3)/E3*100</f>
        <v>4.5510606771009536</v>
      </c>
    </row>
    <row r="4" spans="1:7" x14ac:dyDescent="0.25">
      <c r="A4" s="36" t="s">
        <v>1583</v>
      </c>
      <c r="B4" s="43">
        <v>42134</v>
      </c>
      <c r="C4" s="36">
        <v>91</v>
      </c>
      <c r="D4" s="36">
        <v>25.95</v>
      </c>
      <c r="E4" s="36">
        <v>35.644220690799997</v>
      </c>
      <c r="F4" s="36">
        <v>-1.1204380566600001</v>
      </c>
      <c r="G4" s="34">
        <f t="shared" si="0"/>
        <v>27.197173911848598</v>
      </c>
    </row>
    <row r="5" spans="1:7" x14ac:dyDescent="0.25">
      <c r="A5" t="s">
        <v>1558</v>
      </c>
      <c r="B5" s="8">
        <v>42133</v>
      </c>
      <c r="C5">
        <v>158</v>
      </c>
      <c r="D5">
        <v>39.1</v>
      </c>
      <c r="E5" s="34">
        <v>36.209686320400003</v>
      </c>
      <c r="F5" s="34">
        <v>-1.5925765332199999</v>
      </c>
      <c r="G5" s="34">
        <f t="shared" si="0"/>
        <v>7.9821560839416561</v>
      </c>
    </row>
    <row r="6" spans="1:7" x14ac:dyDescent="0.25">
      <c r="A6" t="s">
        <v>1566</v>
      </c>
      <c r="B6" s="8">
        <v>42133</v>
      </c>
      <c r="C6">
        <v>57</v>
      </c>
      <c r="D6">
        <v>33.75</v>
      </c>
      <c r="E6" s="34">
        <v>33.707386597999999</v>
      </c>
      <c r="F6" s="34">
        <v>-8.5974814482199999</v>
      </c>
      <c r="G6" s="34">
        <f t="shared" si="0"/>
        <v>0.12642155414839862</v>
      </c>
    </row>
    <row r="7" spans="1:7" x14ac:dyDescent="0.25">
      <c r="A7" t="s">
        <v>1560</v>
      </c>
      <c r="B7" s="8">
        <v>42132</v>
      </c>
      <c r="C7">
        <v>263</v>
      </c>
      <c r="D7">
        <v>36.25</v>
      </c>
      <c r="E7" s="34">
        <v>38.361684003699999</v>
      </c>
      <c r="F7" s="34">
        <v>-4.7209611873400004</v>
      </c>
      <c r="G7" s="34">
        <f t="shared" si="0"/>
        <v>5.5046697206940296</v>
      </c>
    </row>
    <row r="8" spans="1:7" x14ac:dyDescent="0.25">
      <c r="A8" t="s">
        <v>1561</v>
      </c>
      <c r="B8" s="8">
        <v>42131</v>
      </c>
      <c r="C8">
        <v>112</v>
      </c>
      <c r="D8">
        <v>41.6</v>
      </c>
      <c r="E8" s="34">
        <v>35.4440552473</v>
      </c>
      <c r="F8" s="34">
        <v>-3.7813248434500002</v>
      </c>
      <c r="G8" s="34">
        <f t="shared" si="0"/>
        <v>17.368059917943331</v>
      </c>
    </row>
    <row r="9" spans="1:7" x14ac:dyDescent="0.25">
      <c r="A9" t="s">
        <v>1562</v>
      </c>
      <c r="B9" s="8">
        <v>42130</v>
      </c>
      <c r="C9">
        <v>226</v>
      </c>
      <c r="D9">
        <v>52</v>
      </c>
      <c r="E9" s="34">
        <v>38.139600016499998</v>
      </c>
      <c r="F9" s="34">
        <v>-1.8309042636399999</v>
      </c>
      <c r="G9" s="34">
        <f t="shared" si="0"/>
        <v>36.341230577939207</v>
      </c>
    </row>
    <row r="10" spans="1:7" x14ac:dyDescent="0.25">
      <c r="A10" t="s">
        <v>1568</v>
      </c>
      <c r="B10" s="8">
        <v>42129</v>
      </c>
      <c r="C10">
        <v>263</v>
      </c>
      <c r="D10">
        <v>50</v>
      </c>
      <c r="E10">
        <v>41.2656471588</v>
      </c>
      <c r="F10" s="34">
        <v>-2.69018232592</v>
      </c>
      <c r="G10" s="34">
        <f t="shared" si="0"/>
        <v>21.166159851045443</v>
      </c>
    </row>
    <row r="11" spans="1:7" x14ac:dyDescent="0.25">
      <c r="A11" t="s">
        <v>1569</v>
      </c>
      <c r="B11" s="8">
        <v>42128</v>
      </c>
      <c r="C11">
        <v>188</v>
      </c>
      <c r="D11">
        <v>39.6</v>
      </c>
      <c r="E11">
        <v>38.330748637900001</v>
      </c>
      <c r="F11" s="34">
        <v>-2.7901400984300002</v>
      </c>
      <c r="G11" s="34">
        <f t="shared" si="0"/>
        <v>3.3113137812419673</v>
      </c>
    </row>
    <row r="12" spans="1:7" x14ac:dyDescent="0.25">
      <c r="A12" t="s">
        <v>1570</v>
      </c>
      <c r="B12" s="8">
        <v>42128</v>
      </c>
      <c r="C12">
        <v>58</v>
      </c>
      <c r="D12">
        <v>38.5</v>
      </c>
      <c r="E12">
        <v>33.733611974399999</v>
      </c>
      <c r="F12" s="34">
        <v>-1.9864139291</v>
      </c>
      <c r="G12" s="34">
        <f t="shared" si="0"/>
        <v>14.12949206037335</v>
      </c>
    </row>
    <row r="13" spans="1:7" x14ac:dyDescent="0.25">
      <c r="A13" t="s">
        <v>1571</v>
      </c>
      <c r="B13" s="8">
        <v>42128</v>
      </c>
      <c r="C13">
        <v>38</v>
      </c>
      <c r="D13">
        <v>21.75</v>
      </c>
      <c r="E13">
        <v>34.3631166435</v>
      </c>
      <c r="F13" s="34">
        <v>-2.6061142050099999</v>
      </c>
      <c r="G13" s="34">
        <f t="shared" si="0"/>
        <v>36.705391930408183</v>
      </c>
    </row>
    <row r="14" spans="1:7" x14ac:dyDescent="0.25">
      <c r="A14" t="s">
        <v>1572</v>
      </c>
      <c r="B14" s="8">
        <v>42127</v>
      </c>
      <c r="C14">
        <v>73</v>
      </c>
      <c r="D14">
        <v>43.45</v>
      </c>
      <c r="E14">
        <v>31.641155529399999</v>
      </c>
      <c r="F14" s="34">
        <v>-2.0175389410300002</v>
      </c>
      <c r="G14" s="34">
        <f t="shared" si="0"/>
        <v>37.321154278413076</v>
      </c>
    </row>
    <row r="15" spans="1:7" x14ac:dyDescent="0.25">
      <c r="A15" t="s">
        <v>1574</v>
      </c>
      <c r="B15" s="8">
        <v>42126</v>
      </c>
      <c r="C15">
        <v>280</v>
      </c>
      <c r="D15">
        <v>51</v>
      </c>
      <c r="E15">
        <v>39.634453737000001</v>
      </c>
      <c r="F15" s="34">
        <v>-9.9297376636999992</v>
      </c>
      <c r="G15" s="34">
        <f t="shared" si="0"/>
        <v>28.67592508885749</v>
      </c>
    </row>
    <row r="16" spans="1:7" x14ac:dyDescent="0.25">
      <c r="A16" t="s">
        <v>1575</v>
      </c>
      <c r="B16" s="8">
        <v>42126</v>
      </c>
      <c r="C16">
        <v>129</v>
      </c>
      <c r="D16">
        <v>44</v>
      </c>
      <c r="E16">
        <v>38.831688950699998</v>
      </c>
      <c r="F16" s="34">
        <v>-1.74327635657</v>
      </c>
      <c r="G16" s="34">
        <f t="shared" si="0"/>
        <v>13.309519078249712</v>
      </c>
    </row>
    <row r="17" spans="1:10" x14ac:dyDescent="0.25">
      <c r="A17" t="s">
        <v>1576</v>
      </c>
      <c r="B17" s="8">
        <v>42126</v>
      </c>
      <c r="C17">
        <v>151</v>
      </c>
      <c r="D17">
        <v>52.75</v>
      </c>
      <c r="E17">
        <v>36.007939630400003</v>
      </c>
      <c r="F17" s="34">
        <v>-9.2018647909299993</v>
      </c>
      <c r="G17" s="34">
        <f t="shared" si="0"/>
        <v>46.495468892270011</v>
      </c>
    </row>
    <row r="18" spans="1:10" x14ac:dyDescent="0.25">
      <c r="A18" t="s">
        <v>1577</v>
      </c>
      <c r="B18" s="8">
        <v>42126</v>
      </c>
      <c r="C18">
        <v>54</v>
      </c>
      <c r="D18">
        <v>39.75</v>
      </c>
      <c r="E18">
        <v>37.636994399300001</v>
      </c>
      <c r="F18" s="34">
        <v>-1.87219887977</v>
      </c>
      <c r="G18" s="34">
        <f t="shared" si="0"/>
        <v>5.6141719986527363</v>
      </c>
    </row>
    <row r="19" spans="1:10" x14ac:dyDescent="0.25">
      <c r="A19" t="s">
        <v>1578</v>
      </c>
      <c r="B19" s="8">
        <v>42125</v>
      </c>
      <c r="C19">
        <v>262</v>
      </c>
      <c r="D19">
        <v>33.75</v>
      </c>
      <c r="E19">
        <v>39.1498397501</v>
      </c>
      <c r="F19" s="34">
        <v>-9.9902372330000002</v>
      </c>
      <c r="G19" s="34">
        <f t="shared" si="0"/>
        <v>13.792750582296334</v>
      </c>
    </row>
    <row r="20" spans="1:10" x14ac:dyDescent="0.25">
      <c r="A20" t="s">
        <v>1584</v>
      </c>
      <c r="B20" s="8">
        <v>42125</v>
      </c>
      <c r="C20">
        <v>98</v>
      </c>
      <c r="D20">
        <v>14.75</v>
      </c>
      <c r="E20">
        <v>35.672853312100003</v>
      </c>
      <c r="F20" s="34">
        <v>-0.89673877622599996</v>
      </c>
      <c r="G20" s="34">
        <f t="shared" si="0"/>
        <v>58.652031921996851</v>
      </c>
    </row>
    <row r="21" spans="1:10" x14ac:dyDescent="0.25">
      <c r="A21" s="34" t="s">
        <v>1585</v>
      </c>
      <c r="B21" s="8">
        <v>42123</v>
      </c>
      <c r="C21">
        <v>146</v>
      </c>
      <c r="D21">
        <v>34.700000000000003</v>
      </c>
      <c r="E21">
        <v>36.785785862099999</v>
      </c>
      <c r="F21" s="34">
        <v>-1.8714553409900001</v>
      </c>
      <c r="G21" s="34">
        <f t="shared" si="0"/>
        <v>5.6700864565434204</v>
      </c>
    </row>
    <row r="22" spans="1:10" x14ac:dyDescent="0.25">
      <c r="A22" s="34" t="s">
        <v>1586</v>
      </c>
      <c r="B22" s="8">
        <v>42123</v>
      </c>
      <c r="C22">
        <v>59</v>
      </c>
      <c r="D22">
        <v>19.5</v>
      </c>
      <c r="E22">
        <v>36.438402914299999</v>
      </c>
      <c r="F22" s="34">
        <v>-8.3022291037899993</v>
      </c>
      <c r="G22" s="34">
        <f t="shared" si="0"/>
        <v>46.485031064993905</v>
      </c>
    </row>
    <row r="23" spans="1:10" x14ac:dyDescent="0.25">
      <c r="A23" s="30" t="s">
        <v>1587</v>
      </c>
      <c r="B23" s="8">
        <v>42122</v>
      </c>
      <c r="C23">
        <v>219</v>
      </c>
      <c r="D23">
        <v>40.75</v>
      </c>
      <c r="E23">
        <v>37.9360493398</v>
      </c>
      <c r="F23" s="34">
        <v>-0.66734932921900003</v>
      </c>
      <c r="G23" s="34">
        <f t="shared" si="0"/>
        <v>7.4176165129767169</v>
      </c>
    </row>
    <row r="24" spans="1:10" x14ac:dyDescent="0.25">
      <c r="A24" t="s">
        <v>1588</v>
      </c>
      <c r="B24" s="8">
        <v>42122</v>
      </c>
      <c r="C24">
        <v>113</v>
      </c>
      <c r="D24">
        <v>47</v>
      </c>
      <c r="E24">
        <v>37.232582314699997</v>
      </c>
      <c r="F24" s="34">
        <v>-1.70350537203</v>
      </c>
      <c r="G24" s="34">
        <f t="shared" si="0"/>
        <v>26.233522033854946</v>
      </c>
    </row>
    <row r="25" spans="1:10" x14ac:dyDescent="0.25">
      <c r="A25" t="s">
        <v>1589</v>
      </c>
      <c r="B25" s="8">
        <v>42121</v>
      </c>
      <c r="C25">
        <v>244</v>
      </c>
      <c r="D25">
        <v>27.6</v>
      </c>
      <c r="E25">
        <v>39.041757129700002</v>
      </c>
      <c r="F25" s="34">
        <v>-1.4140298176799999</v>
      </c>
      <c r="G25" s="34">
        <f t="shared" si="0"/>
        <v>29.3064604948223</v>
      </c>
    </row>
    <row r="26" spans="1:10" x14ac:dyDescent="0.25">
      <c r="A26" t="s">
        <v>1590</v>
      </c>
      <c r="B26" s="8">
        <v>42121</v>
      </c>
      <c r="C26">
        <v>203</v>
      </c>
      <c r="D26">
        <v>33.1</v>
      </c>
      <c r="E26">
        <v>38.159628594899999</v>
      </c>
      <c r="F26" s="34">
        <v>-0.79088932518699995</v>
      </c>
      <c r="G26" s="34">
        <f t="shared" si="0"/>
        <v>13.259113836281447</v>
      </c>
    </row>
    <row r="27" spans="1:10" x14ac:dyDescent="0.25">
      <c r="A27" t="s">
        <v>1591</v>
      </c>
      <c r="B27" s="8">
        <v>42121</v>
      </c>
      <c r="C27">
        <v>115</v>
      </c>
      <c r="D27">
        <v>21.1</v>
      </c>
      <c r="E27">
        <v>35.787856831100001</v>
      </c>
      <c r="F27" s="34">
        <v>-1.79091359612</v>
      </c>
      <c r="G27" s="34">
        <f t="shared" si="0"/>
        <v>41.041454089913834</v>
      </c>
    </row>
    <row r="28" spans="1:10" x14ac:dyDescent="0.25">
      <c r="A28" t="s">
        <v>1592</v>
      </c>
      <c r="B28" s="8">
        <v>42120</v>
      </c>
      <c r="C28">
        <v>268</v>
      </c>
      <c r="D28">
        <v>28.75</v>
      </c>
      <c r="E28">
        <v>42.551920011299998</v>
      </c>
      <c r="F28" s="34">
        <v>-9.8539571794499992</v>
      </c>
      <c r="G28" s="34">
        <f t="shared" si="0"/>
        <v>32.435481190119717</v>
      </c>
    </row>
    <row r="29" spans="1:10" x14ac:dyDescent="0.25">
      <c r="A29" t="s">
        <v>1593</v>
      </c>
      <c r="B29" s="8">
        <v>42120</v>
      </c>
      <c r="C29">
        <v>96</v>
      </c>
      <c r="D29">
        <v>40.6</v>
      </c>
      <c r="E29">
        <v>32.676439850800001</v>
      </c>
      <c r="F29" s="34">
        <v>-2.8382156056999999</v>
      </c>
      <c r="G29" s="34">
        <f t="shared" si="0"/>
        <v>24.248541718066054</v>
      </c>
    </row>
    <row r="30" spans="1:10" x14ac:dyDescent="0.25">
      <c r="A30" t="s">
        <v>1594</v>
      </c>
      <c r="B30" s="8">
        <v>42119</v>
      </c>
      <c r="C30">
        <v>147</v>
      </c>
      <c r="D30">
        <v>30.1</v>
      </c>
      <c r="E30">
        <v>36.057916405699999</v>
      </c>
      <c r="F30" s="34">
        <v>-1.2282176418499999</v>
      </c>
      <c r="G30" s="34">
        <f t="shared" si="0"/>
        <v>16.523185473795639</v>
      </c>
    </row>
    <row r="31" spans="1:10" x14ac:dyDescent="0.25">
      <c r="A31" t="s">
        <v>1595</v>
      </c>
      <c r="B31" s="8">
        <v>42119</v>
      </c>
      <c r="C31">
        <v>76</v>
      </c>
      <c r="D31">
        <v>20.75</v>
      </c>
      <c r="E31">
        <v>39.049609977000003</v>
      </c>
      <c r="F31" s="34">
        <v>-2.4674285175200001</v>
      </c>
      <c r="G31" s="34">
        <f t="shared" si="0"/>
        <v>46.8624654325059</v>
      </c>
      <c r="J31" t="s">
        <v>1615</v>
      </c>
    </row>
    <row r="32" spans="1:10" x14ac:dyDescent="0.25">
      <c r="A32" t="s">
        <v>1596</v>
      </c>
      <c r="B32" s="8">
        <v>42118</v>
      </c>
      <c r="C32">
        <v>283</v>
      </c>
      <c r="D32">
        <v>42.45</v>
      </c>
      <c r="E32">
        <v>54.459054972700002</v>
      </c>
      <c r="F32" s="34">
        <v>-5.37130047581</v>
      </c>
      <c r="G32" s="34">
        <f t="shared" si="0"/>
        <v>22.051530234448737</v>
      </c>
    </row>
    <row r="33" spans="1:10" x14ac:dyDescent="0.25">
      <c r="A33" t="s">
        <v>1597</v>
      </c>
      <c r="B33" s="8">
        <v>42118</v>
      </c>
      <c r="C33">
        <v>94</v>
      </c>
      <c r="D33">
        <v>27.5</v>
      </c>
      <c r="E33">
        <v>34.886068873500001</v>
      </c>
      <c r="F33" s="34">
        <v>-2.9484865788399999</v>
      </c>
      <c r="G33" s="34">
        <f t="shared" si="0"/>
        <v>21.171972400451729</v>
      </c>
      <c r="J33" t="s">
        <v>1619</v>
      </c>
    </row>
    <row r="34" spans="1:10" x14ac:dyDescent="0.25">
      <c r="A34" t="s">
        <v>1598</v>
      </c>
      <c r="B34" s="8">
        <v>42118</v>
      </c>
      <c r="C34">
        <v>56</v>
      </c>
      <c r="D34">
        <v>34.25</v>
      </c>
      <c r="E34">
        <v>40.1563315239</v>
      </c>
      <c r="F34" s="34">
        <v>-1.8288974686499999</v>
      </c>
      <c r="G34" s="34">
        <f t="shared" si="0"/>
        <v>14.70834436254394</v>
      </c>
      <c r="J34" t="s">
        <v>1620</v>
      </c>
    </row>
    <row r="35" spans="1:10" x14ac:dyDescent="0.25">
      <c r="A35" t="s">
        <v>1599</v>
      </c>
      <c r="B35" s="8">
        <v>42117</v>
      </c>
      <c r="C35">
        <v>53</v>
      </c>
      <c r="D35">
        <v>28</v>
      </c>
      <c r="E35">
        <v>31.132725303499999</v>
      </c>
      <c r="F35" s="34">
        <v>-1.5242852367299999</v>
      </c>
      <c r="G35" s="34">
        <f t="shared" si="0"/>
        <v>10.062483361030434</v>
      </c>
      <c r="J35" t="s">
        <v>1621</v>
      </c>
    </row>
    <row r="36" spans="1:10" x14ac:dyDescent="0.25">
      <c r="A36" t="s">
        <v>1600</v>
      </c>
      <c r="B36" s="8">
        <v>42117</v>
      </c>
      <c r="C36">
        <v>80</v>
      </c>
      <c r="D36">
        <v>24.5</v>
      </c>
      <c r="E36">
        <v>46.753762755499999</v>
      </c>
      <c r="F36" s="34">
        <v>-9.8514262406099995</v>
      </c>
      <c r="G36" s="34">
        <f t="shared" si="0"/>
        <v>47.597800570355417</v>
      </c>
    </row>
    <row r="37" spans="1:10" x14ac:dyDescent="0.25">
      <c r="A37" t="s">
        <v>1601</v>
      </c>
      <c r="B37" s="8">
        <v>42116</v>
      </c>
      <c r="C37">
        <v>282</v>
      </c>
      <c r="D37">
        <v>41.5</v>
      </c>
      <c r="E37">
        <v>48.8858907563</v>
      </c>
      <c r="F37" s="34">
        <v>-9.5246484870600003</v>
      </c>
      <c r="G37" s="34">
        <f t="shared" si="0"/>
        <v>15.108430350833219</v>
      </c>
    </row>
    <row r="38" spans="1:10" x14ac:dyDescent="0.25">
      <c r="A38" t="s">
        <v>1602</v>
      </c>
      <c r="B38" s="8">
        <v>42116</v>
      </c>
      <c r="C38">
        <v>262</v>
      </c>
      <c r="D38">
        <v>40.5</v>
      </c>
      <c r="E38">
        <v>48.570137175299998</v>
      </c>
      <c r="F38" s="34">
        <v>-9.7443771581099998</v>
      </c>
      <c r="G38" s="34">
        <f t="shared" si="0"/>
        <v>16.615430065954207</v>
      </c>
    </row>
    <row r="39" spans="1:10" x14ac:dyDescent="0.25">
      <c r="A39" t="s">
        <v>1603</v>
      </c>
      <c r="B39" s="8">
        <v>42116</v>
      </c>
      <c r="C39">
        <v>74</v>
      </c>
      <c r="D39">
        <v>34</v>
      </c>
      <c r="E39">
        <v>35.740570357300001</v>
      </c>
      <c r="F39" s="34">
        <v>-2.4139502928300001</v>
      </c>
      <c r="G39" s="34">
        <f t="shared" si="0"/>
        <v>4.870012817085585</v>
      </c>
    </row>
    <row r="40" spans="1:10" x14ac:dyDescent="0.25">
      <c r="A40" t="s">
        <v>1604</v>
      </c>
      <c r="B40" s="8">
        <v>42116</v>
      </c>
      <c r="C40">
        <v>56</v>
      </c>
      <c r="D40">
        <v>36.75</v>
      </c>
      <c r="E40">
        <v>34.889380048500001</v>
      </c>
      <c r="F40" s="34">
        <v>-1.6219529419100001</v>
      </c>
      <c r="G40" s="34">
        <f t="shared" si="0"/>
        <v>5.3329120463405664</v>
      </c>
    </row>
    <row r="41" spans="1:10" x14ac:dyDescent="0.25">
      <c r="A41" t="s">
        <v>1605</v>
      </c>
      <c r="B41" s="8">
        <v>42115</v>
      </c>
      <c r="C41" s="35">
        <v>280</v>
      </c>
      <c r="D41">
        <v>36</v>
      </c>
      <c r="E41">
        <v>38.430472528099997</v>
      </c>
      <c r="F41" s="34">
        <v>-1.48214879953</v>
      </c>
      <c r="G41" s="34">
        <f t="shared" si="0"/>
        <v>6.324336830162208</v>
      </c>
    </row>
    <row r="42" spans="1:10" x14ac:dyDescent="0.25">
      <c r="A42" t="s">
        <v>1606</v>
      </c>
      <c r="B42" s="8">
        <v>42115</v>
      </c>
      <c r="C42">
        <v>75</v>
      </c>
      <c r="D42">
        <v>49.25</v>
      </c>
      <c r="E42">
        <v>33.334889752899997</v>
      </c>
      <c r="F42" s="34">
        <v>-1.62760890797</v>
      </c>
      <c r="G42" s="34">
        <f t="shared" si="0"/>
        <v>47.743101492379928</v>
      </c>
    </row>
    <row r="43" spans="1:10" x14ac:dyDescent="0.25">
      <c r="A43" t="s">
        <v>1607</v>
      </c>
      <c r="B43" s="8">
        <v>42114</v>
      </c>
      <c r="C43">
        <v>153</v>
      </c>
      <c r="D43">
        <v>22.75</v>
      </c>
      <c r="E43">
        <v>38.978497601100003</v>
      </c>
      <c r="F43" s="34">
        <v>-4.2170246922999999</v>
      </c>
      <c r="G43" s="34">
        <f t="shared" si="0"/>
        <v>41.63448721697786</v>
      </c>
    </row>
    <row r="44" spans="1:10" x14ac:dyDescent="0.25">
      <c r="A44" t="s">
        <v>1608</v>
      </c>
      <c r="B44" s="8">
        <v>42114</v>
      </c>
      <c r="C44">
        <v>58</v>
      </c>
      <c r="D44">
        <v>36.450000000000003</v>
      </c>
      <c r="E44">
        <v>32.679269970199996</v>
      </c>
      <c r="F44" s="34">
        <v>-0.98920042337799996</v>
      </c>
      <c r="G44" s="34">
        <f t="shared" si="0"/>
        <v>11.538599342147206</v>
      </c>
    </row>
    <row r="45" spans="1:10" x14ac:dyDescent="0.25">
      <c r="A45" t="s">
        <v>1616</v>
      </c>
      <c r="B45" s="8">
        <v>42113</v>
      </c>
      <c r="C45">
        <v>285</v>
      </c>
      <c r="D45">
        <v>29.35</v>
      </c>
      <c r="E45">
        <v>41.385475616000001</v>
      </c>
      <c r="F45">
        <v>-4.34274418546</v>
      </c>
      <c r="G45" s="34">
        <f t="shared" si="0"/>
        <v>29.081399783036382</v>
      </c>
    </row>
    <row r="46" spans="1:10" x14ac:dyDescent="0.25">
      <c r="A46" t="s">
        <v>1616</v>
      </c>
      <c r="B46" s="8">
        <v>42113</v>
      </c>
      <c r="C46">
        <v>212</v>
      </c>
      <c r="D46">
        <v>29.35</v>
      </c>
      <c r="E46">
        <v>41.385475616000001</v>
      </c>
      <c r="F46">
        <v>-4.34274418546</v>
      </c>
      <c r="G46" s="34">
        <f t="shared" si="0"/>
        <v>29.081399783036382</v>
      </c>
    </row>
    <row r="47" spans="1:10" x14ac:dyDescent="0.25">
      <c r="A47" t="s">
        <v>1618</v>
      </c>
      <c r="B47" s="8">
        <v>42113</v>
      </c>
      <c r="C47">
        <v>74</v>
      </c>
      <c r="D47">
        <v>35</v>
      </c>
      <c r="E47">
        <v>34.438799068900003</v>
      </c>
      <c r="F47">
        <v>-1.81128408771</v>
      </c>
      <c r="G47" s="34">
        <f t="shared" si="0"/>
        <v>1.629560107416143</v>
      </c>
    </row>
    <row r="48" spans="1:10" x14ac:dyDescent="0.25">
      <c r="A48" t="s">
        <v>1622</v>
      </c>
      <c r="B48" s="8">
        <v>42112</v>
      </c>
      <c r="C48">
        <v>152</v>
      </c>
      <c r="D48">
        <v>40</v>
      </c>
      <c r="E48">
        <v>35.733209389000002</v>
      </c>
      <c r="F48">
        <v>-2.1961853409600001</v>
      </c>
      <c r="G48" s="34">
        <f t="shared" si="0"/>
        <v>11.940686783968173</v>
      </c>
      <c r="I48" t="s">
        <v>1625</v>
      </c>
    </row>
    <row r="49" spans="1:7" x14ac:dyDescent="0.25">
      <c r="A49" t="s">
        <v>1623</v>
      </c>
      <c r="B49" s="8">
        <v>42111</v>
      </c>
      <c r="C49">
        <v>247</v>
      </c>
      <c r="D49">
        <v>60.5</v>
      </c>
      <c r="E49">
        <v>40.864175090899998</v>
      </c>
      <c r="F49">
        <v>-1.7805136725599999</v>
      </c>
      <c r="G49" s="34">
        <f t="shared" si="0"/>
        <v>48.051440816855454</v>
      </c>
    </row>
    <row r="50" spans="1:7" x14ac:dyDescent="0.25">
      <c r="A50" t="s">
        <v>1624</v>
      </c>
      <c r="B50" s="8">
        <v>42111</v>
      </c>
      <c r="C50">
        <v>55</v>
      </c>
      <c r="D50">
        <v>70</v>
      </c>
      <c r="E50">
        <v>34.549463538600001</v>
      </c>
      <c r="F50">
        <v>-8.5235784503000005</v>
      </c>
      <c r="G50" s="34">
        <f>ABS(D50-E50)/E50*100</f>
        <v>102.6080663214735</v>
      </c>
    </row>
  </sheetData>
  <pageMargins left="0.7" right="0.7" top="0.75" bottom="0.75" header="0.3" footer="0.3"/>
  <pageSetup orientation="portrait" horizontalDpi="0" verticalDpi="0"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O60"/>
  <sheetViews>
    <sheetView workbookViewId="0">
      <selection activeCell="A29" sqref="A29"/>
    </sheetView>
  </sheetViews>
  <sheetFormatPr defaultRowHeight="15" x14ac:dyDescent="0.25"/>
  <cols>
    <col min="1" max="1" width="31.140625" bestFit="1" customWidth="1"/>
    <col min="2" max="2" width="33.85546875" bestFit="1" customWidth="1"/>
    <col min="6" max="6" width="17.7109375" bestFit="1" customWidth="1"/>
  </cols>
  <sheetData>
    <row r="1" spans="1:3" x14ac:dyDescent="0.25">
      <c r="A1" t="s">
        <v>58</v>
      </c>
      <c r="B1" t="s">
        <v>4</v>
      </c>
    </row>
    <row r="2" spans="1:3" x14ac:dyDescent="0.25">
      <c r="A2" t="s">
        <v>60</v>
      </c>
      <c r="B2" s="1" t="s">
        <v>726</v>
      </c>
      <c r="C2" s="2"/>
    </row>
    <row r="3" spans="1:3" ht="12.75" customHeight="1" x14ac:dyDescent="0.25">
      <c r="A3" t="s">
        <v>59</v>
      </c>
      <c r="B3" s="3">
        <v>1170</v>
      </c>
    </row>
    <row r="4" spans="1:3" x14ac:dyDescent="0.25">
      <c r="A4" t="s">
        <v>153</v>
      </c>
      <c r="B4" s="4" t="s">
        <v>690</v>
      </c>
    </row>
    <row r="5" spans="1:3" x14ac:dyDescent="0.25">
      <c r="A5" t="s">
        <v>162</v>
      </c>
    </row>
    <row r="6" spans="1:3" x14ac:dyDescent="0.25">
      <c r="A6" t="s">
        <v>163</v>
      </c>
      <c r="B6">
        <v>10000</v>
      </c>
    </row>
    <row r="7" spans="1:3" x14ac:dyDescent="0.25">
      <c r="A7" t="s">
        <v>308</v>
      </c>
      <c r="B7">
        <f>COUNTA('Best Contests'!B:B)+1</f>
        <v>21</v>
      </c>
    </row>
    <row r="8" spans="1:3" x14ac:dyDescent="0.25">
      <c r="A8" t="s">
        <v>318</v>
      </c>
      <c r="B8" s="5">
        <f>COUNTA('Performance Monitoring'!A:A)+1</f>
        <v>3</v>
      </c>
    </row>
    <row r="9" spans="1:3" x14ac:dyDescent="0.25">
      <c r="B9" s="5"/>
    </row>
    <row r="10" spans="1:3" x14ac:dyDescent="0.25">
      <c r="B10" s="5"/>
    </row>
    <row r="11" spans="1:3" x14ac:dyDescent="0.25">
      <c r="B11" s="5"/>
    </row>
    <row r="12" spans="1:3" x14ac:dyDescent="0.25">
      <c r="A12" s="18"/>
    </row>
    <row r="13" spans="1:3" x14ac:dyDescent="0.25">
      <c r="A13" s="5"/>
    </row>
    <row r="14" spans="1:3" x14ac:dyDescent="0.25">
      <c r="A14" s="5"/>
    </row>
    <row r="15" spans="1:3" x14ac:dyDescent="0.25">
      <c r="A15" s="5"/>
    </row>
    <row r="18" spans="1:15" x14ac:dyDescent="0.25">
      <c r="C18" s="5"/>
      <c r="D18" s="5"/>
      <c r="E18" s="5"/>
      <c r="F18" s="5"/>
      <c r="G18" s="5"/>
      <c r="H18" s="20"/>
      <c r="I18" s="5"/>
      <c r="J18" s="20"/>
      <c r="K18" s="20"/>
      <c r="L18" s="5"/>
      <c r="M18" s="21"/>
      <c r="N18" s="21"/>
    </row>
    <row r="19" spans="1:15" x14ac:dyDescent="0.25">
      <c r="A19" s="7"/>
      <c r="C19" s="5"/>
      <c r="D19" s="5"/>
      <c r="E19" s="5"/>
      <c r="F19" s="5"/>
      <c r="G19" s="5"/>
      <c r="H19" s="20"/>
      <c r="I19" s="5"/>
      <c r="J19" s="20"/>
      <c r="K19" s="20"/>
      <c r="L19" s="5"/>
      <c r="M19" s="21"/>
      <c r="N19" s="21"/>
    </row>
    <row r="20" spans="1:15" x14ac:dyDescent="0.25">
      <c r="A20" s="5"/>
      <c r="D20" s="5"/>
      <c r="E20" s="5"/>
      <c r="F20" s="5"/>
      <c r="G20" s="5"/>
      <c r="H20" s="5"/>
      <c r="I20" s="20"/>
      <c r="J20" s="5"/>
      <c r="K20" s="20"/>
      <c r="L20" s="20"/>
      <c r="M20" s="5"/>
      <c r="N20" s="21"/>
      <c r="O20" s="21"/>
    </row>
    <row r="21" spans="1:15" x14ac:dyDescent="0.25">
      <c r="A21" s="5"/>
      <c r="D21" s="5"/>
      <c r="E21" s="5"/>
      <c r="F21" s="5"/>
      <c r="G21" s="5"/>
      <c r="H21" s="5"/>
      <c r="I21" s="20"/>
      <c r="J21" s="5"/>
      <c r="K21" s="20"/>
      <c r="L21" s="20"/>
      <c r="M21" s="5"/>
      <c r="N21" s="21"/>
      <c r="O21" s="21"/>
    </row>
    <row r="22" spans="1:15" x14ac:dyDescent="0.25">
      <c r="A22" s="5"/>
      <c r="D22" s="5"/>
      <c r="E22" s="5"/>
      <c r="F22" s="5"/>
      <c r="G22" s="5"/>
      <c r="H22" s="5"/>
      <c r="I22" s="20"/>
      <c r="J22" s="5"/>
      <c r="K22" s="20"/>
      <c r="L22" s="20"/>
      <c r="M22" s="5"/>
      <c r="N22" s="21"/>
      <c r="O22" s="21"/>
    </row>
    <row r="23" spans="1:15" x14ac:dyDescent="0.25">
      <c r="A23" s="5"/>
      <c r="D23" s="5"/>
      <c r="E23" s="5"/>
      <c r="F23" s="5"/>
      <c r="G23" s="5"/>
      <c r="H23" s="5"/>
      <c r="I23" s="20"/>
      <c r="J23" s="5"/>
      <c r="K23" s="20"/>
      <c r="L23" s="20"/>
      <c r="M23" s="5"/>
      <c r="N23" s="21"/>
      <c r="O23" s="21"/>
    </row>
    <row r="24" spans="1:15" hidden="1" x14ac:dyDescent="0.25">
      <c r="A24" s="5"/>
      <c r="D24" s="5"/>
      <c r="E24" s="5"/>
      <c r="F24" s="5"/>
      <c r="G24" s="5"/>
      <c r="H24" s="5"/>
      <c r="I24" s="20"/>
      <c r="J24" s="5"/>
      <c r="K24" s="20"/>
      <c r="L24" s="20"/>
      <c r="M24" s="5"/>
      <c r="N24" s="21"/>
      <c r="O24" s="21"/>
    </row>
    <row r="25" spans="1:15" x14ac:dyDescent="0.25">
      <c r="A25" s="5"/>
      <c r="D25" s="5"/>
      <c r="E25" s="5"/>
      <c r="F25" s="5"/>
      <c r="G25" s="5"/>
      <c r="H25" s="5"/>
      <c r="I25" s="20"/>
      <c r="J25" s="5"/>
      <c r="K25" s="20"/>
      <c r="L25" s="20"/>
      <c r="M25" s="5"/>
      <c r="N25" s="21"/>
      <c r="O25" s="21"/>
    </row>
    <row r="26" spans="1:15" x14ac:dyDescent="0.25">
      <c r="A26" s="5"/>
      <c r="D26" s="5"/>
      <c r="E26" s="5"/>
      <c r="F26" s="5"/>
      <c r="G26" s="5"/>
      <c r="H26" s="5"/>
      <c r="I26" s="20"/>
      <c r="J26" s="5"/>
      <c r="K26" s="20"/>
      <c r="L26" s="20"/>
      <c r="M26" s="5"/>
      <c r="N26" s="21"/>
      <c r="O26" s="21"/>
    </row>
    <row r="27" spans="1:15" x14ac:dyDescent="0.25">
      <c r="A27" s="5"/>
      <c r="D27" s="5"/>
      <c r="E27" s="5"/>
      <c r="F27" s="5"/>
      <c r="G27" s="5"/>
      <c r="H27" s="5"/>
      <c r="I27" s="5"/>
      <c r="J27" s="5"/>
      <c r="K27" s="20"/>
      <c r="L27" s="20"/>
      <c r="M27" s="5"/>
      <c r="O27" s="21"/>
    </row>
    <row r="28" spans="1:15" x14ac:dyDescent="0.25">
      <c r="A28" s="5"/>
      <c r="D28" s="5"/>
      <c r="E28" s="5"/>
      <c r="F28" s="5"/>
      <c r="G28" s="5"/>
      <c r="H28" s="5"/>
      <c r="I28" s="5"/>
      <c r="J28" s="5"/>
      <c r="K28" s="5"/>
      <c r="L28" s="20"/>
      <c r="M28" s="5"/>
      <c r="O28" s="21"/>
    </row>
    <row r="29" spans="1:15" x14ac:dyDescent="0.25">
      <c r="D29" s="5"/>
      <c r="E29" s="5"/>
      <c r="F29" s="5"/>
      <c r="G29" s="5"/>
      <c r="H29" s="5"/>
      <c r="I29" s="5"/>
      <c r="J29" s="5"/>
      <c r="K29" s="5"/>
      <c r="L29" s="5"/>
      <c r="M29" s="5"/>
    </row>
    <row r="30" spans="1:15" s="5" customFormat="1" x14ac:dyDescent="0.25">
      <c r="A30" s="7"/>
    </row>
    <row r="31" spans="1:15" s="5" customFormat="1" x14ac:dyDescent="0.25"/>
    <row r="32" spans="1:15" s="5" customFormat="1" x14ac:dyDescent="0.25"/>
    <row r="33" spans="1:13" s="5" customFormat="1" x14ac:dyDescent="0.25"/>
    <row r="34" spans="1:13" s="5" customFormat="1" x14ac:dyDescent="0.25"/>
    <row r="35" spans="1:13" s="5" customFormat="1" x14ac:dyDescent="0.25"/>
    <row r="36" spans="1:13" s="5" customFormat="1" x14ac:dyDescent="0.25"/>
    <row r="37" spans="1:13" s="5" customFormat="1" x14ac:dyDescent="0.25"/>
    <row r="38" spans="1:13" s="5" customFormat="1" x14ac:dyDescent="0.25"/>
    <row r="39" spans="1:13" s="5" customFormat="1" x14ac:dyDescent="0.25"/>
    <row r="40" spans="1:13" s="5" customFormat="1" x14ac:dyDescent="0.25"/>
    <row r="41" spans="1:13" x14ac:dyDescent="0.25">
      <c r="A41" s="7"/>
      <c r="D41" s="5"/>
      <c r="E41" s="5"/>
      <c r="F41" s="5"/>
      <c r="G41" s="5"/>
      <c r="H41" s="20"/>
      <c r="I41" s="5"/>
      <c r="J41" s="5"/>
      <c r="K41" s="5"/>
      <c r="L41" s="21"/>
      <c r="M41" s="5"/>
    </row>
    <row r="42" spans="1:13" x14ac:dyDescent="0.25">
      <c r="A42" s="5"/>
      <c r="D42" s="5"/>
      <c r="E42" s="5"/>
      <c r="F42" s="5"/>
      <c r="G42" s="5"/>
      <c r="H42" s="20"/>
      <c r="I42" s="5"/>
      <c r="J42" s="5"/>
      <c r="K42" s="5"/>
      <c r="L42" s="21"/>
      <c r="M42" s="5"/>
    </row>
    <row r="43" spans="1:13" x14ac:dyDescent="0.25">
      <c r="A43" s="5"/>
      <c r="D43" s="5"/>
      <c r="E43" s="5"/>
      <c r="F43" s="5"/>
      <c r="G43" s="5"/>
      <c r="H43" s="20"/>
      <c r="I43" s="5"/>
      <c r="J43" s="5"/>
      <c r="K43" s="5"/>
      <c r="L43" s="21"/>
      <c r="M43" s="5"/>
    </row>
    <row r="44" spans="1:13" x14ac:dyDescent="0.25">
      <c r="A44" s="5"/>
      <c r="D44" s="5"/>
      <c r="E44" s="5"/>
      <c r="F44" s="5"/>
      <c r="G44" s="5"/>
      <c r="H44" s="20"/>
      <c r="I44" s="5"/>
      <c r="J44" s="5"/>
      <c r="K44" s="5"/>
      <c r="L44" s="21"/>
      <c r="M44" s="5"/>
    </row>
    <row r="45" spans="1:13" x14ac:dyDescent="0.25">
      <c r="A45" s="5"/>
      <c r="D45" s="5"/>
      <c r="E45" s="5"/>
      <c r="F45" s="5"/>
      <c r="G45" s="5"/>
      <c r="H45" s="20"/>
      <c r="I45" s="5"/>
      <c r="J45" s="5"/>
      <c r="K45" s="5"/>
      <c r="L45" s="21"/>
      <c r="M45" s="5"/>
    </row>
    <row r="46" spans="1:13" x14ac:dyDescent="0.25">
      <c r="A46" s="5"/>
      <c r="D46" s="5"/>
      <c r="E46" s="5"/>
      <c r="F46" s="5"/>
      <c r="G46" s="5"/>
      <c r="H46" s="20"/>
      <c r="I46" s="5"/>
      <c r="J46" s="5"/>
      <c r="K46" s="5"/>
      <c r="L46" s="21"/>
      <c r="M46" s="5"/>
    </row>
    <row r="47" spans="1:13" x14ac:dyDescent="0.25">
      <c r="A47" s="5"/>
      <c r="D47" s="5"/>
      <c r="E47" s="5"/>
      <c r="F47" s="5"/>
      <c r="G47" s="5"/>
      <c r="H47" s="20"/>
      <c r="I47" s="5"/>
      <c r="J47" s="5"/>
      <c r="K47" s="5"/>
      <c r="L47" s="21"/>
      <c r="M47" s="5"/>
    </row>
    <row r="48" spans="1:13" x14ac:dyDescent="0.25">
      <c r="A48" s="5"/>
      <c r="D48" s="5"/>
      <c r="E48" s="5"/>
      <c r="F48" s="5"/>
      <c r="G48" s="5"/>
      <c r="H48" s="20"/>
      <c r="I48" s="5"/>
      <c r="J48" s="5"/>
      <c r="K48" s="5"/>
      <c r="L48" s="21"/>
      <c r="M48" s="5"/>
    </row>
    <row r="49" spans="1:13" x14ac:dyDescent="0.25">
      <c r="A49" s="5"/>
      <c r="D49" s="5"/>
      <c r="E49" s="5"/>
      <c r="F49" s="5"/>
      <c r="G49" s="5"/>
      <c r="H49" s="20"/>
      <c r="I49" s="5"/>
      <c r="J49" s="5"/>
      <c r="K49" s="5"/>
      <c r="L49" s="21"/>
      <c r="M49" s="5"/>
    </row>
    <row r="50" spans="1:13" x14ac:dyDescent="0.25">
      <c r="A50" s="5"/>
      <c r="D50" s="5"/>
      <c r="E50" s="5"/>
      <c r="F50" s="5"/>
      <c r="G50" s="5"/>
      <c r="H50" s="5"/>
      <c r="I50" s="5"/>
      <c r="J50" s="5"/>
      <c r="K50" s="5"/>
      <c r="L50" s="5"/>
      <c r="M50" s="5"/>
    </row>
    <row r="51" spans="1:13" x14ac:dyDescent="0.25">
      <c r="D51" s="5"/>
      <c r="E51" s="5"/>
      <c r="F51" s="5"/>
      <c r="G51" s="5"/>
      <c r="H51" s="5"/>
      <c r="I51" s="20"/>
      <c r="J51" s="5"/>
      <c r="K51" s="5"/>
      <c r="L51" s="21"/>
      <c r="M51" s="5"/>
    </row>
    <row r="52" spans="1:13" x14ac:dyDescent="0.25">
      <c r="D52" s="5"/>
      <c r="E52" s="5"/>
      <c r="F52" s="5"/>
      <c r="G52" s="5"/>
      <c r="H52" s="5"/>
      <c r="I52" s="20"/>
      <c r="J52" s="5"/>
      <c r="K52" s="5"/>
      <c r="L52" s="21"/>
      <c r="M52" s="5"/>
    </row>
    <row r="53" spans="1:13" x14ac:dyDescent="0.25">
      <c r="D53" s="5"/>
      <c r="E53" s="5"/>
      <c r="F53" s="5"/>
      <c r="G53" s="5"/>
      <c r="H53" s="5"/>
      <c r="I53" s="20"/>
      <c r="J53" s="5"/>
      <c r="K53" s="5"/>
      <c r="L53" s="21"/>
      <c r="M53" s="5"/>
    </row>
    <row r="54" spans="1:13" x14ac:dyDescent="0.25">
      <c r="D54" s="5"/>
      <c r="E54" s="5"/>
      <c r="F54" s="5"/>
      <c r="G54" s="5"/>
      <c r="H54" s="5"/>
      <c r="I54" s="20"/>
      <c r="J54" s="5"/>
      <c r="K54" s="5"/>
      <c r="L54" s="21"/>
      <c r="M54" s="5"/>
    </row>
    <row r="55" spans="1:13" x14ac:dyDescent="0.25">
      <c r="A55" s="7" t="s">
        <v>728</v>
      </c>
      <c r="D55" s="5"/>
      <c r="E55" s="5"/>
      <c r="F55" s="5"/>
      <c r="G55" s="5"/>
      <c r="H55" s="5"/>
      <c r="I55" s="20"/>
      <c r="J55" s="5"/>
      <c r="K55" s="5"/>
      <c r="L55" s="21"/>
      <c r="M55" s="5"/>
    </row>
    <row r="56" spans="1:13" x14ac:dyDescent="0.25">
      <c r="D56" s="5"/>
      <c r="E56" s="5"/>
      <c r="F56" s="5"/>
      <c r="G56" s="5"/>
      <c r="H56" s="5"/>
      <c r="I56" s="20"/>
      <c r="J56" s="5"/>
      <c r="K56" s="5"/>
      <c r="L56" s="21"/>
      <c r="M56" s="5"/>
    </row>
    <row r="57" spans="1:13" x14ac:dyDescent="0.25">
      <c r="D57" s="5"/>
      <c r="E57" s="5"/>
      <c r="F57" s="5"/>
      <c r="G57" s="5"/>
      <c r="H57" s="5"/>
      <c r="I57" s="20"/>
      <c r="J57" s="5"/>
      <c r="K57" s="5"/>
      <c r="L57" s="21"/>
      <c r="M57" s="5"/>
    </row>
    <row r="58" spans="1:13" x14ac:dyDescent="0.25">
      <c r="D58" s="5"/>
      <c r="E58" s="5"/>
      <c r="F58" s="5"/>
      <c r="G58" s="5"/>
      <c r="H58" s="5"/>
      <c r="I58" s="20"/>
      <c r="J58" s="5"/>
      <c r="K58" s="5"/>
      <c r="L58" s="21"/>
      <c r="M58" s="5"/>
    </row>
    <row r="59" spans="1:13" x14ac:dyDescent="0.25">
      <c r="D59" s="5"/>
      <c r="E59" s="5"/>
      <c r="F59" s="5"/>
      <c r="G59" s="5"/>
      <c r="H59" s="5"/>
      <c r="I59" s="20"/>
      <c r="J59" s="5"/>
      <c r="K59" s="5"/>
      <c r="L59" s="21"/>
      <c r="M59" s="5"/>
    </row>
    <row r="60" spans="1:13" x14ac:dyDescent="0.25">
      <c r="D60" s="5"/>
    </row>
  </sheetData>
  <hyperlinks>
    <hyperlink ref="B2"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Macro2">
                <anchor moveWithCells="1" sizeWithCells="1">
                  <from>
                    <xdr:col>0</xdr:col>
                    <xdr:colOff>123825</xdr:colOff>
                    <xdr:row>50</xdr:row>
                    <xdr:rowOff>152400</xdr:rowOff>
                  </from>
                  <to>
                    <xdr:col>0</xdr:col>
                    <xdr:colOff>1409700</xdr:colOff>
                    <xdr:row>52</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384"/>
  <sheetViews>
    <sheetView workbookViewId="0">
      <selection activeCell="O3" sqref="O3"/>
    </sheetView>
  </sheetViews>
  <sheetFormatPr defaultRowHeight="15" x14ac:dyDescent="0.25"/>
  <cols>
    <col min="1" max="1" width="14.42578125" bestFit="1" customWidth="1"/>
    <col min="2" max="2" width="16.42578125" bestFit="1" customWidth="1"/>
    <col min="3" max="3" width="11.140625" bestFit="1" customWidth="1"/>
    <col min="4" max="4" width="11" bestFit="1" customWidth="1"/>
    <col min="14" max="15" width="21.140625" style="5" bestFit="1" customWidth="1"/>
    <col min="16" max="16" width="21.140625" style="5" customWidth="1"/>
    <col min="17" max="17" width="18.7109375" style="5" bestFit="1" customWidth="1"/>
    <col min="20" max="20" width="18.140625" bestFit="1" customWidth="1"/>
    <col min="21" max="21" width="21" bestFit="1" customWidth="1"/>
  </cols>
  <sheetData>
    <row r="1" spans="1:21" s="5" customFormat="1" ht="45" x14ac:dyDescent="0.25">
      <c r="N1" s="23" t="s">
        <v>1435</v>
      </c>
      <c r="O1" s="23" t="s">
        <v>1436</v>
      </c>
      <c r="P1" s="23"/>
      <c r="Q1" s="27" t="s">
        <v>1434</v>
      </c>
      <c r="T1" s="29" t="s">
        <v>1537</v>
      </c>
      <c r="U1" s="29" t="s">
        <v>1538</v>
      </c>
    </row>
    <row r="2" spans="1:21" x14ac:dyDescent="0.25">
      <c r="A2" t="s">
        <v>691</v>
      </c>
      <c r="B2" t="s">
        <v>424</v>
      </c>
      <c r="C2" t="s">
        <v>111</v>
      </c>
      <c r="D2" t="s">
        <v>175</v>
      </c>
      <c r="E2" t="s">
        <v>198</v>
      </c>
      <c r="F2" t="s">
        <v>199</v>
      </c>
      <c r="G2" t="s">
        <v>240</v>
      </c>
      <c r="H2" t="s">
        <v>200</v>
      </c>
      <c r="I2" t="s">
        <v>176</v>
      </c>
      <c r="J2" t="s">
        <v>177</v>
      </c>
      <c r="K2" t="s">
        <v>249</v>
      </c>
      <c r="N2" s="5" t="s">
        <v>1148</v>
      </c>
      <c r="O2" s="5" t="s">
        <v>1149</v>
      </c>
      <c r="Q2" s="7" t="s">
        <v>1511</v>
      </c>
      <c r="T2" s="36" t="s">
        <v>919</v>
      </c>
      <c r="U2" s="36" t="s">
        <v>849</v>
      </c>
    </row>
    <row r="3" spans="1:21" x14ac:dyDescent="0.25">
      <c r="A3" t="s">
        <v>692</v>
      </c>
      <c r="B3" t="s">
        <v>188</v>
      </c>
      <c r="C3" t="s">
        <v>187</v>
      </c>
      <c r="D3" t="s">
        <v>356</v>
      </c>
      <c r="E3" t="s">
        <v>605</v>
      </c>
      <c r="F3" t="s">
        <v>347</v>
      </c>
      <c r="G3" t="s">
        <v>351</v>
      </c>
      <c r="H3" t="s">
        <v>348</v>
      </c>
      <c r="I3" t="s">
        <v>352</v>
      </c>
      <c r="J3" t="s">
        <v>210</v>
      </c>
      <c r="K3" t="s">
        <v>186</v>
      </c>
      <c r="N3" s="5" t="s">
        <v>1025</v>
      </c>
      <c r="O3" s="5" t="s">
        <v>1026</v>
      </c>
      <c r="Q3" s="7" t="s">
        <v>1512</v>
      </c>
      <c r="T3" s="35" t="s">
        <v>1526</v>
      </c>
      <c r="U3" s="35" t="s">
        <v>1536</v>
      </c>
    </row>
    <row r="4" spans="1:21" x14ac:dyDescent="0.25">
      <c r="A4" t="s">
        <v>592</v>
      </c>
      <c r="B4" t="s">
        <v>220</v>
      </c>
      <c r="C4" t="s">
        <v>402</v>
      </c>
      <c r="D4" t="s">
        <v>522</v>
      </c>
      <c r="E4" t="s">
        <v>269</v>
      </c>
      <c r="F4" t="s">
        <v>302</v>
      </c>
      <c r="G4" t="s">
        <v>303</v>
      </c>
      <c r="H4" t="s">
        <v>353</v>
      </c>
      <c r="I4" t="s">
        <v>354</v>
      </c>
      <c r="J4" t="s">
        <v>186</v>
      </c>
      <c r="K4" t="s">
        <v>62</v>
      </c>
      <c r="N4" s="5" t="s">
        <v>1001</v>
      </c>
      <c r="O4" s="5" t="s">
        <v>1002</v>
      </c>
      <c r="Q4" s="7" t="s">
        <v>1513</v>
      </c>
      <c r="T4" s="36" t="s">
        <v>1525</v>
      </c>
      <c r="U4" s="36" t="s">
        <v>863</v>
      </c>
    </row>
    <row r="5" spans="1:21" x14ac:dyDescent="0.25">
      <c r="A5" t="s">
        <v>693</v>
      </c>
      <c r="B5" t="s">
        <v>602</v>
      </c>
      <c r="C5" t="s">
        <v>423</v>
      </c>
      <c r="D5" t="s">
        <v>383</v>
      </c>
      <c r="E5" t="s">
        <v>278</v>
      </c>
      <c r="F5" t="s">
        <v>257</v>
      </c>
      <c r="G5" t="s">
        <v>237</v>
      </c>
      <c r="H5" t="s">
        <v>216</v>
      </c>
      <c r="I5" t="s">
        <v>216</v>
      </c>
      <c r="J5" t="s">
        <v>200</v>
      </c>
      <c r="K5" t="s">
        <v>241</v>
      </c>
      <c r="L5" t="s">
        <v>286</v>
      </c>
      <c r="M5" t="s">
        <v>286</v>
      </c>
      <c r="N5" s="5" t="s">
        <v>1023</v>
      </c>
      <c r="O5" s="5" t="s">
        <v>1024</v>
      </c>
      <c r="Q5" s="7" t="s">
        <v>894</v>
      </c>
      <c r="T5" s="36" t="s">
        <v>923</v>
      </c>
      <c r="U5" s="36" t="s">
        <v>858</v>
      </c>
    </row>
    <row r="6" spans="1:21" x14ac:dyDescent="0.25">
      <c r="A6" t="s">
        <v>639</v>
      </c>
      <c r="B6" t="s">
        <v>342</v>
      </c>
      <c r="C6" t="s">
        <v>303</v>
      </c>
      <c r="D6" t="s">
        <v>638</v>
      </c>
      <c r="E6" t="s">
        <v>253</v>
      </c>
      <c r="F6" t="s">
        <v>300</v>
      </c>
      <c r="G6" t="s">
        <v>257</v>
      </c>
      <c r="H6" t="s">
        <v>255</v>
      </c>
      <c r="I6" t="s">
        <v>241</v>
      </c>
      <c r="J6" t="s">
        <v>338</v>
      </c>
      <c r="K6" t="s">
        <v>67</v>
      </c>
      <c r="N6" s="5" t="s">
        <v>1215</v>
      </c>
      <c r="O6" s="5" t="s">
        <v>1216</v>
      </c>
      <c r="Q6" s="7" t="s">
        <v>1514</v>
      </c>
      <c r="T6" s="36" t="s">
        <v>892</v>
      </c>
      <c r="U6" s="36" t="s">
        <v>809</v>
      </c>
    </row>
    <row r="7" spans="1:21" x14ac:dyDescent="0.25">
      <c r="A7" t="s">
        <v>645</v>
      </c>
      <c r="B7" t="s">
        <v>646</v>
      </c>
      <c r="C7" t="s">
        <v>647</v>
      </c>
      <c r="D7" t="s">
        <v>438</v>
      </c>
      <c r="E7" t="s">
        <v>439</v>
      </c>
      <c r="F7" t="s">
        <v>440</v>
      </c>
      <c r="G7" t="s">
        <v>234</v>
      </c>
      <c r="H7" t="s">
        <v>441</v>
      </c>
      <c r="I7" t="s">
        <v>442</v>
      </c>
      <c r="J7" t="s">
        <v>269</v>
      </c>
      <c r="K7" t="s">
        <v>354</v>
      </c>
      <c r="N7" s="5" t="s">
        <v>1162</v>
      </c>
      <c r="O7" s="5" t="s">
        <v>1163</v>
      </c>
      <c r="Q7" s="7" t="s">
        <v>896</v>
      </c>
      <c r="T7" s="35" t="s">
        <v>1531</v>
      </c>
      <c r="U7" s="35" t="s">
        <v>1535</v>
      </c>
    </row>
    <row r="8" spans="1:21" x14ac:dyDescent="0.25">
      <c r="A8" t="s">
        <v>694</v>
      </c>
      <c r="B8" t="s">
        <v>614</v>
      </c>
      <c r="C8" t="s">
        <v>251</v>
      </c>
      <c r="D8" t="s">
        <v>638</v>
      </c>
      <c r="E8" t="s">
        <v>343</v>
      </c>
      <c r="F8" t="s">
        <v>358</v>
      </c>
      <c r="G8" t="s">
        <v>237</v>
      </c>
      <c r="H8" t="s">
        <v>257</v>
      </c>
      <c r="I8" t="s">
        <v>255</v>
      </c>
      <c r="J8" t="s">
        <v>255</v>
      </c>
      <c r="N8" s="5" t="s">
        <v>1215</v>
      </c>
      <c r="O8" s="5" t="s">
        <v>1163</v>
      </c>
      <c r="Q8" s="7" t="s">
        <v>953</v>
      </c>
      <c r="T8" s="36" t="s">
        <v>1485</v>
      </c>
      <c r="U8" s="36" t="s">
        <v>1484</v>
      </c>
    </row>
    <row r="9" spans="1:21" x14ac:dyDescent="0.25">
      <c r="A9" t="s">
        <v>596</v>
      </c>
      <c r="B9" t="s">
        <v>549</v>
      </c>
      <c r="C9" t="s">
        <v>520</v>
      </c>
      <c r="D9" t="s">
        <v>299</v>
      </c>
      <c r="E9" t="s">
        <v>266</v>
      </c>
      <c r="F9" t="s">
        <v>267</v>
      </c>
      <c r="G9" t="s">
        <v>183</v>
      </c>
      <c r="H9" t="s">
        <v>216</v>
      </c>
      <c r="I9" t="s">
        <v>200</v>
      </c>
      <c r="J9" t="s">
        <v>241</v>
      </c>
      <c r="K9" t="s">
        <v>338</v>
      </c>
      <c r="N9" s="5" t="s">
        <v>1305</v>
      </c>
      <c r="O9" s="5" t="s">
        <v>1163</v>
      </c>
      <c r="Q9" s="7" t="s">
        <v>897</v>
      </c>
      <c r="T9" s="36" t="s">
        <v>915</v>
      </c>
      <c r="U9" s="36" t="s">
        <v>843</v>
      </c>
    </row>
    <row r="10" spans="1:21" x14ac:dyDescent="0.25">
      <c r="A10" t="s">
        <v>648</v>
      </c>
      <c r="B10" t="s">
        <v>401</v>
      </c>
      <c r="C10" t="s">
        <v>649</v>
      </c>
      <c r="D10" t="s">
        <v>73</v>
      </c>
      <c r="E10" t="s">
        <v>384</v>
      </c>
      <c r="F10" t="s">
        <v>358</v>
      </c>
      <c r="G10" t="s">
        <v>351</v>
      </c>
      <c r="H10" t="s">
        <v>408</v>
      </c>
      <c r="I10" t="s">
        <v>348</v>
      </c>
      <c r="J10" t="s">
        <v>352</v>
      </c>
      <c r="K10" t="s">
        <v>210</v>
      </c>
      <c r="N10" s="5" t="s">
        <v>1112</v>
      </c>
      <c r="O10" s="5" t="s">
        <v>1113</v>
      </c>
      <c r="Q10" s="7" t="s">
        <v>898</v>
      </c>
      <c r="T10" s="36" t="s">
        <v>884</v>
      </c>
      <c r="U10" s="36" t="s">
        <v>790</v>
      </c>
    </row>
    <row r="11" spans="1:21" x14ac:dyDescent="0.25">
      <c r="A11" t="s">
        <v>640</v>
      </c>
      <c r="B11" t="s">
        <v>641</v>
      </c>
      <c r="C11" t="s">
        <v>634</v>
      </c>
      <c r="D11" t="s">
        <v>355</v>
      </c>
      <c r="E11" t="s">
        <v>343</v>
      </c>
      <c r="F11" t="s">
        <v>267</v>
      </c>
      <c r="G11" t="s">
        <v>257</v>
      </c>
      <c r="H11" t="s">
        <v>255</v>
      </c>
      <c r="I11" t="s">
        <v>255</v>
      </c>
      <c r="J11" t="s">
        <v>352</v>
      </c>
      <c r="K11" t="s">
        <v>210</v>
      </c>
      <c r="N11" s="5" t="s">
        <v>1299</v>
      </c>
      <c r="O11" s="5" t="s">
        <v>1300</v>
      </c>
      <c r="Q11" s="7" t="s">
        <v>899</v>
      </c>
      <c r="T11" s="36" t="s">
        <v>889</v>
      </c>
      <c r="U11" s="36" t="s">
        <v>806</v>
      </c>
    </row>
    <row r="12" spans="1:21" x14ac:dyDescent="0.25">
      <c r="A12" t="s">
        <v>365</v>
      </c>
      <c r="B12" t="s">
        <v>366</v>
      </c>
      <c r="C12" t="s">
        <v>256</v>
      </c>
      <c r="D12" t="s">
        <v>180</v>
      </c>
      <c r="E12" t="s">
        <v>182</v>
      </c>
      <c r="F12" t="s">
        <v>183</v>
      </c>
      <c r="G12" t="s">
        <v>337</v>
      </c>
      <c r="H12" t="s">
        <v>255</v>
      </c>
      <c r="I12" t="s">
        <v>257</v>
      </c>
      <c r="J12" t="s">
        <v>255</v>
      </c>
      <c r="K12" t="s">
        <v>373</v>
      </c>
      <c r="N12" s="5" t="s">
        <v>1050</v>
      </c>
      <c r="O12" s="5" t="s">
        <v>1051</v>
      </c>
      <c r="Q12" s="7" t="s">
        <v>904</v>
      </c>
      <c r="T12" s="35" t="s">
        <v>1529</v>
      </c>
      <c r="U12" s="35" t="s">
        <v>1534</v>
      </c>
    </row>
    <row r="13" spans="1:21" x14ac:dyDescent="0.25">
      <c r="A13" t="s">
        <v>695</v>
      </c>
      <c r="B13" t="s">
        <v>603</v>
      </c>
      <c r="C13" t="s">
        <v>696</v>
      </c>
      <c r="D13" t="s">
        <v>180</v>
      </c>
      <c r="E13" t="s">
        <v>182</v>
      </c>
      <c r="F13" t="s">
        <v>183</v>
      </c>
      <c r="G13" t="s">
        <v>216</v>
      </c>
      <c r="H13" t="s">
        <v>408</v>
      </c>
      <c r="I13" t="s">
        <v>348</v>
      </c>
      <c r="J13" t="s">
        <v>352</v>
      </c>
      <c r="K13" t="s">
        <v>210</v>
      </c>
      <c r="N13" s="5" t="s">
        <v>732</v>
      </c>
      <c r="O13" s="5" t="s">
        <v>1260</v>
      </c>
      <c r="Q13" s="7" t="s">
        <v>905</v>
      </c>
      <c r="T13" s="36" t="s">
        <v>893</v>
      </c>
      <c r="U13" s="36" t="s">
        <v>792</v>
      </c>
    </row>
    <row r="14" spans="1:21" x14ac:dyDescent="0.25">
      <c r="A14" t="s">
        <v>410</v>
      </c>
      <c r="B14" t="s">
        <v>655</v>
      </c>
      <c r="C14" t="s">
        <v>187</v>
      </c>
      <c r="D14" t="s">
        <v>356</v>
      </c>
      <c r="E14" t="s">
        <v>605</v>
      </c>
      <c r="F14" t="s">
        <v>347</v>
      </c>
      <c r="G14" t="s">
        <v>351</v>
      </c>
      <c r="H14" t="s">
        <v>408</v>
      </c>
      <c r="I14" t="s">
        <v>348</v>
      </c>
      <c r="J14" t="s">
        <v>352</v>
      </c>
      <c r="K14" t="s">
        <v>210</v>
      </c>
      <c r="N14" s="5" t="s">
        <v>1305</v>
      </c>
      <c r="O14" s="5" t="s">
        <v>1306</v>
      </c>
      <c r="Q14" s="7" t="s">
        <v>1515</v>
      </c>
      <c r="T14" s="36" t="s">
        <v>1489</v>
      </c>
      <c r="U14" s="36" t="s">
        <v>1489</v>
      </c>
    </row>
    <row r="15" spans="1:21" x14ac:dyDescent="0.25">
      <c r="A15" t="s">
        <v>697</v>
      </c>
      <c r="B15" t="s">
        <v>549</v>
      </c>
      <c r="C15" t="s">
        <v>183</v>
      </c>
      <c r="D15" t="s">
        <v>180</v>
      </c>
      <c r="E15" t="s">
        <v>182</v>
      </c>
      <c r="F15" t="s">
        <v>183</v>
      </c>
      <c r="G15" t="s">
        <v>257</v>
      </c>
      <c r="H15" t="s">
        <v>255</v>
      </c>
      <c r="I15" t="s">
        <v>348</v>
      </c>
      <c r="J15" t="s">
        <v>352</v>
      </c>
      <c r="K15" t="s">
        <v>210</v>
      </c>
      <c r="N15" s="5" t="s">
        <v>1105</v>
      </c>
      <c r="O15" s="5" t="s">
        <v>1106</v>
      </c>
      <c r="Q15" s="7" t="s">
        <v>1516</v>
      </c>
      <c r="T15" s="36" t="s">
        <v>902</v>
      </c>
      <c r="U15" s="36" t="s">
        <v>819</v>
      </c>
    </row>
    <row r="16" spans="1:21" x14ac:dyDescent="0.25">
      <c r="A16" t="s">
        <v>404</v>
      </c>
      <c r="B16" t="s">
        <v>698</v>
      </c>
      <c r="C16" t="s">
        <v>303</v>
      </c>
      <c r="D16" t="s">
        <v>656</v>
      </c>
      <c r="E16" t="s">
        <v>342</v>
      </c>
      <c r="F16" t="s">
        <v>301</v>
      </c>
      <c r="G16" t="s">
        <v>337</v>
      </c>
      <c r="H16" t="s">
        <v>348</v>
      </c>
      <c r="I16" t="s">
        <v>352</v>
      </c>
      <c r="J16" t="s">
        <v>210</v>
      </c>
      <c r="K16" t="s">
        <v>186</v>
      </c>
      <c r="N16" s="5" t="s">
        <v>1039</v>
      </c>
      <c r="O16" s="5" t="s">
        <v>1040</v>
      </c>
      <c r="Q16" s="7" t="s">
        <v>906</v>
      </c>
      <c r="T16" s="36" t="s">
        <v>903</v>
      </c>
      <c r="U16" s="36" t="s">
        <v>820</v>
      </c>
    </row>
    <row r="17" spans="1:21" x14ac:dyDescent="0.25">
      <c r="A17" t="s">
        <v>651</v>
      </c>
      <c r="B17" t="s">
        <v>215</v>
      </c>
      <c r="C17" t="s">
        <v>369</v>
      </c>
      <c r="D17" t="s">
        <v>111</v>
      </c>
      <c r="E17" t="s">
        <v>67</v>
      </c>
      <c r="F17" t="s">
        <v>194</v>
      </c>
      <c r="G17" t="s">
        <v>216</v>
      </c>
      <c r="H17" t="s">
        <v>348</v>
      </c>
      <c r="I17" t="s">
        <v>352</v>
      </c>
      <c r="J17" t="s">
        <v>210</v>
      </c>
      <c r="K17" t="s">
        <v>186</v>
      </c>
      <c r="N17" s="5" t="s">
        <v>668</v>
      </c>
      <c r="O17" s="5" t="s">
        <v>1099</v>
      </c>
      <c r="Q17" s="7" t="s">
        <v>909</v>
      </c>
      <c r="T17" s="36" t="s">
        <v>1493</v>
      </c>
      <c r="U17" s="36" t="s">
        <v>1492</v>
      </c>
    </row>
    <row r="18" spans="1:21" x14ac:dyDescent="0.25">
      <c r="A18" t="s">
        <v>699</v>
      </c>
      <c r="B18" t="s">
        <v>382</v>
      </c>
      <c r="C18" t="s">
        <v>632</v>
      </c>
      <c r="D18" t="s">
        <v>73</v>
      </c>
      <c r="E18" t="s">
        <v>384</v>
      </c>
      <c r="F18" t="s">
        <v>358</v>
      </c>
      <c r="G18" t="s">
        <v>216</v>
      </c>
      <c r="H18" t="s">
        <v>348</v>
      </c>
      <c r="I18" t="s">
        <v>352</v>
      </c>
      <c r="J18" t="s">
        <v>210</v>
      </c>
      <c r="K18" t="s">
        <v>186</v>
      </c>
      <c r="N18" s="5" t="s">
        <v>754</v>
      </c>
      <c r="O18" s="5" t="s">
        <v>1056</v>
      </c>
      <c r="Q18" s="7" t="s">
        <v>910</v>
      </c>
      <c r="T18" s="35" t="s">
        <v>1528</v>
      </c>
      <c r="U18" s="35" t="s">
        <v>1532</v>
      </c>
    </row>
    <row r="19" spans="1:21" x14ac:dyDescent="0.25">
      <c r="A19" t="s">
        <v>403</v>
      </c>
      <c r="B19" t="s">
        <v>406</v>
      </c>
      <c r="C19" t="s">
        <v>657</v>
      </c>
      <c r="D19" t="s">
        <v>238</v>
      </c>
      <c r="E19" t="s">
        <v>194</v>
      </c>
      <c r="F19" t="s">
        <v>216</v>
      </c>
      <c r="G19" t="s">
        <v>237</v>
      </c>
      <c r="H19" t="s">
        <v>441</v>
      </c>
      <c r="I19" t="s">
        <v>442</v>
      </c>
      <c r="J19" t="s">
        <v>269</v>
      </c>
      <c r="K19" t="s">
        <v>354</v>
      </c>
      <c r="N19" s="5" t="s">
        <v>997</v>
      </c>
      <c r="O19" s="5" t="s">
        <v>998</v>
      </c>
      <c r="Q19" s="7" t="s">
        <v>1517</v>
      </c>
      <c r="T19" s="34" t="s">
        <v>927</v>
      </c>
      <c r="U19" s="34" t="s">
        <v>862</v>
      </c>
    </row>
    <row r="20" spans="1:21" x14ac:dyDescent="0.25">
      <c r="A20" t="s">
        <v>239</v>
      </c>
      <c r="B20" t="s">
        <v>406</v>
      </c>
      <c r="C20" t="s">
        <v>657</v>
      </c>
      <c r="D20" t="s">
        <v>238</v>
      </c>
      <c r="E20" t="s">
        <v>621</v>
      </c>
      <c r="F20" t="s">
        <v>633</v>
      </c>
      <c r="G20" t="s">
        <v>622</v>
      </c>
      <c r="H20" t="s">
        <v>623</v>
      </c>
      <c r="I20" t="s">
        <v>571</v>
      </c>
      <c r="J20" t="s">
        <v>354</v>
      </c>
      <c r="K20" t="s">
        <v>349</v>
      </c>
      <c r="N20" s="5" t="s">
        <v>1203</v>
      </c>
      <c r="O20" s="5" t="s">
        <v>1204</v>
      </c>
      <c r="Q20" s="7" t="s">
        <v>918</v>
      </c>
      <c r="T20" s="35" t="s">
        <v>913</v>
      </c>
      <c r="U20" s="35" t="s">
        <v>847</v>
      </c>
    </row>
    <row r="21" spans="1:21" x14ac:dyDescent="0.25">
      <c r="A21" t="s">
        <v>566</v>
      </c>
      <c r="B21" t="s">
        <v>658</v>
      </c>
      <c r="C21" t="s">
        <v>380</v>
      </c>
      <c r="D21" t="s">
        <v>72</v>
      </c>
      <c r="E21" t="s">
        <v>605</v>
      </c>
      <c r="F21" t="s">
        <v>347</v>
      </c>
      <c r="G21" t="s">
        <v>351</v>
      </c>
      <c r="H21" t="s">
        <v>352</v>
      </c>
      <c r="I21" t="s">
        <v>210</v>
      </c>
      <c r="J21" t="s">
        <v>186</v>
      </c>
      <c r="K21" t="s">
        <v>62</v>
      </c>
      <c r="N21" s="5" t="s">
        <v>1073</v>
      </c>
      <c r="O21" s="5" t="s">
        <v>1074</v>
      </c>
      <c r="Q21" s="7" t="s">
        <v>920</v>
      </c>
      <c r="T21" s="34" t="s">
        <v>1527</v>
      </c>
      <c r="U21" s="34" t="s">
        <v>825</v>
      </c>
    </row>
    <row r="22" spans="1:21" x14ac:dyDescent="0.25">
      <c r="A22" t="s">
        <v>429</v>
      </c>
      <c r="B22" t="s">
        <v>215</v>
      </c>
      <c r="C22" t="s">
        <v>369</v>
      </c>
      <c r="D22" t="s">
        <v>111</v>
      </c>
      <c r="E22" t="s">
        <v>67</v>
      </c>
      <c r="F22" t="s">
        <v>194</v>
      </c>
      <c r="G22" t="s">
        <v>216</v>
      </c>
      <c r="H22" t="s">
        <v>352</v>
      </c>
      <c r="I22" t="s">
        <v>210</v>
      </c>
      <c r="J22" t="s">
        <v>186</v>
      </c>
      <c r="K22" t="s">
        <v>62</v>
      </c>
      <c r="N22" s="5" t="s">
        <v>1368</v>
      </c>
      <c r="O22" s="5" t="s">
        <v>1369</v>
      </c>
      <c r="Q22" s="7" t="s">
        <v>1518</v>
      </c>
      <c r="T22" s="34" t="s">
        <v>911</v>
      </c>
      <c r="U22" s="34" t="s">
        <v>836</v>
      </c>
    </row>
    <row r="23" spans="1:21" x14ac:dyDescent="0.25">
      <c r="A23" t="s">
        <v>700</v>
      </c>
      <c r="B23" t="s">
        <v>211</v>
      </c>
      <c r="C23" t="s">
        <v>177</v>
      </c>
      <c r="D23" t="s">
        <v>213</v>
      </c>
      <c r="E23" t="s">
        <v>214</v>
      </c>
      <c r="F23" t="s">
        <v>339</v>
      </c>
      <c r="G23" t="s">
        <v>337</v>
      </c>
      <c r="H23" t="s">
        <v>187</v>
      </c>
      <c r="I23" t="s">
        <v>357</v>
      </c>
      <c r="J23" t="s">
        <v>254</v>
      </c>
      <c r="K23" t="s">
        <v>349</v>
      </c>
      <c r="N23" s="5" t="s">
        <v>1258</v>
      </c>
      <c r="O23" s="5" t="s">
        <v>1259</v>
      </c>
      <c r="Q23" s="7" t="s">
        <v>922</v>
      </c>
      <c r="T23" s="35" t="s">
        <v>1530</v>
      </c>
      <c r="U23" s="35" t="s">
        <v>1533</v>
      </c>
    </row>
    <row r="24" spans="1:21" x14ac:dyDescent="0.25">
      <c r="A24" t="s">
        <v>270</v>
      </c>
      <c r="B24" t="s">
        <v>271</v>
      </c>
      <c r="C24" t="s">
        <v>272</v>
      </c>
      <c r="D24" t="s">
        <v>273</v>
      </c>
      <c r="E24" t="s">
        <v>274</v>
      </c>
      <c r="F24" t="s">
        <v>275</v>
      </c>
      <c r="G24" t="s">
        <v>237</v>
      </c>
      <c r="N24" s="5" t="s">
        <v>1189</v>
      </c>
      <c r="O24" s="5" t="s">
        <v>1190</v>
      </c>
      <c r="Q24" s="7" t="s">
        <v>924</v>
      </c>
      <c r="T24" s="34" t="s">
        <v>901</v>
      </c>
      <c r="U24" s="34" t="s">
        <v>821</v>
      </c>
    </row>
    <row r="25" spans="1:21" x14ac:dyDescent="0.25">
      <c r="A25" t="s">
        <v>389</v>
      </c>
      <c r="B25" t="s">
        <v>390</v>
      </c>
      <c r="C25" t="s">
        <v>399</v>
      </c>
      <c r="D25" t="s">
        <v>213</v>
      </c>
      <c r="E25" t="s">
        <v>214</v>
      </c>
      <c r="F25" t="s">
        <v>339</v>
      </c>
      <c r="G25" t="s">
        <v>417</v>
      </c>
      <c r="H25" t="s">
        <v>418</v>
      </c>
      <c r="I25" t="s">
        <v>257</v>
      </c>
      <c r="J25" t="s">
        <v>255</v>
      </c>
      <c r="K25" t="s">
        <v>349</v>
      </c>
      <c r="N25" s="5" t="s">
        <v>1037</v>
      </c>
      <c r="O25" s="5" t="s">
        <v>1038</v>
      </c>
      <c r="Q25" s="7" t="s">
        <v>925</v>
      </c>
      <c r="T25" s="34" t="s">
        <v>891</v>
      </c>
      <c r="U25" s="34" t="s">
        <v>807</v>
      </c>
    </row>
    <row r="26" spans="1:21" x14ac:dyDescent="0.25">
      <c r="A26" t="s">
        <v>587</v>
      </c>
      <c r="B26" t="s">
        <v>583</v>
      </c>
      <c r="C26" t="s">
        <v>701</v>
      </c>
      <c r="D26" t="s">
        <v>111</v>
      </c>
      <c r="E26" t="s">
        <v>67</v>
      </c>
      <c r="F26" t="s">
        <v>194</v>
      </c>
      <c r="G26" t="s">
        <v>216</v>
      </c>
      <c r="H26" t="s">
        <v>255</v>
      </c>
      <c r="I26" t="s">
        <v>373</v>
      </c>
      <c r="J26" t="s">
        <v>339</v>
      </c>
      <c r="K26" t="s">
        <v>374</v>
      </c>
      <c r="N26" s="5" t="s">
        <v>1316</v>
      </c>
      <c r="O26" s="5" t="s">
        <v>1317</v>
      </c>
      <c r="Q26" s="7" t="s">
        <v>864</v>
      </c>
      <c r="T26" s="34" t="s">
        <v>926</v>
      </c>
      <c r="U26" s="34" t="s">
        <v>861</v>
      </c>
    </row>
    <row r="27" spans="1:21" x14ac:dyDescent="0.25">
      <c r="A27" t="s">
        <v>702</v>
      </c>
      <c r="B27" t="s">
        <v>703</v>
      </c>
      <c r="C27" t="s">
        <v>613</v>
      </c>
      <c r="D27" t="s">
        <v>636</v>
      </c>
      <c r="E27" t="s">
        <v>253</v>
      </c>
      <c r="F27" t="s">
        <v>300</v>
      </c>
      <c r="G27" t="s">
        <v>257</v>
      </c>
      <c r="H27" t="s">
        <v>255</v>
      </c>
      <c r="I27" t="s">
        <v>357</v>
      </c>
      <c r="J27" t="s">
        <v>254</v>
      </c>
      <c r="K27" t="s">
        <v>349</v>
      </c>
      <c r="N27" s="5" t="s">
        <v>1120</v>
      </c>
      <c r="O27" s="5" t="s">
        <v>1121</v>
      </c>
      <c r="T27" s="34" t="s">
        <v>895</v>
      </c>
      <c r="U27" s="34" t="s">
        <v>814</v>
      </c>
    </row>
    <row r="28" spans="1:21" x14ac:dyDescent="0.25">
      <c r="A28" t="s">
        <v>408</v>
      </c>
      <c r="B28" t="s">
        <v>605</v>
      </c>
      <c r="C28" t="s">
        <v>347</v>
      </c>
      <c r="D28" t="s">
        <v>356</v>
      </c>
      <c r="E28" t="s">
        <v>348</v>
      </c>
      <c r="F28" t="s">
        <v>210</v>
      </c>
      <c r="G28" t="s">
        <v>186</v>
      </c>
      <c r="H28" t="s">
        <v>187</v>
      </c>
      <c r="I28" t="s">
        <v>357</v>
      </c>
      <c r="J28" t="s">
        <v>254</v>
      </c>
      <c r="K28" t="s">
        <v>349</v>
      </c>
      <c r="N28" s="5" t="s">
        <v>1031</v>
      </c>
      <c r="O28" s="5" t="s">
        <v>1032</v>
      </c>
    </row>
    <row r="29" spans="1:21" x14ac:dyDescent="0.25">
      <c r="A29" t="s">
        <v>443</v>
      </c>
      <c r="B29" t="s">
        <v>444</v>
      </c>
      <c r="C29" t="s">
        <v>256</v>
      </c>
      <c r="D29" t="s">
        <v>539</v>
      </c>
      <c r="E29" t="s">
        <v>621</v>
      </c>
      <c r="F29" t="s">
        <v>633</v>
      </c>
      <c r="G29" t="s">
        <v>622</v>
      </c>
      <c r="H29" t="s">
        <v>623</v>
      </c>
      <c r="I29" t="s">
        <v>571</v>
      </c>
      <c r="J29" t="s">
        <v>372</v>
      </c>
      <c r="K29" t="s">
        <v>373</v>
      </c>
      <c r="N29" s="5" t="s">
        <v>1357</v>
      </c>
      <c r="O29" s="5" t="s">
        <v>1358</v>
      </c>
    </row>
    <row r="30" spans="1:21" x14ac:dyDescent="0.25">
      <c r="A30" t="s">
        <v>291</v>
      </c>
      <c r="B30" t="s">
        <v>444</v>
      </c>
      <c r="C30" t="s">
        <v>186</v>
      </c>
      <c r="D30" t="s">
        <v>356</v>
      </c>
      <c r="E30" t="s">
        <v>605</v>
      </c>
      <c r="F30" t="s">
        <v>351</v>
      </c>
      <c r="G30" t="s">
        <v>210</v>
      </c>
      <c r="H30" t="s">
        <v>187</v>
      </c>
      <c r="I30" t="s">
        <v>349</v>
      </c>
      <c r="J30" t="s">
        <v>448</v>
      </c>
      <c r="K30" t="s">
        <v>188</v>
      </c>
      <c r="N30" s="5" t="s">
        <v>756</v>
      </c>
      <c r="O30" s="5" t="s">
        <v>1271</v>
      </c>
    </row>
    <row r="31" spans="1:21" x14ac:dyDescent="0.25">
      <c r="A31" t="s">
        <v>391</v>
      </c>
      <c r="B31" t="s">
        <v>380</v>
      </c>
      <c r="C31" t="s">
        <v>108</v>
      </c>
      <c r="D31" t="s">
        <v>111</v>
      </c>
      <c r="E31" t="s">
        <v>67</v>
      </c>
      <c r="F31" t="s">
        <v>194</v>
      </c>
      <c r="G31" t="s">
        <v>216</v>
      </c>
      <c r="H31" t="s">
        <v>436</v>
      </c>
      <c r="I31" t="s">
        <v>371</v>
      </c>
      <c r="J31" t="s">
        <v>372</v>
      </c>
      <c r="K31" t="s">
        <v>373</v>
      </c>
      <c r="N31" s="5" t="s">
        <v>1319</v>
      </c>
      <c r="O31" s="5" t="s">
        <v>1320</v>
      </c>
    </row>
    <row r="32" spans="1:21" x14ac:dyDescent="0.25">
      <c r="A32" t="s">
        <v>375</v>
      </c>
      <c r="B32" t="s">
        <v>376</v>
      </c>
      <c r="C32" t="s">
        <v>108</v>
      </c>
      <c r="D32" t="s">
        <v>356</v>
      </c>
      <c r="E32" t="s">
        <v>348</v>
      </c>
      <c r="F32" t="s">
        <v>210</v>
      </c>
      <c r="G32" t="s">
        <v>186</v>
      </c>
      <c r="H32" t="s">
        <v>187</v>
      </c>
      <c r="I32" t="s">
        <v>357</v>
      </c>
      <c r="J32" t="s">
        <v>254</v>
      </c>
      <c r="K32" t="s">
        <v>349</v>
      </c>
      <c r="N32" s="5" t="s">
        <v>1063</v>
      </c>
      <c r="O32" s="5" t="s">
        <v>1064</v>
      </c>
    </row>
    <row r="33" spans="1:15" x14ac:dyDescent="0.25">
      <c r="A33" t="s">
        <v>648</v>
      </c>
      <c r="B33" t="s">
        <v>401</v>
      </c>
      <c r="C33" t="s">
        <v>649</v>
      </c>
      <c r="D33" t="s">
        <v>632</v>
      </c>
      <c r="E33" t="s">
        <v>214</v>
      </c>
      <c r="F33" t="s">
        <v>339</v>
      </c>
      <c r="G33" t="s">
        <v>622</v>
      </c>
      <c r="H33" t="s">
        <v>623</v>
      </c>
      <c r="I33" t="s">
        <v>571</v>
      </c>
      <c r="J33" t="s">
        <v>177</v>
      </c>
      <c r="K33" t="s">
        <v>372</v>
      </c>
      <c r="N33" s="5" t="s">
        <v>1082</v>
      </c>
      <c r="O33" s="5" t="s">
        <v>1083</v>
      </c>
    </row>
    <row r="34" spans="1:15" x14ac:dyDescent="0.25">
      <c r="A34" t="s">
        <v>651</v>
      </c>
      <c r="B34" t="s">
        <v>401</v>
      </c>
      <c r="C34" t="s">
        <v>649</v>
      </c>
      <c r="D34" t="s">
        <v>356</v>
      </c>
      <c r="E34" t="s">
        <v>348</v>
      </c>
      <c r="F34" t="s">
        <v>210</v>
      </c>
      <c r="G34" t="s">
        <v>186</v>
      </c>
      <c r="H34" t="s">
        <v>187</v>
      </c>
      <c r="I34" t="s">
        <v>357</v>
      </c>
      <c r="J34" t="s">
        <v>254</v>
      </c>
      <c r="K34" t="s">
        <v>349</v>
      </c>
      <c r="N34" s="5" t="s">
        <v>754</v>
      </c>
      <c r="O34" s="5" t="s">
        <v>1057</v>
      </c>
    </row>
    <row r="35" spans="1:15" x14ac:dyDescent="0.25">
      <c r="A35" t="s">
        <v>268</v>
      </c>
      <c r="B35" t="s">
        <v>269</v>
      </c>
      <c r="C35" t="s">
        <v>642</v>
      </c>
      <c r="D35" t="s">
        <v>215</v>
      </c>
      <c r="E35" t="s">
        <v>240</v>
      </c>
      <c r="F35" t="s">
        <v>111</v>
      </c>
      <c r="G35" t="s">
        <v>67</v>
      </c>
      <c r="H35" t="s">
        <v>255</v>
      </c>
      <c r="I35" t="s">
        <v>357</v>
      </c>
      <c r="J35" t="s">
        <v>254</v>
      </c>
      <c r="K35" t="s">
        <v>349</v>
      </c>
      <c r="N35" s="5" t="s">
        <v>1372</v>
      </c>
      <c r="O35" s="5" t="s">
        <v>1373</v>
      </c>
    </row>
    <row r="36" spans="1:15" x14ac:dyDescent="0.25">
      <c r="A36" t="s">
        <v>276</v>
      </c>
      <c r="B36" t="s">
        <v>269</v>
      </c>
      <c r="C36" t="s">
        <v>256</v>
      </c>
      <c r="D36" t="s">
        <v>356</v>
      </c>
      <c r="E36" t="s">
        <v>210</v>
      </c>
      <c r="F36" t="s">
        <v>186</v>
      </c>
      <c r="G36" t="s">
        <v>187</v>
      </c>
      <c r="H36" t="s">
        <v>357</v>
      </c>
      <c r="I36" t="s">
        <v>254</v>
      </c>
      <c r="J36" t="s">
        <v>349</v>
      </c>
      <c r="K36" t="s">
        <v>255</v>
      </c>
      <c r="N36" s="5" t="s">
        <v>1379</v>
      </c>
      <c r="O36" s="5" t="s">
        <v>1380</v>
      </c>
    </row>
    <row r="37" spans="1:15" x14ac:dyDescent="0.25">
      <c r="A37" t="s">
        <v>276</v>
      </c>
      <c r="B37" t="s">
        <v>401</v>
      </c>
      <c r="C37" t="s">
        <v>649</v>
      </c>
      <c r="D37" t="s">
        <v>213</v>
      </c>
      <c r="E37" t="s">
        <v>214</v>
      </c>
      <c r="F37" t="s">
        <v>339</v>
      </c>
      <c r="G37" t="s">
        <v>436</v>
      </c>
      <c r="H37" t="s">
        <v>371</v>
      </c>
      <c r="I37" t="s">
        <v>372</v>
      </c>
      <c r="J37" t="s">
        <v>373</v>
      </c>
      <c r="K37" t="s">
        <v>339</v>
      </c>
      <c r="N37" s="5" t="s">
        <v>1363</v>
      </c>
      <c r="O37" s="5" t="s">
        <v>1364</v>
      </c>
    </row>
    <row r="38" spans="1:15" x14ac:dyDescent="0.25">
      <c r="A38" t="s">
        <v>659</v>
      </c>
      <c r="B38" t="s">
        <v>240</v>
      </c>
      <c r="C38" t="s">
        <v>111</v>
      </c>
      <c r="D38" t="s">
        <v>388</v>
      </c>
      <c r="E38" t="s">
        <v>261</v>
      </c>
      <c r="F38" t="s">
        <v>260</v>
      </c>
      <c r="G38" t="s">
        <v>583</v>
      </c>
      <c r="H38" t="s">
        <v>436</v>
      </c>
      <c r="I38" t="s">
        <v>371</v>
      </c>
      <c r="J38" t="s">
        <v>177</v>
      </c>
      <c r="K38" t="s">
        <v>372</v>
      </c>
      <c r="N38" s="5" t="s">
        <v>1352</v>
      </c>
      <c r="O38" s="5" t="s">
        <v>1353</v>
      </c>
    </row>
    <row r="39" spans="1:15" x14ac:dyDescent="0.25">
      <c r="A39" t="s">
        <v>651</v>
      </c>
      <c r="B39" t="s">
        <v>373</v>
      </c>
      <c r="C39" t="s">
        <v>583</v>
      </c>
      <c r="D39" t="s">
        <v>615</v>
      </c>
      <c r="E39" t="s">
        <v>372</v>
      </c>
      <c r="F39" t="s">
        <v>616</v>
      </c>
      <c r="G39" t="s">
        <v>210</v>
      </c>
      <c r="H39" t="s">
        <v>187</v>
      </c>
      <c r="I39" t="s">
        <v>349</v>
      </c>
      <c r="J39" t="s">
        <v>448</v>
      </c>
      <c r="K39" t="s">
        <v>188</v>
      </c>
      <c r="N39" s="5" t="s">
        <v>1336</v>
      </c>
      <c r="O39" s="5" t="s">
        <v>1337</v>
      </c>
    </row>
    <row r="40" spans="1:15" x14ac:dyDescent="0.25">
      <c r="A40" t="s">
        <v>268</v>
      </c>
      <c r="B40" t="s">
        <v>435</v>
      </c>
      <c r="C40" t="s">
        <v>220</v>
      </c>
      <c r="D40" t="s">
        <v>279</v>
      </c>
      <c r="E40" t="s">
        <v>261</v>
      </c>
      <c r="F40" t="s">
        <v>260</v>
      </c>
      <c r="G40" t="s">
        <v>583</v>
      </c>
      <c r="H40" t="s">
        <v>436</v>
      </c>
      <c r="I40" t="s">
        <v>371</v>
      </c>
      <c r="J40" t="s">
        <v>177</v>
      </c>
      <c r="K40" t="s">
        <v>372</v>
      </c>
      <c r="N40" s="5" t="s">
        <v>733</v>
      </c>
      <c r="O40" s="5" t="s">
        <v>1003</v>
      </c>
    </row>
    <row r="41" spans="1:15" x14ac:dyDescent="0.25">
      <c r="A41" t="s">
        <v>276</v>
      </c>
      <c r="B41" t="s">
        <v>235</v>
      </c>
      <c r="C41" t="s">
        <v>236</v>
      </c>
      <c r="D41" t="s">
        <v>237</v>
      </c>
      <c r="E41" t="s">
        <v>240</v>
      </c>
      <c r="F41" t="s">
        <v>111</v>
      </c>
      <c r="G41" t="s">
        <v>67</v>
      </c>
      <c r="N41" s="5" t="s">
        <v>1345</v>
      </c>
      <c r="O41" s="5" t="s">
        <v>1346</v>
      </c>
    </row>
    <row r="42" spans="1:15" x14ac:dyDescent="0.25">
      <c r="A42" t="s">
        <v>437</v>
      </c>
      <c r="B42" t="s">
        <v>644</v>
      </c>
      <c r="C42" t="s">
        <v>266</v>
      </c>
      <c r="D42" t="s">
        <v>262</v>
      </c>
      <c r="E42" t="s">
        <v>545</v>
      </c>
      <c r="F42" t="s">
        <v>616</v>
      </c>
      <c r="G42" t="s">
        <v>436</v>
      </c>
      <c r="H42" t="s">
        <v>371</v>
      </c>
      <c r="I42" t="s">
        <v>372</v>
      </c>
      <c r="J42" t="s">
        <v>373</v>
      </c>
      <c r="K42" t="s">
        <v>339</v>
      </c>
      <c r="N42" s="5" t="s">
        <v>733</v>
      </c>
      <c r="O42" s="5" t="s">
        <v>1004</v>
      </c>
    </row>
    <row r="43" spans="1:15" x14ac:dyDescent="0.25">
      <c r="A43" t="s">
        <v>645</v>
      </c>
      <c r="B43" t="s">
        <v>646</v>
      </c>
      <c r="C43" t="s">
        <v>647</v>
      </c>
      <c r="D43" t="s">
        <v>438</v>
      </c>
      <c r="E43" t="s">
        <v>439</v>
      </c>
      <c r="F43" t="s">
        <v>440</v>
      </c>
      <c r="G43" t="s">
        <v>234</v>
      </c>
      <c r="H43" t="s">
        <v>441</v>
      </c>
      <c r="I43" t="s">
        <v>442</v>
      </c>
      <c r="J43" t="s">
        <v>269</v>
      </c>
      <c r="K43" t="s">
        <v>354</v>
      </c>
      <c r="N43" s="5" t="s">
        <v>1029</v>
      </c>
      <c r="O43" s="5" t="s">
        <v>1030</v>
      </c>
    </row>
    <row r="44" spans="1:15" x14ac:dyDescent="0.25">
      <c r="A44" t="s">
        <v>389</v>
      </c>
      <c r="B44" t="s">
        <v>390</v>
      </c>
      <c r="C44" t="s">
        <v>256</v>
      </c>
      <c r="D44" t="s">
        <v>380</v>
      </c>
      <c r="E44" t="s">
        <v>111</v>
      </c>
      <c r="F44" t="s">
        <v>67</v>
      </c>
      <c r="G44" t="s">
        <v>583</v>
      </c>
      <c r="H44" t="s">
        <v>436</v>
      </c>
      <c r="I44" t="s">
        <v>371</v>
      </c>
      <c r="J44" t="s">
        <v>177</v>
      </c>
      <c r="K44" t="s">
        <v>372</v>
      </c>
      <c r="N44" s="5" t="s">
        <v>1086</v>
      </c>
      <c r="O44" s="5" t="s">
        <v>1030</v>
      </c>
    </row>
    <row r="45" spans="1:15" x14ac:dyDescent="0.25">
      <c r="A45" t="s">
        <v>601</v>
      </c>
      <c r="B45" t="s">
        <v>463</v>
      </c>
      <c r="C45" t="s">
        <v>266</v>
      </c>
      <c r="D45" t="s">
        <v>262</v>
      </c>
      <c r="E45" t="s">
        <v>545</v>
      </c>
      <c r="F45" t="s">
        <v>616</v>
      </c>
      <c r="G45" t="s">
        <v>177</v>
      </c>
      <c r="H45" t="s">
        <v>371</v>
      </c>
      <c r="I45" t="s">
        <v>372</v>
      </c>
      <c r="J45" t="s">
        <v>373</v>
      </c>
      <c r="K45" t="s">
        <v>339</v>
      </c>
      <c r="N45" s="5" t="s">
        <v>1303</v>
      </c>
      <c r="O45" s="5" t="s">
        <v>1304</v>
      </c>
    </row>
    <row r="46" spans="1:15" x14ac:dyDescent="0.25">
      <c r="A46" t="s">
        <v>239</v>
      </c>
      <c r="B46" t="s">
        <v>394</v>
      </c>
      <c r="C46" t="s">
        <v>395</v>
      </c>
      <c r="D46" t="s">
        <v>298</v>
      </c>
      <c r="E46" t="s">
        <v>191</v>
      </c>
      <c r="F46" t="s">
        <v>192</v>
      </c>
      <c r="G46" t="s">
        <v>193</v>
      </c>
      <c r="N46" s="5" t="s">
        <v>1100</v>
      </c>
      <c r="O46" s="5" t="s">
        <v>1101</v>
      </c>
    </row>
    <row r="47" spans="1:15" x14ac:dyDescent="0.25">
      <c r="A47" t="s">
        <v>596</v>
      </c>
      <c r="B47" t="s">
        <v>549</v>
      </c>
      <c r="C47" t="s">
        <v>520</v>
      </c>
      <c r="D47" t="s">
        <v>299</v>
      </c>
      <c r="E47" t="s">
        <v>372</v>
      </c>
      <c r="F47" t="s">
        <v>260</v>
      </c>
      <c r="G47" t="s">
        <v>583</v>
      </c>
      <c r="H47" t="s">
        <v>371</v>
      </c>
      <c r="I47" t="s">
        <v>177</v>
      </c>
      <c r="J47" t="s">
        <v>372</v>
      </c>
      <c r="K47" t="s">
        <v>373</v>
      </c>
      <c r="N47" s="5" t="s">
        <v>1142</v>
      </c>
      <c r="O47" s="5" t="s">
        <v>1143</v>
      </c>
    </row>
    <row r="48" spans="1:15" x14ac:dyDescent="0.25">
      <c r="A48" t="s">
        <v>648</v>
      </c>
      <c r="B48" t="s">
        <v>401</v>
      </c>
      <c r="C48" t="s">
        <v>649</v>
      </c>
      <c r="D48" t="s">
        <v>451</v>
      </c>
      <c r="E48" t="s">
        <v>643</v>
      </c>
      <c r="F48" t="s">
        <v>504</v>
      </c>
      <c r="G48" t="s">
        <v>539</v>
      </c>
      <c r="H48" t="s">
        <v>623</v>
      </c>
      <c r="I48" t="s">
        <v>621</v>
      </c>
      <c r="J48" t="s">
        <v>633</v>
      </c>
      <c r="N48" s="5" t="s">
        <v>754</v>
      </c>
      <c r="O48" s="5" t="s">
        <v>1058</v>
      </c>
    </row>
    <row r="49" spans="1:15" x14ac:dyDescent="0.25">
      <c r="A49" t="s">
        <v>445</v>
      </c>
      <c r="B49" t="s">
        <v>650</v>
      </c>
      <c r="C49" t="s">
        <v>220</v>
      </c>
      <c r="D49" t="s">
        <v>279</v>
      </c>
      <c r="E49" t="s">
        <v>261</v>
      </c>
      <c r="F49" t="s">
        <v>260</v>
      </c>
      <c r="G49" t="s">
        <v>583</v>
      </c>
      <c r="H49" t="s">
        <v>371</v>
      </c>
      <c r="I49" t="s">
        <v>177</v>
      </c>
      <c r="J49" t="s">
        <v>372</v>
      </c>
      <c r="K49" t="s">
        <v>373</v>
      </c>
      <c r="N49" s="5" t="s">
        <v>1092</v>
      </c>
      <c r="O49" s="5" t="s">
        <v>1093</v>
      </c>
    </row>
    <row r="50" spans="1:15" x14ac:dyDescent="0.25">
      <c r="A50" t="s">
        <v>359</v>
      </c>
      <c r="B50" t="s">
        <v>235</v>
      </c>
      <c r="C50" t="s">
        <v>236</v>
      </c>
      <c r="D50" t="s">
        <v>237</v>
      </c>
      <c r="E50" t="s">
        <v>236</v>
      </c>
      <c r="F50" t="s">
        <v>237</v>
      </c>
      <c r="G50" t="s">
        <v>417</v>
      </c>
      <c r="H50" t="s">
        <v>418</v>
      </c>
      <c r="I50" t="s">
        <v>216</v>
      </c>
      <c r="J50" t="s">
        <v>200</v>
      </c>
      <c r="K50" t="s">
        <v>241</v>
      </c>
      <c r="N50" s="5" t="s">
        <v>734</v>
      </c>
      <c r="O50" s="5" t="s">
        <v>1250</v>
      </c>
    </row>
    <row r="51" spans="1:15" x14ac:dyDescent="0.25">
      <c r="A51" t="s">
        <v>379</v>
      </c>
      <c r="B51" t="s">
        <v>380</v>
      </c>
      <c r="C51" t="s">
        <v>72</v>
      </c>
      <c r="D51" t="s">
        <v>380</v>
      </c>
      <c r="E51" t="s">
        <v>274</v>
      </c>
      <c r="F51" t="s">
        <v>275</v>
      </c>
      <c r="G51" t="s">
        <v>193</v>
      </c>
      <c r="H51" t="s">
        <v>371</v>
      </c>
      <c r="I51" t="s">
        <v>372</v>
      </c>
      <c r="J51" t="s">
        <v>373</v>
      </c>
      <c r="K51" t="s">
        <v>339</v>
      </c>
      <c r="N51" s="5" t="s">
        <v>995</v>
      </c>
      <c r="O51" s="5" t="s">
        <v>996</v>
      </c>
    </row>
    <row r="52" spans="1:15" x14ac:dyDescent="0.25">
      <c r="A52" t="s">
        <v>403</v>
      </c>
      <c r="B52" t="s">
        <v>646</v>
      </c>
      <c r="C52" t="s">
        <v>647</v>
      </c>
      <c r="D52" t="s">
        <v>438</v>
      </c>
      <c r="E52" t="s">
        <v>439</v>
      </c>
      <c r="F52" t="s">
        <v>440</v>
      </c>
      <c r="G52" t="s">
        <v>234</v>
      </c>
      <c r="H52" t="s">
        <v>441</v>
      </c>
      <c r="I52" t="s">
        <v>442</v>
      </c>
      <c r="J52" t="s">
        <v>269</v>
      </c>
      <c r="K52" t="s">
        <v>354</v>
      </c>
      <c r="N52" s="5" t="s">
        <v>1352</v>
      </c>
      <c r="O52" s="5" t="s">
        <v>1206</v>
      </c>
    </row>
    <row r="53" spans="1:15" x14ac:dyDescent="0.25">
      <c r="A53" t="s">
        <v>651</v>
      </c>
      <c r="B53" t="s">
        <v>342</v>
      </c>
      <c r="C53" t="s">
        <v>236</v>
      </c>
      <c r="D53" t="s">
        <v>237</v>
      </c>
      <c r="E53" t="s">
        <v>236</v>
      </c>
      <c r="F53" t="s">
        <v>237</v>
      </c>
      <c r="G53" t="s">
        <v>417</v>
      </c>
      <c r="H53" t="s">
        <v>418</v>
      </c>
      <c r="I53" t="s">
        <v>269</v>
      </c>
      <c r="J53" t="s">
        <v>354</v>
      </c>
      <c r="N53" s="5" t="s">
        <v>1077</v>
      </c>
      <c r="O53" s="5" t="s">
        <v>1078</v>
      </c>
    </row>
    <row r="54" spans="1:15" x14ac:dyDescent="0.25">
      <c r="A54" t="s">
        <v>604</v>
      </c>
      <c r="B54" t="s">
        <v>390</v>
      </c>
      <c r="C54" t="s">
        <v>272</v>
      </c>
      <c r="D54" t="s">
        <v>273</v>
      </c>
      <c r="E54" t="s">
        <v>274</v>
      </c>
      <c r="F54" t="s">
        <v>275</v>
      </c>
      <c r="G54" t="s">
        <v>583</v>
      </c>
      <c r="H54" t="s">
        <v>371</v>
      </c>
      <c r="I54" t="s">
        <v>177</v>
      </c>
      <c r="J54" t="s">
        <v>372</v>
      </c>
      <c r="K54" t="s">
        <v>373</v>
      </c>
      <c r="N54" s="5" t="s">
        <v>1039</v>
      </c>
      <c r="O54" s="5" t="s">
        <v>1041</v>
      </c>
    </row>
    <row r="55" spans="1:15" x14ac:dyDescent="0.25">
      <c r="A55" t="s">
        <v>270</v>
      </c>
      <c r="B55" t="s">
        <v>271</v>
      </c>
      <c r="C55" t="s">
        <v>272</v>
      </c>
      <c r="D55" t="s">
        <v>273</v>
      </c>
      <c r="E55" t="s">
        <v>274</v>
      </c>
      <c r="F55" t="s">
        <v>275</v>
      </c>
      <c r="G55" t="s">
        <v>193</v>
      </c>
      <c r="H55" t="s">
        <v>442</v>
      </c>
      <c r="I55" t="s">
        <v>269</v>
      </c>
      <c r="J55" t="s">
        <v>354</v>
      </c>
      <c r="K55" t="s">
        <v>241</v>
      </c>
      <c r="N55" s="5" t="s">
        <v>1354</v>
      </c>
      <c r="O55" s="5" t="s">
        <v>1355</v>
      </c>
    </row>
    <row r="56" spans="1:15" x14ac:dyDescent="0.25">
      <c r="A56" t="s">
        <v>609</v>
      </c>
      <c r="B56" t="s">
        <v>610</v>
      </c>
      <c r="C56" t="s">
        <v>266</v>
      </c>
      <c r="D56" t="s">
        <v>262</v>
      </c>
      <c r="E56" t="s">
        <v>545</v>
      </c>
      <c r="F56" t="s">
        <v>616</v>
      </c>
      <c r="G56" t="s">
        <v>417</v>
      </c>
      <c r="H56" t="s">
        <v>418</v>
      </c>
      <c r="N56" s="5" t="s">
        <v>1381</v>
      </c>
      <c r="O56" s="5" t="s">
        <v>1382</v>
      </c>
    </row>
    <row r="57" spans="1:15" x14ac:dyDescent="0.25">
      <c r="A57" t="s">
        <v>652</v>
      </c>
      <c r="B57" t="s">
        <v>606</v>
      </c>
      <c r="C57" t="s">
        <v>377</v>
      </c>
      <c r="D57" t="s">
        <v>278</v>
      </c>
      <c r="E57" t="s">
        <v>279</v>
      </c>
      <c r="F57" t="s">
        <v>177</v>
      </c>
      <c r="G57" t="s">
        <v>417</v>
      </c>
      <c r="H57" t="s">
        <v>418</v>
      </c>
      <c r="I57" t="s">
        <v>373</v>
      </c>
      <c r="J57" t="s">
        <v>339</v>
      </c>
      <c r="K57" t="s">
        <v>374</v>
      </c>
      <c r="N57" s="5" t="s">
        <v>734</v>
      </c>
      <c r="O57" s="5" t="s">
        <v>1251</v>
      </c>
    </row>
    <row r="58" spans="1:15" x14ac:dyDescent="0.25">
      <c r="A58" t="s">
        <v>635</v>
      </c>
      <c r="B58" t="s">
        <v>378</v>
      </c>
      <c r="C58" t="s">
        <v>520</v>
      </c>
      <c r="D58" t="s">
        <v>299</v>
      </c>
      <c r="E58" t="s">
        <v>221</v>
      </c>
      <c r="F58" t="s">
        <v>222</v>
      </c>
      <c r="G58" t="s">
        <v>583</v>
      </c>
      <c r="H58" t="s">
        <v>436</v>
      </c>
      <c r="I58" t="s">
        <v>371</v>
      </c>
      <c r="J58" t="s">
        <v>372</v>
      </c>
      <c r="K58" t="s">
        <v>373</v>
      </c>
      <c r="N58" s="5" t="s">
        <v>1142</v>
      </c>
      <c r="O58" s="5" t="s">
        <v>1144</v>
      </c>
    </row>
    <row r="59" spans="1:15" x14ac:dyDescent="0.25">
      <c r="A59" t="s">
        <v>281</v>
      </c>
      <c r="B59" t="s">
        <v>266</v>
      </c>
      <c r="C59" t="s">
        <v>242</v>
      </c>
      <c r="D59" t="s">
        <v>282</v>
      </c>
      <c r="E59" t="s">
        <v>243</v>
      </c>
      <c r="F59" t="s">
        <v>358</v>
      </c>
      <c r="N59" s="5" t="s">
        <v>1205</v>
      </c>
      <c r="O59" s="5" t="s">
        <v>1389</v>
      </c>
    </row>
    <row r="60" spans="1:15" x14ac:dyDescent="0.25">
      <c r="A60" t="s">
        <v>653</v>
      </c>
      <c r="B60" t="s">
        <v>637</v>
      </c>
      <c r="C60" t="s">
        <v>615</v>
      </c>
      <c r="D60" t="s">
        <v>654</v>
      </c>
      <c r="E60" t="s">
        <v>236</v>
      </c>
      <c r="F60" t="s">
        <v>237</v>
      </c>
      <c r="G60" t="s">
        <v>417</v>
      </c>
      <c r="H60" t="s">
        <v>418</v>
      </c>
      <c r="N60" s="5" t="s">
        <v>1323</v>
      </c>
      <c r="O60" s="5" t="s">
        <v>1391</v>
      </c>
    </row>
    <row r="61" spans="1:15" x14ac:dyDescent="0.25">
      <c r="A61" t="s">
        <v>344</v>
      </c>
      <c r="B61" t="s">
        <v>345</v>
      </c>
      <c r="C61" t="s">
        <v>364</v>
      </c>
      <c r="D61" t="s">
        <v>273</v>
      </c>
      <c r="E61" t="s">
        <v>274</v>
      </c>
      <c r="F61" t="s">
        <v>275</v>
      </c>
      <c r="G61" t="s">
        <v>304</v>
      </c>
      <c r="N61" s="5" t="s">
        <v>1181</v>
      </c>
      <c r="O61" s="5" t="s">
        <v>1182</v>
      </c>
    </row>
    <row r="62" spans="1:15" x14ac:dyDescent="0.25">
      <c r="A62" t="s">
        <v>397</v>
      </c>
      <c r="B62" t="s">
        <v>414</v>
      </c>
      <c r="C62" t="s">
        <v>415</v>
      </c>
      <c r="D62" t="s">
        <v>416</v>
      </c>
      <c r="E62" t="s">
        <v>236</v>
      </c>
      <c r="F62" t="s">
        <v>237</v>
      </c>
      <c r="G62" t="s">
        <v>417</v>
      </c>
      <c r="H62" t="s">
        <v>418</v>
      </c>
      <c r="I62" t="s">
        <v>448</v>
      </c>
      <c r="J62" t="s">
        <v>188</v>
      </c>
      <c r="N62" s="5" t="s">
        <v>1107</v>
      </c>
      <c r="O62" s="5" t="s">
        <v>1108</v>
      </c>
    </row>
    <row r="63" spans="1:15" x14ac:dyDescent="0.25">
      <c r="A63" t="s">
        <v>403</v>
      </c>
      <c r="B63" t="s">
        <v>235</v>
      </c>
      <c r="C63" t="s">
        <v>236</v>
      </c>
      <c r="D63" t="s">
        <v>237</v>
      </c>
      <c r="E63" t="s">
        <v>623</v>
      </c>
      <c r="F63" t="s">
        <v>260</v>
      </c>
      <c r="G63" t="s">
        <v>583</v>
      </c>
      <c r="H63" t="s">
        <v>436</v>
      </c>
      <c r="I63" t="s">
        <v>371</v>
      </c>
      <c r="J63" t="s">
        <v>372</v>
      </c>
      <c r="K63" t="s">
        <v>373</v>
      </c>
      <c r="N63" s="5" t="s">
        <v>756</v>
      </c>
      <c r="O63" s="5" t="s">
        <v>1390</v>
      </c>
    </row>
    <row r="64" spans="1:15" x14ac:dyDescent="0.25">
      <c r="A64" t="s">
        <v>651</v>
      </c>
      <c r="B64" t="s">
        <v>211</v>
      </c>
      <c r="C64" t="s">
        <v>339</v>
      </c>
      <c r="D64" t="s">
        <v>278</v>
      </c>
      <c r="E64" t="s">
        <v>279</v>
      </c>
      <c r="F64" t="s">
        <v>177</v>
      </c>
      <c r="G64" t="s">
        <v>304</v>
      </c>
      <c r="N64" s="5" t="s">
        <v>1114</v>
      </c>
      <c r="O64" s="5" t="s">
        <v>1388</v>
      </c>
    </row>
    <row r="65" spans="1:15" x14ac:dyDescent="0.25">
      <c r="A65" t="s">
        <v>604</v>
      </c>
      <c r="B65" t="s">
        <v>252</v>
      </c>
      <c r="C65" t="s">
        <v>616</v>
      </c>
      <c r="D65" t="s">
        <v>611</v>
      </c>
      <c r="E65" t="s">
        <v>221</v>
      </c>
      <c r="F65" t="s">
        <v>222</v>
      </c>
      <c r="G65" t="s">
        <v>193</v>
      </c>
      <c r="N65" s="5" t="s">
        <v>1215</v>
      </c>
      <c r="O65" s="5" t="s">
        <v>1217</v>
      </c>
    </row>
    <row r="66" spans="1:15" x14ac:dyDescent="0.25">
      <c r="A66" t="s">
        <v>270</v>
      </c>
      <c r="B66" t="s">
        <v>271</v>
      </c>
      <c r="C66" t="s">
        <v>272</v>
      </c>
      <c r="D66" t="s">
        <v>273</v>
      </c>
      <c r="E66" t="s">
        <v>274</v>
      </c>
      <c r="F66" t="s">
        <v>275</v>
      </c>
      <c r="G66" t="s">
        <v>188</v>
      </c>
      <c r="H66" t="s">
        <v>347</v>
      </c>
      <c r="I66" t="s">
        <v>351</v>
      </c>
      <c r="J66" t="s">
        <v>348</v>
      </c>
      <c r="N66" s="5" t="s">
        <v>1215</v>
      </c>
      <c r="O66" s="5" t="s">
        <v>1218</v>
      </c>
    </row>
    <row r="67" spans="1:15" x14ac:dyDescent="0.25">
      <c r="A67" t="s">
        <v>609</v>
      </c>
      <c r="B67" t="s">
        <v>610</v>
      </c>
      <c r="C67" t="s">
        <v>415</v>
      </c>
      <c r="D67" t="s">
        <v>416</v>
      </c>
      <c r="E67" t="s">
        <v>236</v>
      </c>
      <c r="F67" t="s">
        <v>237</v>
      </c>
      <c r="G67" t="s">
        <v>417</v>
      </c>
      <c r="H67" t="s">
        <v>418</v>
      </c>
      <c r="N67" s="5" t="s">
        <v>1328</v>
      </c>
      <c r="O67" s="5" t="s">
        <v>1329</v>
      </c>
    </row>
    <row r="68" spans="1:15" x14ac:dyDescent="0.25">
      <c r="A68" t="s">
        <v>277</v>
      </c>
      <c r="B68" t="s">
        <v>211</v>
      </c>
      <c r="C68" t="s">
        <v>339</v>
      </c>
      <c r="D68" t="s">
        <v>278</v>
      </c>
      <c r="E68" t="s">
        <v>279</v>
      </c>
      <c r="F68" t="s">
        <v>177</v>
      </c>
      <c r="G68" t="s">
        <v>193</v>
      </c>
      <c r="N68" s="5" t="s">
        <v>1280</v>
      </c>
      <c r="O68" s="5" t="s">
        <v>1281</v>
      </c>
    </row>
    <row r="69" spans="1:15" x14ac:dyDescent="0.25">
      <c r="A69" t="s">
        <v>652</v>
      </c>
      <c r="B69" t="s">
        <v>606</v>
      </c>
      <c r="C69" t="s">
        <v>72</v>
      </c>
      <c r="D69" t="s">
        <v>388</v>
      </c>
      <c r="E69" t="s">
        <v>274</v>
      </c>
      <c r="F69" t="s">
        <v>275</v>
      </c>
      <c r="N69" s="5" t="s">
        <v>1127</v>
      </c>
      <c r="O69" s="5" t="s">
        <v>1128</v>
      </c>
    </row>
    <row r="70" spans="1:15" x14ac:dyDescent="0.25">
      <c r="A70" t="s">
        <v>635</v>
      </c>
      <c r="B70" t="s">
        <v>378</v>
      </c>
      <c r="C70" t="s">
        <v>350</v>
      </c>
      <c r="D70" t="s">
        <v>299</v>
      </c>
      <c r="E70" t="s">
        <v>70</v>
      </c>
      <c r="F70" t="s">
        <v>190</v>
      </c>
      <c r="G70" t="s">
        <v>179</v>
      </c>
      <c r="N70" s="5" t="s">
        <v>1223</v>
      </c>
      <c r="O70" s="5" t="s">
        <v>1224</v>
      </c>
    </row>
    <row r="71" spans="1:15" x14ac:dyDescent="0.25">
      <c r="A71" t="s">
        <v>280</v>
      </c>
      <c r="B71" t="s">
        <v>252</v>
      </c>
      <c r="C71" t="s">
        <v>616</v>
      </c>
      <c r="D71" t="s">
        <v>611</v>
      </c>
      <c r="E71" t="s">
        <v>221</v>
      </c>
      <c r="F71" t="s">
        <v>222</v>
      </c>
      <c r="G71" t="s">
        <v>304</v>
      </c>
      <c r="N71" s="5" t="s">
        <v>1211</v>
      </c>
      <c r="O71" s="5" t="s">
        <v>1212</v>
      </c>
    </row>
    <row r="72" spans="1:15" x14ac:dyDescent="0.25">
      <c r="A72" t="s">
        <v>281</v>
      </c>
      <c r="B72" t="s">
        <v>266</v>
      </c>
      <c r="C72" t="s">
        <v>242</v>
      </c>
      <c r="D72" t="s">
        <v>282</v>
      </c>
      <c r="E72" t="s">
        <v>243</v>
      </c>
      <c r="F72" t="s">
        <v>179</v>
      </c>
      <c r="N72" s="5" t="s">
        <v>1135</v>
      </c>
      <c r="O72" s="5" t="s">
        <v>1136</v>
      </c>
    </row>
    <row r="73" spans="1:15" x14ac:dyDescent="0.25">
      <c r="A73" t="s">
        <v>653</v>
      </c>
      <c r="B73" t="s">
        <v>637</v>
      </c>
      <c r="C73" t="s">
        <v>615</v>
      </c>
      <c r="D73" t="s">
        <v>654</v>
      </c>
      <c r="E73" t="s">
        <v>274</v>
      </c>
      <c r="F73" t="s">
        <v>275</v>
      </c>
      <c r="G73" t="s">
        <v>220</v>
      </c>
      <c r="N73" s="5" t="s">
        <v>1135</v>
      </c>
      <c r="O73" s="5" t="s">
        <v>1137</v>
      </c>
    </row>
    <row r="74" spans="1:15" x14ac:dyDescent="0.25">
      <c r="A74" t="s">
        <v>344</v>
      </c>
      <c r="B74" t="s">
        <v>345</v>
      </c>
      <c r="C74" t="s">
        <v>364</v>
      </c>
      <c r="D74" t="s">
        <v>273</v>
      </c>
      <c r="E74" t="s">
        <v>274</v>
      </c>
      <c r="F74" t="s">
        <v>275</v>
      </c>
      <c r="G74" t="s">
        <v>220</v>
      </c>
      <c r="N74" s="5" t="s">
        <v>1345</v>
      </c>
      <c r="O74" s="5" t="s">
        <v>1347</v>
      </c>
    </row>
    <row r="75" spans="1:15" x14ac:dyDescent="0.25">
      <c r="A75" t="s">
        <v>397</v>
      </c>
      <c r="B75" t="s">
        <v>414</v>
      </c>
      <c r="C75" t="s">
        <v>415</v>
      </c>
      <c r="D75" t="s">
        <v>416</v>
      </c>
      <c r="E75" t="s">
        <v>236</v>
      </c>
      <c r="F75" t="s">
        <v>237</v>
      </c>
      <c r="G75" t="s">
        <v>417</v>
      </c>
      <c r="H75" t="s">
        <v>418</v>
      </c>
      <c r="N75" s="5" t="s">
        <v>1215</v>
      </c>
      <c r="O75" s="5" t="s">
        <v>1219</v>
      </c>
    </row>
    <row r="76" spans="1:15" x14ac:dyDescent="0.25">
      <c r="A76" t="s">
        <v>381</v>
      </c>
      <c r="B76" t="s">
        <v>382</v>
      </c>
      <c r="C76" t="s">
        <v>178</v>
      </c>
      <c r="D76" t="s">
        <v>111</v>
      </c>
      <c r="E76" t="s">
        <v>388</v>
      </c>
      <c r="F76" t="s">
        <v>275</v>
      </c>
      <c r="G76" t="s">
        <v>267</v>
      </c>
      <c r="N76" s="5" t="s">
        <v>1223</v>
      </c>
      <c r="O76" s="5" t="s">
        <v>1225</v>
      </c>
    </row>
    <row r="77" spans="1:15" x14ac:dyDescent="0.25">
      <c r="A77" t="s">
        <v>559</v>
      </c>
      <c r="B77" t="s">
        <v>474</v>
      </c>
      <c r="C77" t="s">
        <v>520</v>
      </c>
      <c r="D77" t="s">
        <v>299</v>
      </c>
      <c r="E77" t="s">
        <v>361</v>
      </c>
      <c r="F77" t="s">
        <v>266</v>
      </c>
      <c r="G77" t="s">
        <v>267</v>
      </c>
      <c r="N77" s="5" t="s">
        <v>1280</v>
      </c>
      <c r="O77" s="5" t="s">
        <v>1282</v>
      </c>
    </row>
    <row r="78" spans="1:15" x14ac:dyDescent="0.25">
      <c r="A78" t="s">
        <v>547</v>
      </c>
      <c r="B78" t="s">
        <v>517</v>
      </c>
      <c r="C78" t="s">
        <v>624</v>
      </c>
      <c r="D78" t="s">
        <v>625</v>
      </c>
      <c r="E78" t="s">
        <v>513</v>
      </c>
      <c r="F78" t="s">
        <v>67</v>
      </c>
      <c r="N78" s="5" t="s">
        <v>1152</v>
      </c>
      <c r="O78" s="5" t="s">
        <v>1153</v>
      </c>
    </row>
    <row r="79" spans="1:15" x14ac:dyDescent="0.25">
      <c r="A79" t="s">
        <v>398</v>
      </c>
      <c r="B79" t="s">
        <v>180</v>
      </c>
      <c r="C79" t="s">
        <v>399</v>
      </c>
      <c r="D79" t="s">
        <v>273</v>
      </c>
      <c r="E79" t="s">
        <v>274</v>
      </c>
      <c r="F79" t="s">
        <v>275</v>
      </c>
      <c r="N79" s="5" t="s">
        <v>1295</v>
      </c>
      <c r="O79" s="5" t="s">
        <v>1296</v>
      </c>
    </row>
    <row r="80" spans="1:15" x14ac:dyDescent="0.25">
      <c r="A80" t="s">
        <v>581</v>
      </c>
      <c r="B80" t="s">
        <v>394</v>
      </c>
      <c r="C80" t="s">
        <v>395</v>
      </c>
      <c r="D80" t="s">
        <v>298</v>
      </c>
      <c r="E80" t="s">
        <v>191</v>
      </c>
      <c r="F80" t="s">
        <v>192</v>
      </c>
      <c r="G80" t="s">
        <v>193</v>
      </c>
      <c r="N80" s="5" t="s">
        <v>1289</v>
      </c>
      <c r="O80" s="5" t="s">
        <v>1290</v>
      </c>
    </row>
    <row r="81" spans="1:15" x14ac:dyDescent="0.25">
      <c r="A81" t="s">
        <v>400</v>
      </c>
      <c r="B81" t="s">
        <v>237</v>
      </c>
      <c r="C81" t="s">
        <v>395</v>
      </c>
      <c r="D81" t="s">
        <v>298</v>
      </c>
      <c r="E81" t="s">
        <v>191</v>
      </c>
      <c r="F81" t="s">
        <v>192</v>
      </c>
      <c r="G81" t="s">
        <v>193</v>
      </c>
      <c r="N81" s="5" t="s">
        <v>754</v>
      </c>
      <c r="O81" s="5" t="s">
        <v>1059</v>
      </c>
    </row>
    <row r="82" spans="1:15" x14ac:dyDescent="0.25">
      <c r="A82" t="s">
        <v>591</v>
      </c>
      <c r="B82" t="s">
        <v>544</v>
      </c>
      <c r="C82" t="s">
        <v>242</v>
      </c>
      <c r="D82" t="s">
        <v>282</v>
      </c>
      <c r="E82" t="s">
        <v>243</v>
      </c>
      <c r="N82" s="5" t="s">
        <v>1312</v>
      </c>
      <c r="O82" s="5" t="s">
        <v>1313</v>
      </c>
    </row>
    <row r="83" spans="1:15" x14ac:dyDescent="0.25">
      <c r="A83" t="s">
        <v>546</v>
      </c>
      <c r="B83" t="s">
        <v>606</v>
      </c>
      <c r="C83" t="s">
        <v>377</v>
      </c>
      <c r="D83" t="s">
        <v>346</v>
      </c>
      <c r="E83" t="s">
        <v>70</v>
      </c>
      <c r="F83" t="s">
        <v>266</v>
      </c>
      <c r="G83" t="s">
        <v>267</v>
      </c>
      <c r="N83" s="5" t="s">
        <v>1254</v>
      </c>
      <c r="O83" s="5" t="s">
        <v>1255</v>
      </c>
    </row>
    <row r="84" spans="1:15" x14ac:dyDescent="0.25">
      <c r="A84" t="s">
        <v>410</v>
      </c>
      <c r="B84" t="s">
        <v>298</v>
      </c>
      <c r="C84" t="s">
        <v>191</v>
      </c>
      <c r="D84" t="s">
        <v>360</v>
      </c>
      <c r="E84" t="s">
        <v>361</v>
      </c>
      <c r="F84" t="s">
        <v>185</v>
      </c>
      <c r="G84" t="s">
        <v>220</v>
      </c>
      <c r="N84" s="5" t="s">
        <v>1129</v>
      </c>
      <c r="O84" s="5" t="s">
        <v>1130</v>
      </c>
    </row>
    <row r="85" spans="1:15" x14ac:dyDescent="0.25">
      <c r="A85" t="s">
        <v>529</v>
      </c>
      <c r="B85" t="s">
        <v>435</v>
      </c>
      <c r="C85" t="s">
        <v>542</v>
      </c>
      <c r="D85" t="s">
        <v>602</v>
      </c>
      <c r="E85" t="s">
        <v>70</v>
      </c>
      <c r="N85" s="5" t="s">
        <v>1150</v>
      </c>
      <c r="O85" s="5" t="s">
        <v>1151</v>
      </c>
    </row>
    <row r="86" spans="1:15" x14ac:dyDescent="0.25">
      <c r="A86" t="s">
        <v>608</v>
      </c>
      <c r="B86" t="s">
        <v>345</v>
      </c>
      <c r="C86" t="s">
        <v>364</v>
      </c>
      <c r="D86" t="s">
        <v>346</v>
      </c>
      <c r="E86" t="s">
        <v>70</v>
      </c>
      <c r="F86" t="s">
        <v>275</v>
      </c>
      <c r="G86" t="s">
        <v>267</v>
      </c>
      <c r="N86" s="5" t="s">
        <v>1183</v>
      </c>
      <c r="O86" s="5" t="s">
        <v>1028</v>
      </c>
    </row>
    <row r="87" spans="1:15" x14ac:dyDescent="0.25">
      <c r="A87" t="s">
        <v>480</v>
      </c>
      <c r="B87" t="s">
        <v>345</v>
      </c>
      <c r="C87" t="s">
        <v>364</v>
      </c>
      <c r="D87" t="s">
        <v>243</v>
      </c>
      <c r="N87" s="5" t="s">
        <v>732</v>
      </c>
      <c r="O87" s="5" t="s">
        <v>1028</v>
      </c>
    </row>
    <row r="88" spans="1:15" x14ac:dyDescent="0.25">
      <c r="A88" t="s">
        <v>526</v>
      </c>
      <c r="B88" t="s">
        <v>251</v>
      </c>
      <c r="N88" s="5" t="s">
        <v>1378</v>
      </c>
      <c r="O88" s="5" t="s">
        <v>1028</v>
      </c>
    </row>
    <row r="89" spans="1:15" x14ac:dyDescent="0.25">
      <c r="A89" t="s">
        <v>593</v>
      </c>
      <c r="B89" t="s">
        <v>366</v>
      </c>
      <c r="C89" t="s">
        <v>278</v>
      </c>
      <c r="D89" t="s">
        <v>279</v>
      </c>
      <c r="E89" t="s">
        <v>177</v>
      </c>
      <c r="N89" s="5" t="s">
        <v>1027</v>
      </c>
      <c r="O89" s="5" t="s">
        <v>1028</v>
      </c>
    </row>
    <row r="90" spans="1:15" x14ac:dyDescent="0.25">
      <c r="A90" t="s">
        <v>452</v>
      </c>
      <c r="B90" t="s">
        <v>298</v>
      </c>
      <c r="C90" t="s">
        <v>360</v>
      </c>
      <c r="D90" t="s">
        <v>361</v>
      </c>
      <c r="E90" t="s">
        <v>274</v>
      </c>
      <c r="F90" t="s">
        <v>275</v>
      </c>
      <c r="N90" s="5" t="s">
        <v>753</v>
      </c>
      <c r="O90" s="5" t="s">
        <v>1156</v>
      </c>
    </row>
    <row r="91" spans="1:15" x14ac:dyDescent="0.25">
      <c r="A91" t="s">
        <v>348</v>
      </c>
      <c r="B91" t="s">
        <v>356</v>
      </c>
      <c r="C91" t="s">
        <v>605</v>
      </c>
      <c r="D91" t="s">
        <v>351</v>
      </c>
      <c r="E91" t="s">
        <v>210</v>
      </c>
      <c r="F91" t="s">
        <v>187</v>
      </c>
      <c r="G91" t="s">
        <v>349</v>
      </c>
      <c r="H91" t="s">
        <v>188</v>
      </c>
      <c r="N91" s="5" t="s">
        <v>1239</v>
      </c>
      <c r="O91" s="5" t="s">
        <v>1240</v>
      </c>
    </row>
    <row r="92" spans="1:15" x14ac:dyDescent="0.25">
      <c r="A92" t="s">
        <v>212</v>
      </c>
      <c r="B92" t="s">
        <v>435</v>
      </c>
      <c r="C92" t="s">
        <v>261</v>
      </c>
      <c r="D92" t="s">
        <v>260</v>
      </c>
      <c r="E92" t="s">
        <v>371</v>
      </c>
      <c r="F92" t="s">
        <v>372</v>
      </c>
      <c r="G92" t="s">
        <v>373</v>
      </c>
      <c r="H92" t="s">
        <v>339</v>
      </c>
      <c r="N92" s="5" t="s">
        <v>1142</v>
      </c>
      <c r="O92" s="5" t="s">
        <v>1145</v>
      </c>
    </row>
    <row r="93" spans="1:15" x14ac:dyDescent="0.25">
      <c r="A93" t="s">
        <v>574</v>
      </c>
      <c r="B93" t="s">
        <v>618</v>
      </c>
      <c r="C93" t="s">
        <v>282</v>
      </c>
      <c r="D93" t="s">
        <v>243</v>
      </c>
      <c r="E93" t="s">
        <v>177</v>
      </c>
      <c r="N93" s="5" t="s">
        <v>1374</v>
      </c>
      <c r="O93" s="5" t="s">
        <v>1375</v>
      </c>
    </row>
    <row r="94" spans="1:15" x14ac:dyDescent="0.25">
      <c r="A94" t="s">
        <v>460</v>
      </c>
      <c r="B94" t="s">
        <v>217</v>
      </c>
      <c r="C94" t="s">
        <v>218</v>
      </c>
      <c r="D94" t="s">
        <v>219</v>
      </c>
      <c r="N94" s="5" t="s">
        <v>754</v>
      </c>
      <c r="O94" s="5" t="s">
        <v>1060</v>
      </c>
    </row>
    <row r="95" spans="1:15" x14ac:dyDescent="0.25">
      <c r="A95" t="s">
        <v>437</v>
      </c>
      <c r="N95" s="5" t="s">
        <v>1160</v>
      </c>
      <c r="O95" s="5" t="s">
        <v>1060</v>
      </c>
    </row>
    <row r="96" spans="1:15" x14ac:dyDescent="0.25">
      <c r="A96" t="s">
        <v>242</v>
      </c>
      <c r="B96" t="s">
        <v>252</v>
      </c>
      <c r="C96" t="s">
        <v>221</v>
      </c>
      <c r="D96" t="s">
        <v>222</v>
      </c>
      <c r="N96" s="5" t="s">
        <v>1195</v>
      </c>
      <c r="O96" s="5" t="s">
        <v>1060</v>
      </c>
    </row>
    <row r="97" spans="1:15" x14ac:dyDescent="0.25">
      <c r="A97" t="s">
        <v>389</v>
      </c>
      <c r="B97" t="s">
        <v>390</v>
      </c>
      <c r="C97" t="s">
        <v>282</v>
      </c>
      <c r="D97" t="s">
        <v>243</v>
      </c>
      <c r="N97" s="5" t="s">
        <v>997</v>
      </c>
      <c r="O97" s="5" t="s">
        <v>753</v>
      </c>
    </row>
    <row r="98" spans="1:15" x14ac:dyDescent="0.25">
      <c r="A98" t="s">
        <v>443</v>
      </c>
      <c r="B98" t="s">
        <v>444</v>
      </c>
      <c r="C98" t="s">
        <v>296</v>
      </c>
      <c r="N98" s="5" t="s">
        <v>754</v>
      </c>
      <c r="O98" s="5" t="s">
        <v>753</v>
      </c>
    </row>
    <row r="99" spans="1:15" x14ac:dyDescent="0.25">
      <c r="A99" t="s">
        <v>405</v>
      </c>
      <c r="B99" t="s">
        <v>406</v>
      </c>
      <c r="C99" t="s">
        <v>238</v>
      </c>
      <c r="N99" s="5" t="s">
        <v>1270</v>
      </c>
      <c r="O99" s="5" t="s">
        <v>753</v>
      </c>
    </row>
    <row r="100" spans="1:15" x14ac:dyDescent="0.25">
      <c r="A100" t="s">
        <v>607</v>
      </c>
      <c r="B100" t="s">
        <v>394</v>
      </c>
      <c r="N100" s="5" t="s">
        <v>1285</v>
      </c>
      <c r="O100" s="5" t="s">
        <v>753</v>
      </c>
    </row>
    <row r="101" spans="1:15" x14ac:dyDescent="0.25">
      <c r="A101" t="s">
        <v>218</v>
      </c>
      <c r="B101" t="s">
        <v>219</v>
      </c>
      <c r="N101" s="5" t="s">
        <v>1343</v>
      </c>
      <c r="O101" s="5" t="s">
        <v>1344</v>
      </c>
    </row>
    <row r="102" spans="1:15" x14ac:dyDescent="0.25">
      <c r="A102" t="s">
        <v>455</v>
      </c>
      <c r="B102" t="s">
        <v>472</v>
      </c>
      <c r="N102" s="5" t="s">
        <v>1361</v>
      </c>
      <c r="O102" s="5" t="s">
        <v>1362</v>
      </c>
    </row>
    <row r="103" spans="1:15" x14ac:dyDescent="0.25">
      <c r="A103" t="s">
        <v>291</v>
      </c>
      <c r="N103" s="5" t="s">
        <v>1307</v>
      </c>
      <c r="O103" s="5" t="s">
        <v>1308</v>
      </c>
    </row>
    <row r="104" spans="1:15" x14ac:dyDescent="0.25">
      <c r="A104" t="s">
        <v>391</v>
      </c>
      <c r="N104" s="5" t="s">
        <v>993</v>
      </c>
      <c r="O104" s="5" t="s">
        <v>994</v>
      </c>
    </row>
    <row r="105" spans="1:15" x14ac:dyDescent="0.25">
      <c r="A105" t="s">
        <v>250</v>
      </c>
      <c r="B105" t="s">
        <v>111</v>
      </c>
      <c r="N105" s="5" t="s">
        <v>1235</v>
      </c>
      <c r="O105" s="5" t="s">
        <v>1236</v>
      </c>
    </row>
    <row r="106" spans="1:15" x14ac:dyDescent="0.25">
      <c r="A106" t="s">
        <v>523</v>
      </c>
      <c r="N106" s="5" t="s">
        <v>1193</v>
      </c>
      <c r="O106" s="5" t="s">
        <v>1194</v>
      </c>
    </row>
    <row r="107" spans="1:15" x14ac:dyDescent="0.25">
      <c r="A107" t="s">
        <v>239</v>
      </c>
      <c r="N107" s="5" t="s">
        <v>1007</v>
      </c>
      <c r="O107" s="5" t="s">
        <v>1008</v>
      </c>
    </row>
    <row r="108" spans="1:15" x14ac:dyDescent="0.25">
      <c r="A108" t="s">
        <v>369</v>
      </c>
      <c r="B108" t="s">
        <v>175</v>
      </c>
      <c r="C108" t="s">
        <v>240</v>
      </c>
      <c r="D108" t="s">
        <v>111</v>
      </c>
      <c r="E108" t="s">
        <v>67</v>
      </c>
      <c r="N108" s="5" t="s">
        <v>1107</v>
      </c>
      <c r="O108" s="5" t="s">
        <v>1109</v>
      </c>
    </row>
    <row r="109" spans="1:15" x14ac:dyDescent="0.25">
      <c r="A109" t="s">
        <v>617</v>
      </c>
      <c r="N109" s="5" t="s">
        <v>1223</v>
      </c>
      <c r="O109" s="5" t="s">
        <v>1226</v>
      </c>
    </row>
    <row r="110" spans="1:15" x14ac:dyDescent="0.25">
      <c r="A110" t="s">
        <v>528</v>
      </c>
      <c r="B110" t="s">
        <v>472</v>
      </c>
      <c r="C110" t="s">
        <v>439</v>
      </c>
      <c r="D110" t="s">
        <v>438</v>
      </c>
      <c r="N110" s="5" t="s">
        <v>1174</v>
      </c>
      <c r="O110" s="5" t="s">
        <v>1175</v>
      </c>
    </row>
    <row r="111" spans="1:15" x14ac:dyDescent="0.25">
      <c r="A111" t="s">
        <v>525</v>
      </c>
      <c r="B111" t="s">
        <v>626</v>
      </c>
      <c r="N111" s="5" t="s">
        <v>756</v>
      </c>
      <c r="O111" s="5" t="s">
        <v>1272</v>
      </c>
    </row>
    <row r="112" spans="1:15" x14ac:dyDescent="0.25">
      <c r="A112" t="s">
        <v>524</v>
      </c>
      <c r="B112" t="s">
        <v>612</v>
      </c>
      <c r="N112" s="5" t="s">
        <v>1202</v>
      </c>
      <c r="O112" s="5" t="s">
        <v>1162</v>
      </c>
    </row>
    <row r="113" spans="1:15" x14ac:dyDescent="0.25">
      <c r="A113" t="s">
        <v>445</v>
      </c>
      <c r="N113" s="5" t="s">
        <v>1070</v>
      </c>
      <c r="O113" s="5" t="s">
        <v>1071</v>
      </c>
    </row>
    <row r="114" spans="1:15" x14ac:dyDescent="0.25">
      <c r="A114" t="s">
        <v>276</v>
      </c>
      <c r="N114" s="5" t="s">
        <v>1107</v>
      </c>
      <c r="O114" s="5" t="s">
        <v>1071</v>
      </c>
    </row>
    <row r="115" spans="1:15" x14ac:dyDescent="0.25">
      <c r="A115" t="s">
        <v>401</v>
      </c>
      <c r="B115" t="s">
        <v>620</v>
      </c>
      <c r="N115" s="5" t="s">
        <v>1147</v>
      </c>
      <c r="O115" s="5" t="s">
        <v>1071</v>
      </c>
    </row>
    <row r="116" spans="1:15" x14ac:dyDescent="0.25">
      <c r="A116" t="s">
        <v>548</v>
      </c>
      <c r="N116" s="5" t="s">
        <v>1302</v>
      </c>
      <c r="O116" s="5" t="s">
        <v>1071</v>
      </c>
    </row>
    <row r="117" spans="1:15" x14ac:dyDescent="0.25">
      <c r="A117" t="s">
        <v>578</v>
      </c>
      <c r="B117" t="s">
        <v>543</v>
      </c>
      <c r="C117" t="s">
        <v>614</v>
      </c>
      <c r="N117" s="5" t="s">
        <v>1318</v>
      </c>
      <c r="O117" s="5" t="s">
        <v>1071</v>
      </c>
    </row>
    <row r="118" spans="1:15" x14ac:dyDescent="0.25">
      <c r="A118" t="s">
        <v>379</v>
      </c>
      <c r="B118" t="s">
        <v>72</v>
      </c>
      <c r="N118" s="5" t="s">
        <v>1088</v>
      </c>
      <c r="O118" s="5" t="s">
        <v>1089</v>
      </c>
    </row>
    <row r="119" spans="1:15" x14ac:dyDescent="0.25">
      <c r="A119" t="s">
        <v>182</v>
      </c>
      <c r="B119" t="s">
        <v>603</v>
      </c>
      <c r="N119" s="5" t="s">
        <v>1262</v>
      </c>
      <c r="O119" s="5" t="s">
        <v>1263</v>
      </c>
    </row>
    <row r="120" spans="1:15" x14ac:dyDescent="0.25">
      <c r="A120" t="s">
        <v>281</v>
      </c>
      <c r="B120" t="s">
        <v>266</v>
      </c>
      <c r="C120" t="s">
        <v>243</v>
      </c>
      <c r="N120" s="5" t="s">
        <v>731</v>
      </c>
      <c r="O120" s="5" t="s">
        <v>1115</v>
      </c>
    </row>
    <row r="121" spans="1:15" x14ac:dyDescent="0.25">
      <c r="A121" t="s">
        <v>579</v>
      </c>
      <c r="N121" s="5" t="s">
        <v>1268</v>
      </c>
      <c r="O121" s="5" t="s">
        <v>1269</v>
      </c>
    </row>
    <row r="122" spans="1:15" x14ac:dyDescent="0.25">
      <c r="A122" t="s">
        <v>341</v>
      </c>
      <c r="B122" t="s">
        <v>627</v>
      </c>
      <c r="C122" t="s">
        <v>302</v>
      </c>
      <c r="N122" s="5" t="s">
        <v>1107</v>
      </c>
      <c r="O122" s="5" t="s">
        <v>1110</v>
      </c>
    </row>
    <row r="123" spans="1:15" x14ac:dyDescent="0.25">
      <c r="A123" t="s">
        <v>268</v>
      </c>
      <c r="N123" s="5" t="s">
        <v>1012</v>
      </c>
      <c r="O123" s="5" t="s">
        <v>1013</v>
      </c>
    </row>
    <row r="124" spans="1:15" x14ac:dyDescent="0.25">
      <c r="A124" t="s">
        <v>270</v>
      </c>
      <c r="B124" t="s">
        <v>271</v>
      </c>
      <c r="C124" t="s">
        <v>272</v>
      </c>
      <c r="D124" t="s">
        <v>273</v>
      </c>
      <c r="E124" t="s">
        <v>275</v>
      </c>
      <c r="N124" s="5" t="s">
        <v>1310</v>
      </c>
      <c r="O124" s="5" t="s">
        <v>1311</v>
      </c>
    </row>
    <row r="125" spans="1:15" x14ac:dyDescent="0.25">
      <c r="A125" t="s">
        <v>598</v>
      </c>
      <c r="B125" t="s">
        <v>619</v>
      </c>
      <c r="C125" t="s">
        <v>302</v>
      </c>
      <c r="N125" s="5" t="s">
        <v>1354</v>
      </c>
      <c r="O125" s="5" t="s">
        <v>1356</v>
      </c>
    </row>
    <row r="126" spans="1:15" x14ac:dyDescent="0.25">
      <c r="A126" t="s">
        <v>498</v>
      </c>
      <c r="N126" s="5" t="s">
        <v>1264</v>
      </c>
      <c r="O126" s="5" t="s">
        <v>1265</v>
      </c>
    </row>
    <row r="127" spans="1:15" x14ac:dyDescent="0.25">
      <c r="A127" t="s">
        <v>609</v>
      </c>
      <c r="B127" t="s">
        <v>610</v>
      </c>
      <c r="N127" s="5" t="s">
        <v>1230</v>
      </c>
      <c r="O127" s="5" t="s">
        <v>1183</v>
      </c>
    </row>
    <row r="128" spans="1:15" x14ac:dyDescent="0.25">
      <c r="A128" t="s">
        <v>527</v>
      </c>
      <c r="B128" t="s">
        <v>387</v>
      </c>
      <c r="C128" t="s">
        <v>628</v>
      </c>
      <c r="N128" s="5" t="s">
        <v>1241</v>
      </c>
      <c r="O128" s="5" t="s">
        <v>1242</v>
      </c>
    </row>
    <row r="129" spans="1:15" x14ac:dyDescent="0.25">
      <c r="A129" t="s">
        <v>417</v>
      </c>
      <c r="B129" t="s">
        <v>560</v>
      </c>
      <c r="C129" t="s">
        <v>236</v>
      </c>
      <c r="N129" s="5" t="s">
        <v>1065</v>
      </c>
      <c r="O129" s="5" t="s">
        <v>1066</v>
      </c>
    </row>
    <row r="130" spans="1:15" x14ac:dyDescent="0.25">
      <c r="A130" t="s">
        <v>365</v>
      </c>
      <c r="B130" t="s">
        <v>366</v>
      </c>
      <c r="N130" s="5" t="s">
        <v>1208</v>
      </c>
      <c r="O130" s="5" t="s">
        <v>1209</v>
      </c>
    </row>
    <row r="131" spans="1:15" x14ac:dyDescent="0.25">
      <c r="A131" t="s">
        <v>277</v>
      </c>
      <c r="B131" t="s">
        <v>211</v>
      </c>
      <c r="C131" t="s">
        <v>339</v>
      </c>
      <c r="N131" s="5" t="s">
        <v>732</v>
      </c>
      <c r="O131" s="5" t="s">
        <v>1261</v>
      </c>
    </row>
    <row r="132" spans="1:15" x14ac:dyDescent="0.25">
      <c r="A132" t="s">
        <v>280</v>
      </c>
      <c r="B132" t="s">
        <v>611</v>
      </c>
      <c r="C132" t="s">
        <v>221</v>
      </c>
      <c r="D132" t="s">
        <v>222</v>
      </c>
      <c r="N132" s="5" t="s">
        <v>1367</v>
      </c>
      <c r="O132" s="5" t="s">
        <v>1261</v>
      </c>
    </row>
    <row r="133" spans="1:15" x14ac:dyDescent="0.25">
      <c r="A133" t="s">
        <v>185</v>
      </c>
      <c r="B133" t="s">
        <v>550</v>
      </c>
      <c r="C133" t="s">
        <v>629</v>
      </c>
      <c r="D133" t="s">
        <v>260</v>
      </c>
      <c r="N133" s="5" t="s">
        <v>1223</v>
      </c>
      <c r="O133" s="5" t="s">
        <v>1227</v>
      </c>
    </row>
    <row r="134" spans="1:15" x14ac:dyDescent="0.25">
      <c r="A134" t="s">
        <v>189</v>
      </c>
      <c r="B134" t="s">
        <v>253</v>
      </c>
      <c r="C134" t="s">
        <v>493</v>
      </c>
      <c r="D134" t="s">
        <v>383</v>
      </c>
      <c r="N134" s="5" t="s">
        <v>1289</v>
      </c>
      <c r="O134" s="5" t="s">
        <v>751</v>
      </c>
    </row>
    <row r="135" spans="1:15" x14ac:dyDescent="0.25">
      <c r="A135" t="s">
        <v>454</v>
      </c>
      <c r="B135" t="s">
        <v>457</v>
      </c>
      <c r="N135" s="5" t="s">
        <v>1084</v>
      </c>
      <c r="O135" s="5" t="s">
        <v>1341</v>
      </c>
    </row>
    <row r="136" spans="1:15" x14ac:dyDescent="0.25">
      <c r="A136" t="s">
        <v>453</v>
      </c>
      <c r="N136" s="5" t="s">
        <v>1233</v>
      </c>
      <c r="O136" s="5" t="s">
        <v>1234</v>
      </c>
    </row>
    <row r="137" spans="1:15" x14ac:dyDescent="0.25">
      <c r="A137" t="s">
        <v>497</v>
      </c>
      <c r="B137" t="s">
        <v>630</v>
      </c>
      <c r="N137" s="5" t="s">
        <v>1292</v>
      </c>
      <c r="O137" s="5" t="s">
        <v>1293</v>
      </c>
    </row>
    <row r="138" spans="1:15" x14ac:dyDescent="0.25">
      <c r="A138" t="s">
        <v>495</v>
      </c>
      <c r="B138" t="s">
        <v>631</v>
      </c>
      <c r="C138" t="s">
        <v>362</v>
      </c>
      <c r="D138" t="s">
        <v>363</v>
      </c>
      <c r="N138" s="5" t="s">
        <v>1122</v>
      </c>
      <c r="O138" s="5" t="s">
        <v>1123</v>
      </c>
    </row>
    <row r="139" spans="1:15" x14ac:dyDescent="0.25">
      <c r="A139" t="s">
        <v>397</v>
      </c>
      <c r="B139" t="s">
        <v>414</v>
      </c>
      <c r="C139" t="s">
        <v>236</v>
      </c>
      <c r="D139" t="s">
        <v>418</v>
      </c>
      <c r="N139" s="5" t="s">
        <v>1170</v>
      </c>
      <c r="O139" s="5" t="s">
        <v>1171</v>
      </c>
    </row>
    <row r="140" spans="1:15" x14ac:dyDescent="0.25">
      <c r="A140" t="s">
        <v>295</v>
      </c>
      <c r="N140" s="5" t="s">
        <v>1307</v>
      </c>
      <c r="O140" s="5" t="s">
        <v>1309</v>
      </c>
    </row>
    <row r="141" spans="1:15" x14ac:dyDescent="0.25">
      <c r="A141" t="s">
        <v>420</v>
      </c>
      <c r="N141" s="5" t="s">
        <v>749</v>
      </c>
      <c r="O141" s="5" t="s">
        <v>1392</v>
      </c>
    </row>
    <row r="142" spans="1:15" x14ac:dyDescent="0.25">
      <c r="A142" t="s">
        <v>471</v>
      </c>
      <c r="N142" s="5" t="s">
        <v>1363</v>
      </c>
      <c r="O142" s="5" t="s">
        <v>1365</v>
      </c>
    </row>
    <row r="143" spans="1:15" x14ac:dyDescent="0.25">
      <c r="A143" t="s">
        <v>514</v>
      </c>
      <c r="N143" s="5" t="s">
        <v>1154</v>
      </c>
      <c r="O143" s="5" t="s">
        <v>1155</v>
      </c>
    </row>
    <row r="144" spans="1:15" x14ac:dyDescent="0.25">
      <c r="A144" t="s">
        <v>261</v>
      </c>
      <c r="N144" s="5" t="s">
        <v>1176</v>
      </c>
      <c r="O144" s="5" t="s">
        <v>1177</v>
      </c>
    </row>
    <row r="145" spans="1:15" x14ac:dyDescent="0.25">
      <c r="A145" t="s">
        <v>563</v>
      </c>
      <c r="N145" s="5" t="s">
        <v>1348</v>
      </c>
      <c r="O145" s="5" t="s">
        <v>1349</v>
      </c>
    </row>
    <row r="146" spans="1:15" x14ac:dyDescent="0.25">
      <c r="A146" t="s">
        <v>346</v>
      </c>
      <c r="N146" s="5" t="s">
        <v>1039</v>
      </c>
      <c r="O146" s="5" t="s">
        <v>1042</v>
      </c>
    </row>
    <row r="147" spans="1:15" x14ac:dyDescent="0.25">
      <c r="A147" t="s">
        <v>426</v>
      </c>
      <c r="N147" s="5" t="s">
        <v>1090</v>
      </c>
      <c r="O147" s="5" t="s">
        <v>1091</v>
      </c>
    </row>
    <row r="148" spans="1:15" x14ac:dyDescent="0.25">
      <c r="A148" t="s">
        <v>564</v>
      </c>
      <c r="N148" s="5" t="s">
        <v>1118</v>
      </c>
      <c r="O148" s="5" t="s">
        <v>1119</v>
      </c>
    </row>
    <row r="149" spans="1:15" x14ac:dyDescent="0.25">
      <c r="A149" t="s">
        <v>516</v>
      </c>
      <c r="N149" s="5" t="s">
        <v>1326</v>
      </c>
      <c r="O149" s="5" t="s">
        <v>1327</v>
      </c>
    </row>
    <row r="150" spans="1:15" x14ac:dyDescent="0.25">
      <c r="A150" t="s">
        <v>65</v>
      </c>
      <c r="N150" s="5" t="s">
        <v>1215</v>
      </c>
      <c r="O150" s="5" t="s">
        <v>1220</v>
      </c>
    </row>
    <row r="151" spans="1:15" x14ac:dyDescent="0.25">
      <c r="A151" t="s">
        <v>423</v>
      </c>
      <c r="N151" s="5" t="s">
        <v>734</v>
      </c>
      <c r="O151" s="5" t="s">
        <v>1252</v>
      </c>
    </row>
    <row r="152" spans="1:15" x14ac:dyDescent="0.25">
      <c r="A152" t="s">
        <v>506</v>
      </c>
      <c r="N152" s="5" t="s">
        <v>730</v>
      </c>
      <c r="O152" s="5" t="s">
        <v>1186</v>
      </c>
    </row>
    <row r="153" spans="1:15" x14ac:dyDescent="0.25">
      <c r="A153" t="s">
        <v>350</v>
      </c>
      <c r="N153" s="5" t="s">
        <v>1191</v>
      </c>
      <c r="O153" s="5" t="s">
        <v>1192</v>
      </c>
    </row>
    <row r="154" spans="1:15" x14ac:dyDescent="0.25">
      <c r="A154" t="s">
        <v>366</v>
      </c>
      <c r="N154" s="5" t="s">
        <v>1094</v>
      </c>
      <c r="O154" s="5" t="s">
        <v>1095</v>
      </c>
    </row>
    <row r="155" spans="1:15" x14ac:dyDescent="0.25">
      <c r="A155" t="s">
        <v>501</v>
      </c>
      <c r="N155" s="5" t="s">
        <v>1334</v>
      </c>
      <c r="O155" s="5" t="s">
        <v>1335</v>
      </c>
    </row>
    <row r="156" spans="1:15" x14ac:dyDescent="0.25">
      <c r="A156" t="s">
        <v>351</v>
      </c>
      <c r="N156" s="5" t="s">
        <v>1176</v>
      </c>
      <c r="O156" s="5" t="s">
        <v>1178</v>
      </c>
    </row>
    <row r="157" spans="1:15" x14ac:dyDescent="0.25">
      <c r="A157" t="s">
        <v>565</v>
      </c>
      <c r="N157" s="5" t="s">
        <v>1328</v>
      </c>
      <c r="O157" s="5" t="s">
        <v>1330</v>
      </c>
    </row>
    <row r="158" spans="1:15" x14ac:dyDescent="0.25">
      <c r="A158" t="s">
        <v>488</v>
      </c>
      <c r="N158" s="5" t="s">
        <v>1256</v>
      </c>
      <c r="O158" s="5" t="s">
        <v>1257</v>
      </c>
    </row>
    <row r="159" spans="1:15" x14ac:dyDescent="0.25">
      <c r="A159" t="s">
        <v>511</v>
      </c>
      <c r="N159" s="5" t="s">
        <v>754</v>
      </c>
      <c r="O159" s="5" t="s">
        <v>1061</v>
      </c>
    </row>
    <row r="160" spans="1:15" x14ac:dyDescent="0.25">
      <c r="A160" t="s">
        <v>376</v>
      </c>
      <c r="N160" s="5" t="s">
        <v>1294</v>
      </c>
      <c r="O160" s="5" t="s">
        <v>1061</v>
      </c>
    </row>
    <row r="161" spans="1:15" x14ac:dyDescent="0.25">
      <c r="A161" t="s">
        <v>439</v>
      </c>
      <c r="N161" s="5" t="s">
        <v>1368</v>
      </c>
      <c r="O161" s="5" t="s">
        <v>1061</v>
      </c>
    </row>
    <row r="162" spans="1:15" x14ac:dyDescent="0.25">
      <c r="A162" t="s">
        <v>238</v>
      </c>
      <c r="N162" s="5" t="s">
        <v>1196</v>
      </c>
      <c r="O162" s="5" t="s">
        <v>1197</v>
      </c>
    </row>
    <row r="163" spans="1:15" x14ac:dyDescent="0.25">
      <c r="A163" t="s">
        <v>584</v>
      </c>
      <c r="N163" s="5" t="s">
        <v>1184</v>
      </c>
      <c r="O163" s="5" t="s">
        <v>1185</v>
      </c>
    </row>
    <row r="164" spans="1:15" x14ac:dyDescent="0.25">
      <c r="A164" t="s">
        <v>585</v>
      </c>
      <c r="N164" s="5" t="s">
        <v>1289</v>
      </c>
      <c r="O164" s="5" t="s">
        <v>1291</v>
      </c>
    </row>
    <row r="165" spans="1:15" x14ac:dyDescent="0.25">
      <c r="A165" t="s">
        <v>521</v>
      </c>
      <c r="N165" s="5" t="s">
        <v>1247</v>
      </c>
      <c r="O165" s="5" t="s">
        <v>1248</v>
      </c>
    </row>
    <row r="166" spans="1:15" x14ac:dyDescent="0.25">
      <c r="A166" t="s">
        <v>461</v>
      </c>
      <c r="N166" s="5" t="s">
        <v>1198</v>
      </c>
      <c r="O166" s="5" t="s">
        <v>1199</v>
      </c>
    </row>
    <row r="167" spans="1:15" x14ac:dyDescent="0.25">
      <c r="A167" t="s">
        <v>370</v>
      </c>
      <c r="N167" s="5" t="s">
        <v>1321</v>
      </c>
      <c r="O167" s="5" t="s">
        <v>1322</v>
      </c>
    </row>
    <row r="168" spans="1:15" x14ac:dyDescent="0.25">
      <c r="A168" t="s">
        <v>499</v>
      </c>
      <c r="N168" s="5" t="s">
        <v>1116</v>
      </c>
      <c r="O168" s="5" t="s">
        <v>1117</v>
      </c>
    </row>
    <row r="169" spans="1:15" x14ac:dyDescent="0.25">
      <c r="A169" t="s">
        <v>450</v>
      </c>
      <c r="N169" s="5" t="s">
        <v>1348</v>
      </c>
      <c r="O169" s="5" t="s">
        <v>1350</v>
      </c>
    </row>
    <row r="170" spans="1:15" x14ac:dyDescent="0.25">
      <c r="A170" t="s">
        <v>402</v>
      </c>
      <c r="N170" s="5" t="s">
        <v>729</v>
      </c>
      <c r="O170" s="5" t="s">
        <v>1286</v>
      </c>
    </row>
    <row r="171" spans="1:15" x14ac:dyDescent="0.25">
      <c r="A171" t="s">
        <v>429</v>
      </c>
      <c r="N171" s="5" t="s">
        <v>756</v>
      </c>
      <c r="O171" s="5" t="s">
        <v>1273</v>
      </c>
    </row>
    <row r="172" spans="1:15" x14ac:dyDescent="0.25">
      <c r="A172" t="s">
        <v>271</v>
      </c>
      <c r="N172" s="5" t="s">
        <v>1280</v>
      </c>
      <c r="O172" s="5" t="s">
        <v>1283</v>
      </c>
    </row>
    <row r="173" spans="1:15" x14ac:dyDescent="0.25">
      <c r="A173" t="s">
        <v>586</v>
      </c>
      <c r="N173" s="5" t="s">
        <v>729</v>
      </c>
      <c r="O173" s="5" t="s">
        <v>1287</v>
      </c>
    </row>
    <row r="174" spans="1:15" x14ac:dyDescent="0.25">
      <c r="A174" t="s">
        <v>556</v>
      </c>
      <c r="N174" s="5" t="s">
        <v>1077</v>
      </c>
      <c r="O174" s="5" t="s">
        <v>1079</v>
      </c>
    </row>
    <row r="175" spans="1:15" x14ac:dyDescent="0.25">
      <c r="A175" t="s">
        <v>355</v>
      </c>
      <c r="N175" s="5" t="s">
        <v>1208</v>
      </c>
      <c r="O175" s="5" t="s">
        <v>1210</v>
      </c>
    </row>
    <row r="176" spans="1:15" x14ac:dyDescent="0.25">
      <c r="A176" t="s">
        <v>447</v>
      </c>
      <c r="N176" s="5" t="s">
        <v>1247</v>
      </c>
      <c r="O176" s="5" t="s">
        <v>1249</v>
      </c>
    </row>
    <row r="177" spans="1:15" x14ac:dyDescent="0.25">
      <c r="A177" t="s">
        <v>581</v>
      </c>
      <c r="N177" s="5" t="s">
        <v>1160</v>
      </c>
      <c r="O177" s="5" t="s">
        <v>1161</v>
      </c>
    </row>
    <row r="178" spans="1:15" x14ac:dyDescent="0.25">
      <c r="A178" t="s">
        <v>236</v>
      </c>
      <c r="N178" s="5" t="s">
        <v>1314</v>
      </c>
      <c r="O178" s="5" t="s">
        <v>1315</v>
      </c>
    </row>
    <row r="179" spans="1:15" x14ac:dyDescent="0.25">
      <c r="A179" t="s">
        <v>566</v>
      </c>
      <c r="N179" s="5" t="s">
        <v>1328</v>
      </c>
      <c r="O179" s="5" t="s">
        <v>1331</v>
      </c>
    </row>
    <row r="180" spans="1:15" x14ac:dyDescent="0.25">
      <c r="A180" t="s">
        <v>253</v>
      </c>
      <c r="N180" s="5" t="s">
        <v>1172</v>
      </c>
      <c r="O180" s="5" t="s">
        <v>1173</v>
      </c>
    </row>
    <row r="181" spans="1:15" x14ac:dyDescent="0.25">
      <c r="A181" t="s">
        <v>66</v>
      </c>
      <c r="N181" s="5" t="s">
        <v>1133</v>
      </c>
      <c r="O181" s="5" t="s">
        <v>1134</v>
      </c>
    </row>
    <row r="182" spans="1:15" x14ac:dyDescent="0.25">
      <c r="A182" t="s">
        <v>200</v>
      </c>
      <c r="N182" s="5" t="s">
        <v>1048</v>
      </c>
      <c r="O182" s="5" t="s">
        <v>1049</v>
      </c>
    </row>
    <row r="183" spans="1:15" x14ac:dyDescent="0.25">
      <c r="A183" t="s">
        <v>405</v>
      </c>
      <c r="N183" s="5" t="s">
        <v>1131</v>
      </c>
      <c r="O183" s="5" t="s">
        <v>1132</v>
      </c>
    </row>
    <row r="184" spans="1:15" x14ac:dyDescent="0.25">
      <c r="A184" t="s">
        <v>587</v>
      </c>
      <c r="N184" s="5" t="s">
        <v>729</v>
      </c>
      <c r="O184" s="5" t="s">
        <v>1288</v>
      </c>
    </row>
    <row r="185" spans="1:15" x14ac:dyDescent="0.25">
      <c r="A185" t="s">
        <v>588</v>
      </c>
      <c r="N185" s="5" t="s">
        <v>1223</v>
      </c>
      <c r="O185" s="5" t="s">
        <v>1228</v>
      </c>
    </row>
    <row r="186" spans="1:15" x14ac:dyDescent="0.25">
      <c r="A186" t="s">
        <v>555</v>
      </c>
      <c r="N186" s="5" t="s">
        <v>1014</v>
      </c>
      <c r="O186" s="5" t="s">
        <v>1015</v>
      </c>
    </row>
    <row r="187" spans="1:15" x14ac:dyDescent="0.25">
      <c r="A187" t="s">
        <v>407</v>
      </c>
      <c r="N187" s="5" t="s">
        <v>1187</v>
      </c>
      <c r="O187" s="5" t="s">
        <v>1188</v>
      </c>
    </row>
    <row r="188" spans="1:15" x14ac:dyDescent="0.25">
      <c r="A188" t="s">
        <v>408</v>
      </c>
      <c r="N188" s="5" t="s">
        <v>1033</v>
      </c>
      <c r="O188" s="5" t="s">
        <v>1034</v>
      </c>
    </row>
    <row r="189" spans="1:15" x14ac:dyDescent="0.25">
      <c r="A189" t="s">
        <v>567</v>
      </c>
      <c r="N189" s="5" t="s">
        <v>1035</v>
      </c>
      <c r="O189" s="5" t="s">
        <v>1036</v>
      </c>
    </row>
    <row r="190" spans="1:15" x14ac:dyDescent="0.25">
      <c r="A190" t="s">
        <v>427</v>
      </c>
      <c r="N190" s="5" t="s">
        <v>1044</v>
      </c>
      <c r="O190" s="5" t="s">
        <v>1045</v>
      </c>
    </row>
    <row r="191" spans="1:15" x14ac:dyDescent="0.25">
      <c r="A191" t="s">
        <v>413</v>
      </c>
      <c r="N191" s="5" t="s">
        <v>1166</v>
      </c>
      <c r="O191" s="5" t="s">
        <v>1167</v>
      </c>
    </row>
    <row r="192" spans="1:15" x14ac:dyDescent="0.25">
      <c r="A192" t="s">
        <v>419</v>
      </c>
      <c r="N192" s="5" t="s">
        <v>1257</v>
      </c>
      <c r="O192" s="5" t="s">
        <v>1165</v>
      </c>
    </row>
    <row r="193" spans="1:15" x14ac:dyDescent="0.25">
      <c r="A193" t="s">
        <v>464</v>
      </c>
      <c r="N193" s="5" t="s">
        <v>1301</v>
      </c>
      <c r="O193" s="5" t="s">
        <v>1165</v>
      </c>
    </row>
    <row r="194" spans="1:15" x14ac:dyDescent="0.25">
      <c r="A194" t="s">
        <v>589</v>
      </c>
      <c r="N194" s="5" t="s">
        <v>1318</v>
      </c>
      <c r="O194" s="5" t="s">
        <v>1165</v>
      </c>
    </row>
    <row r="195" spans="1:15" x14ac:dyDescent="0.25">
      <c r="A195" t="s">
        <v>519</v>
      </c>
      <c r="N195" s="5" t="s">
        <v>1325</v>
      </c>
      <c r="O195" s="5" t="s">
        <v>1165</v>
      </c>
    </row>
    <row r="196" spans="1:15" x14ac:dyDescent="0.25">
      <c r="A196" t="s">
        <v>509</v>
      </c>
      <c r="N196" s="5" t="s">
        <v>1164</v>
      </c>
      <c r="O196" s="5" t="s">
        <v>1165</v>
      </c>
    </row>
    <row r="197" spans="1:15" x14ac:dyDescent="0.25">
      <c r="A197" t="s">
        <v>264</v>
      </c>
      <c r="N197" s="5" t="s">
        <v>1176</v>
      </c>
      <c r="O197" s="5" t="s">
        <v>1179</v>
      </c>
    </row>
    <row r="198" spans="1:15" x14ac:dyDescent="0.25">
      <c r="A198" t="s">
        <v>492</v>
      </c>
      <c r="N198" s="5" t="s">
        <v>1213</v>
      </c>
      <c r="O198" s="5" t="s">
        <v>1214</v>
      </c>
    </row>
    <row r="199" spans="1:15" x14ac:dyDescent="0.25">
      <c r="A199" t="s">
        <v>481</v>
      </c>
      <c r="N199" s="5" t="s">
        <v>1215</v>
      </c>
      <c r="O199" s="5" t="s">
        <v>1221</v>
      </c>
    </row>
    <row r="200" spans="1:15" x14ac:dyDescent="0.25">
      <c r="A200" t="s">
        <v>529</v>
      </c>
      <c r="N200" s="5" t="s">
        <v>1243</v>
      </c>
      <c r="O200" s="5" t="s">
        <v>1244</v>
      </c>
    </row>
    <row r="201" spans="1:15" x14ac:dyDescent="0.25">
      <c r="A201" t="s">
        <v>508</v>
      </c>
      <c r="N201" s="5" t="s">
        <v>1070</v>
      </c>
      <c r="O201" s="5" t="s">
        <v>1072</v>
      </c>
    </row>
    <row r="202" spans="1:15" x14ac:dyDescent="0.25">
      <c r="A202" t="s">
        <v>568</v>
      </c>
      <c r="N202" s="5" t="s">
        <v>1022</v>
      </c>
      <c r="O202" s="5" t="s">
        <v>1011</v>
      </c>
    </row>
    <row r="203" spans="1:15" x14ac:dyDescent="0.25">
      <c r="A203" t="s">
        <v>476</v>
      </c>
      <c r="N203" s="5" t="s">
        <v>1138</v>
      </c>
      <c r="O203" s="5" t="s">
        <v>1011</v>
      </c>
    </row>
    <row r="204" spans="1:15" x14ac:dyDescent="0.25">
      <c r="A204" t="s">
        <v>409</v>
      </c>
      <c r="N204" s="5" t="s">
        <v>1157</v>
      </c>
      <c r="O204" s="5" t="s">
        <v>1011</v>
      </c>
    </row>
    <row r="205" spans="1:15" x14ac:dyDescent="0.25">
      <c r="A205" t="s">
        <v>374</v>
      </c>
      <c r="N205" s="5" t="s">
        <v>1215</v>
      </c>
      <c r="O205" s="5" t="s">
        <v>1011</v>
      </c>
    </row>
    <row r="206" spans="1:15" x14ac:dyDescent="0.25">
      <c r="A206" t="s">
        <v>428</v>
      </c>
      <c r="N206" s="5" t="s">
        <v>1010</v>
      </c>
      <c r="O206" s="5" t="s">
        <v>1011</v>
      </c>
    </row>
    <row r="207" spans="1:15" x14ac:dyDescent="0.25">
      <c r="A207" t="s">
        <v>451</v>
      </c>
      <c r="N207" s="5" t="s">
        <v>1094</v>
      </c>
      <c r="O207" s="5" t="s">
        <v>1096</v>
      </c>
    </row>
    <row r="208" spans="1:15" x14ac:dyDescent="0.25">
      <c r="A208" t="s">
        <v>590</v>
      </c>
      <c r="N208" s="5" t="s">
        <v>1176</v>
      </c>
      <c r="O208" s="5" t="s">
        <v>1180</v>
      </c>
    </row>
    <row r="209" spans="1:15" x14ac:dyDescent="0.25">
      <c r="A209" t="s">
        <v>489</v>
      </c>
      <c r="N209" s="5" t="s">
        <v>1018</v>
      </c>
      <c r="O209" s="5" t="s">
        <v>1019</v>
      </c>
    </row>
    <row r="210" spans="1:15" x14ac:dyDescent="0.25">
      <c r="A210" t="s">
        <v>272</v>
      </c>
      <c r="N210" s="5" t="s">
        <v>1215</v>
      </c>
      <c r="O210" s="5" t="s">
        <v>1222</v>
      </c>
    </row>
    <row r="211" spans="1:15" x14ac:dyDescent="0.25">
      <c r="A211" t="s">
        <v>522</v>
      </c>
      <c r="N211" s="5" t="s">
        <v>1020</v>
      </c>
      <c r="O211" s="5" t="s">
        <v>1021</v>
      </c>
    </row>
    <row r="212" spans="1:15" x14ac:dyDescent="0.25">
      <c r="A212" t="s">
        <v>569</v>
      </c>
      <c r="N212" s="5" t="s">
        <v>1075</v>
      </c>
      <c r="O212" s="5" t="s">
        <v>1076</v>
      </c>
    </row>
    <row r="213" spans="1:15" x14ac:dyDescent="0.25">
      <c r="A213" t="s">
        <v>422</v>
      </c>
      <c r="N213" s="5" t="s">
        <v>733</v>
      </c>
      <c r="O213" s="5" t="s">
        <v>1005</v>
      </c>
    </row>
    <row r="214" spans="1:15" x14ac:dyDescent="0.25">
      <c r="A214" t="s">
        <v>68</v>
      </c>
      <c r="N214" s="5" t="s">
        <v>1339</v>
      </c>
      <c r="O214" s="5" t="s">
        <v>1340</v>
      </c>
    </row>
    <row r="215" spans="1:15" x14ac:dyDescent="0.25">
      <c r="A215" t="s">
        <v>470</v>
      </c>
      <c r="N215" s="5" t="s">
        <v>1158</v>
      </c>
      <c r="O215" s="5" t="s">
        <v>1159</v>
      </c>
    </row>
    <row r="216" spans="1:15" x14ac:dyDescent="0.25">
      <c r="A216" t="s">
        <v>540</v>
      </c>
      <c r="N216" s="5" t="s">
        <v>754</v>
      </c>
      <c r="O216" s="5" t="s">
        <v>752</v>
      </c>
    </row>
    <row r="217" spans="1:15" x14ac:dyDescent="0.25">
      <c r="A217" t="s">
        <v>430</v>
      </c>
      <c r="N217" s="5" t="s">
        <v>733</v>
      </c>
      <c r="O217" s="5" t="s">
        <v>1006</v>
      </c>
    </row>
    <row r="218" spans="1:15" x14ac:dyDescent="0.25">
      <c r="A218" t="s">
        <v>570</v>
      </c>
      <c r="N218" s="5" t="s">
        <v>757</v>
      </c>
      <c r="O218" s="5" t="s">
        <v>1006</v>
      </c>
    </row>
    <row r="219" spans="1:15" x14ac:dyDescent="0.25">
      <c r="A219" t="s">
        <v>360</v>
      </c>
      <c r="N219" s="5" t="s">
        <v>1052</v>
      </c>
      <c r="O219" s="5" t="s">
        <v>1053</v>
      </c>
    </row>
    <row r="220" spans="1:15" x14ac:dyDescent="0.25">
      <c r="A220" t="s">
        <v>381</v>
      </c>
      <c r="N220" s="5" t="s">
        <v>1160</v>
      </c>
      <c r="O220" s="5" t="s">
        <v>1053</v>
      </c>
    </row>
    <row r="221" spans="1:15" x14ac:dyDescent="0.25">
      <c r="A221" t="s">
        <v>559</v>
      </c>
      <c r="N221" s="5" t="s">
        <v>1383</v>
      </c>
      <c r="O221" s="5" t="s">
        <v>1384</v>
      </c>
    </row>
    <row r="222" spans="1:15" x14ac:dyDescent="0.25">
      <c r="A222" t="s">
        <v>547</v>
      </c>
      <c r="N222" s="5" t="s">
        <v>1047</v>
      </c>
      <c r="O222" s="5" t="s">
        <v>1324</v>
      </c>
    </row>
    <row r="223" spans="1:15" x14ac:dyDescent="0.25">
      <c r="A223" t="s">
        <v>571</v>
      </c>
      <c r="N223" s="5" t="s">
        <v>1124</v>
      </c>
      <c r="O223" s="5" t="s">
        <v>1125</v>
      </c>
    </row>
    <row r="224" spans="1:15" x14ac:dyDescent="0.25">
      <c r="A224" t="s">
        <v>494</v>
      </c>
      <c r="N224" s="5" t="s">
        <v>1046</v>
      </c>
      <c r="O224" s="5" t="s">
        <v>1047</v>
      </c>
    </row>
    <row r="225" spans="1:15" x14ac:dyDescent="0.25">
      <c r="A225" t="s">
        <v>188</v>
      </c>
      <c r="N225" s="5" t="s">
        <v>1168</v>
      </c>
      <c r="O225" s="5" t="s">
        <v>1169</v>
      </c>
    </row>
    <row r="226" spans="1:15" x14ac:dyDescent="0.25">
      <c r="A226" t="s">
        <v>431</v>
      </c>
      <c r="N226" s="5" t="s">
        <v>1068</v>
      </c>
      <c r="O226" s="5" t="s">
        <v>1069</v>
      </c>
    </row>
    <row r="227" spans="1:15" x14ac:dyDescent="0.25">
      <c r="A227" t="s">
        <v>434</v>
      </c>
      <c r="N227" s="5" t="s">
        <v>1065</v>
      </c>
      <c r="O227" s="5" t="s">
        <v>1067</v>
      </c>
    </row>
    <row r="228" spans="1:15" x14ac:dyDescent="0.25">
      <c r="A228" t="s">
        <v>382</v>
      </c>
      <c r="N228" s="5" t="s">
        <v>1160</v>
      </c>
      <c r="O228" s="5" t="s">
        <v>1017</v>
      </c>
    </row>
    <row r="229" spans="1:15" x14ac:dyDescent="0.25">
      <c r="A229" t="s">
        <v>530</v>
      </c>
      <c r="N229" s="5" t="s">
        <v>1352</v>
      </c>
      <c r="O229" s="5" t="s">
        <v>1017</v>
      </c>
    </row>
    <row r="230" spans="1:15" x14ac:dyDescent="0.25">
      <c r="A230" t="s">
        <v>432</v>
      </c>
      <c r="N230" s="5" t="s">
        <v>1016</v>
      </c>
      <c r="O230" s="5" t="s">
        <v>1017</v>
      </c>
    </row>
    <row r="231" spans="1:15" x14ac:dyDescent="0.25">
      <c r="A231" t="s">
        <v>591</v>
      </c>
      <c r="N231" s="5" t="s">
        <v>754</v>
      </c>
      <c r="O231" s="5" t="s">
        <v>1017</v>
      </c>
    </row>
    <row r="232" spans="1:15" x14ac:dyDescent="0.25">
      <c r="A232" t="s">
        <v>449</v>
      </c>
      <c r="N232" s="5" t="s">
        <v>1100</v>
      </c>
      <c r="O232" s="5" t="s">
        <v>1102</v>
      </c>
    </row>
    <row r="233" spans="1:15" x14ac:dyDescent="0.25">
      <c r="A233" t="s">
        <v>546</v>
      </c>
      <c r="N233" s="5" t="s">
        <v>1146</v>
      </c>
      <c r="O233" s="5" t="s">
        <v>1102</v>
      </c>
    </row>
    <row r="234" spans="1:15" x14ac:dyDescent="0.25">
      <c r="A234" t="s">
        <v>475</v>
      </c>
      <c r="N234" s="5" t="s">
        <v>1280</v>
      </c>
      <c r="O234" s="5" t="s">
        <v>1284</v>
      </c>
    </row>
    <row r="235" spans="1:15" x14ac:dyDescent="0.25">
      <c r="A235" t="s">
        <v>592</v>
      </c>
      <c r="N235" s="5" t="s">
        <v>999</v>
      </c>
      <c r="O235" s="5" t="s">
        <v>1000</v>
      </c>
    </row>
    <row r="236" spans="1:15" x14ac:dyDescent="0.25">
      <c r="A236" t="s">
        <v>410</v>
      </c>
      <c r="N236" s="5" t="s">
        <v>1235</v>
      </c>
      <c r="O236" s="5" t="s">
        <v>1237</v>
      </c>
    </row>
    <row r="237" spans="1:15" x14ac:dyDescent="0.25">
      <c r="A237" t="s">
        <v>386</v>
      </c>
      <c r="N237" s="5" t="s">
        <v>1080</v>
      </c>
      <c r="O237" s="5" t="s">
        <v>1081</v>
      </c>
    </row>
    <row r="238" spans="1:15" x14ac:dyDescent="0.25">
      <c r="A238" t="s">
        <v>553</v>
      </c>
      <c r="N238" s="5" t="s">
        <v>1332</v>
      </c>
      <c r="O238" s="5" t="s">
        <v>1333</v>
      </c>
    </row>
    <row r="239" spans="1:15" x14ac:dyDescent="0.25">
      <c r="A239" t="s">
        <v>480</v>
      </c>
      <c r="N239" s="5" t="s">
        <v>1363</v>
      </c>
      <c r="O239" s="5" t="s">
        <v>1366</v>
      </c>
    </row>
    <row r="240" spans="1:15" x14ac:dyDescent="0.25">
      <c r="A240" t="s">
        <v>526</v>
      </c>
      <c r="N240" s="5" t="s">
        <v>734</v>
      </c>
      <c r="O240" s="5" t="s">
        <v>1253</v>
      </c>
    </row>
    <row r="241" spans="1:15" x14ac:dyDescent="0.25">
      <c r="A241" t="s">
        <v>572</v>
      </c>
      <c r="N241" s="5" t="s">
        <v>1054</v>
      </c>
      <c r="O241" s="5" t="s">
        <v>1055</v>
      </c>
    </row>
    <row r="242" spans="1:15" x14ac:dyDescent="0.25">
      <c r="A242" t="s">
        <v>459</v>
      </c>
      <c r="N242" s="5" t="s">
        <v>1223</v>
      </c>
      <c r="O242" s="5" t="s">
        <v>1055</v>
      </c>
    </row>
    <row r="243" spans="1:15" x14ac:dyDescent="0.25">
      <c r="A243" t="s">
        <v>593</v>
      </c>
      <c r="N243" s="5" t="s">
        <v>1371</v>
      </c>
      <c r="O243" s="5" t="s">
        <v>1055</v>
      </c>
    </row>
    <row r="244" spans="1:15" x14ac:dyDescent="0.25">
      <c r="A244" t="s">
        <v>61</v>
      </c>
      <c r="N244" s="5" t="s">
        <v>1124</v>
      </c>
      <c r="O244" s="5" t="s">
        <v>1126</v>
      </c>
    </row>
    <row r="245" spans="1:15" x14ac:dyDescent="0.25">
      <c r="A245" t="s">
        <v>452</v>
      </c>
      <c r="N245" s="5" t="s">
        <v>1336</v>
      </c>
      <c r="O245" s="5" t="s">
        <v>1338</v>
      </c>
    </row>
    <row r="246" spans="1:15" x14ac:dyDescent="0.25">
      <c r="A246" t="s">
        <v>411</v>
      </c>
      <c r="N246" s="5" t="s">
        <v>1097</v>
      </c>
      <c r="O246" s="5" t="s">
        <v>1098</v>
      </c>
    </row>
    <row r="247" spans="1:15" x14ac:dyDescent="0.25">
      <c r="A247" t="s">
        <v>468</v>
      </c>
      <c r="N247" s="5" t="s">
        <v>1275</v>
      </c>
      <c r="O247" s="5" t="s">
        <v>1276</v>
      </c>
    </row>
    <row r="248" spans="1:15" x14ac:dyDescent="0.25">
      <c r="A248" t="s">
        <v>562</v>
      </c>
      <c r="N248" s="5" t="s">
        <v>1266</v>
      </c>
      <c r="O248" s="5" t="s">
        <v>1267</v>
      </c>
    </row>
    <row r="249" spans="1:15" x14ac:dyDescent="0.25">
      <c r="A249" t="s">
        <v>186</v>
      </c>
      <c r="N249" s="5" t="s">
        <v>1200</v>
      </c>
      <c r="O249" s="5" t="s">
        <v>1201</v>
      </c>
    </row>
    <row r="250" spans="1:15" x14ac:dyDescent="0.25">
      <c r="A250" t="s">
        <v>539</v>
      </c>
      <c r="N250" s="5" t="s">
        <v>1139</v>
      </c>
      <c r="O250" s="5" t="s">
        <v>1140</v>
      </c>
    </row>
    <row r="251" spans="1:15" x14ac:dyDescent="0.25">
      <c r="A251" t="s">
        <v>594</v>
      </c>
      <c r="N251" s="5" t="s">
        <v>1295</v>
      </c>
      <c r="O251" s="5" t="s">
        <v>1297</v>
      </c>
    </row>
    <row r="252" spans="1:15" x14ac:dyDescent="0.25">
      <c r="A252" t="s">
        <v>520</v>
      </c>
      <c r="N252" s="5" t="s">
        <v>1082</v>
      </c>
      <c r="O252" s="5" t="s">
        <v>1084</v>
      </c>
    </row>
    <row r="253" spans="1:15" x14ac:dyDescent="0.25">
      <c r="A253" t="s">
        <v>503</v>
      </c>
      <c r="N253" s="5" t="s">
        <v>1280</v>
      </c>
      <c r="O253" s="5" t="s">
        <v>1084</v>
      </c>
    </row>
    <row r="254" spans="1:15" x14ac:dyDescent="0.25">
      <c r="A254" t="s">
        <v>573</v>
      </c>
      <c r="N254" s="5" t="s">
        <v>1231</v>
      </c>
      <c r="O254" s="5" t="s">
        <v>1232</v>
      </c>
    </row>
    <row r="255" spans="1:15" x14ac:dyDescent="0.25">
      <c r="A255" t="s">
        <v>456</v>
      </c>
      <c r="N255" s="5" t="s">
        <v>755</v>
      </c>
      <c r="O255" s="5" t="s">
        <v>1207</v>
      </c>
    </row>
    <row r="256" spans="1:15" x14ac:dyDescent="0.25">
      <c r="A256" t="s">
        <v>466</v>
      </c>
      <c r="N256" s="5" t="s">
        <v>1084</v>
      </c>
      <c r="O256" s="5" t="s">
        <v>1342</v>
      </c>
    </row>
    <row r="257" spans="1:15" x14ac:dyDescent="0.25">
      <c r="A257" t="s">
        <v>388</v>
      </c>
      <c r="N257" s="5" t="s">
        <v>1376</v>
      </c>
      <c r="O257" s="5" t="s">
        <v>1377</v>
      </c>
    </row>
    <row r="258" spans="1:15" x14ac:dyDescent="0.25">
      <c r="A258" t="s">
        <v>362</v>
      </c>
      <c r="N258" s="5" t="s">
        <v>1223</v>
      </c>
      <c r="O258" s="5" t="s">
        <v>1229</v>
      </c>
    </row>
    <row r="259" spans="1:15" x14ac:dyDescent="0.25">
      <c r="A259" t="s">
        <v>348</v>
      </c>
      <c r="N259" s="5" t="s">
        <v>1007</v>
      </c>
      <c r="O259" s="5" t="s">
        <v>1009</v>
      </c>
    </row>
    <row r="260" spans="1:15" x14ac:dyDescent="0.25">
      <c r="A260" t="s">
        <v>212</v>
      </c>
      <c r="N260" s="5" t="s">
        <v>1275</v>
      </c>
      <c r="O260" s="5" t="s">
        <v>1277</v>
      </c>
    </row>
    <row r="261" spans="1:15" x14ac:dyDescent="0.25">
      <c r="A261" t="s">
        <v>574</v>
      </c>
      <c r="N261" s="5" t="s">
        <v>1176</v>
      </c>
      <c r="O261" s="5" t="s">
        <v>750</v>
      </c>
    </row>
    <row r="262" spans="1:15" x14ac:dyDescent="0.25">
      <c r="A262" t="s">
        <v>460</v>
      </c>
      <c r="N262" s="5" t="s">
        <v>1278</v>
      </c>
      <c r="O262" s="5" t="s">
        <v>1279</v>
      </c>
    </row>
    <row r="263" spans="1:15" x14ac:dyDescent="0.25">
      <c r="A263" t="s">
        <v>472</v>
      </c>
      <c r="N263" s="5" t="s">
        <v>1086</v>
      </c>
      <c r="O263" s="5" t="s">
        <v>1087</v>
      </c>
    </row>
    <row r="264" spans="1:15" x14ac:dyDescent="0.25">
      <c r="A264" t="s">
        <v>396</v>
      </c>
      <c r="N264" s="5" t="s">
        <v>1235</v>
      </c>
      <c r="O264" s="5" t="s">
        <v>1238</v>
      </c>
    </row>
    <row r="265" spans="1:15" x14ac:dyDescent="0.25">
      <c r="A265" t="s">
        <v>491</v>
      </c>
      <c r="N265" s="5" t="s">
        <v>754</v>
      </c>
      <c r="O265" s="5" t="s">
        <v>1062</v>
      </c>
    </row>
    <row r="266" spans="1:15" x14ac:dyDescent="0.25">
      <c r="A266" t="s">
        <v>412</v>
      </c>
      <c r="N266" s="5" t="s">
        <v>1295</v>
      </c>
      <c r="O266" s="5" t="s">
        <v>1298</v>
      </c>
    </row>
    <row r="267" spans="1:15" x14ac:dyDescent="0.25">
      <c r="A267" t="s">
        <v>437</v>
      </c>
      <c r="N267" s="5" t="s">
        <v>1359</v>
      </c>
      <c r="O267" s="5" t="s">
        <v>1360</v>
      </c>
    </row>
    <row r="268" spans="1:15" x14ac:dyDescent="0.25">
      <c r="A268" t="s">
        <v>406</v>
      </c>
      <c r="N268" s="5" t="s">
        <v>1383</v>
      </c>
      <c r="O268" s="5" t="s">
        <v>1385</v>
      </c>
    </row>
    <row r="269" spans="1:15" x14ac:dyDescent="0.25">
      <c r="A269" t="s">
        <v>554</v>
      </c>
      <c r="N269" s="5" t="s">
        <v>1386</v>
      </c>
      <c r="O269" s="5" t="s">
        <v>1387</v>
      </c>
    </row>
    <row r="270" spans="1:15" x14ac:dyDescent="0.25">
      <c r="A270" t="s">
        <v>433</v>
      </c>
      <c r="N270" s="5" t="s">
        <v>756</v>
      </c>
      <c r="O270" s="5" t="s">
        <v>1274</v>
      </c>
    </row>
    <row r="271" spans="1:15" x14ac:dyDescent="0.25">
      <c r="A271" t="s">
        <v>242</v>
      </c>
      <c r="N271" s="5" t="s">
        <v>1348</v>
      </c>
      <c r="O271" s="5" t="s">
        <v>1351</v>
      </c>
    </row>
    <row r="272" spans="1:15" x14ac:dyDescent="0.25">
      <c r="A272" t="s">
        <v>256</v>
      </c>
      <c r="N272" s="5" t="s">
        <v>1103</v>
      </c>
      <c r="O272" s="5" t="s">
        <v>1104</v>
      </c>
    </row>
    <row r="273" spans="1:15" x14ac:dyDescent="0.25">
      <c r="A273" t="s">
        <v>512</v>
      </c>
      <c r="N273" s="5" t="s">
        <v>1082</v>
      </c>
      <c r="O273" s="5" t="s">
        <v>1085</v>
      </c>
    </row>
    <row r="274" spans="1:15" x14ac:dyDescent="0.25">
      <c r="A274" t="s">
        <v>510</v>
      </c>
      <c r="N274" s="5" t="s">
        <v>1039</v>
      </c>
      <c r="O274" s="5" t="s">
        <v>1043</v>
      </c>
    </row>
    <row r="275" spans="1:15" x14ac:dyDescent="0.25">
      <c r="A275" t="s">
        <v>518</v>
      </c>
      <c r="N275" s="5" t="s">
        <v>1107</v>
      </c>
      <c r="O275" s="5" t="s">
        <v>1111</v>
      </c>
    </row>
    <row r="276" spans="1:15" x14ac:dyDescent="0.25">
      <c r="A276" t="s">
        <v>389</v>
      </c>
      <c r="N276" s="5" t="s">
        <v>757</v>
      </c>
      <c r="O276" s="5" t="s">
        <v>1111</v>
      </c>
    </row>
    <row r="277" spans="1:15" x14ac:dyDescent="0.25">
      <c r="A277" t="s">
        <v>340</v>
      </c>
      <c r="N277" s="5" t="s">
        <v>1370</v>
      </c>
      <c r="O277" s="5" t="s">
        <v>1111</v>
      </c>
    </row>
    <row r="278" spans="1:15" x14ac:dyDescent="0.25">
      <c r="A278" t="s">
        <v>500</v>
      </c>
      <c r="N278" s="5" t="s">
        <v>1245</v>
      </c>
      <c r="O278" s="5" t="s">
        <v>1246</v>
      </c>
    </row>
    <row r="279" spans="1:15" x14ac:dyDescent="0.25">
      <c r="A279" t="s">
        <v>218</v>
      </c>
      <c r="N279" s="5" t="s">
        <v>1139</v>
      </c>
      <c r="O279" s="5" t="s">
        <v>1141</v>
      </c>
    </row>
    <row r="280" spans="1:15" x14ac:dyDescent="0.25">
      <c r="A280" t="s">
        <v>455</v>
      </c>
    </row>
    <row r="281" spans="1:15" x14ac:dyDescent="0.25">
      <c r="A281" t="s">
        <v>538</v>
      </c>
    </row>
    <row r="282" spans="1:15" x14ac:dyDescent="0.25">
      <c r="A282" t="s">
        <v>250</v>
      </c>
    </row>
    <row r="283" spans="1:15" x14ac:dyDescent="0.25">
      <c r="A283" t="s">
        <v>537</v>
      </c>
    </row>
    <row r="284" spans="1:15" x14ac:dyDescent="0.25">
      <c r="A284" t="s">
        <v>531</v>
      </c>
    </row>
    <row r="285" spans="1:15" x14ac:dyDescent="0.25">
      <c r="A285" t="s">
        <v>490</v>
      </c>
    </row>
    <row r="286" spans="1:15" x14ac:dyDescent="0.25">
      <c r="A286" t="s">
        <v>523</v>
      </c>
    </row>
    <row r="287" spans="1:15" x14ac:dyDescent="0.25">
      <c r="A287" t="s">
        <v>265</v>
      </c>
    </row>
    <row r="288" spans="1:15" x14ac:dyDescent="0.25">
      <c r="A288" t="s">
        <v>482</v>
      </c>
    </row>
    <row r="289" spans="1:1" x14ac:dyDescent="0.25">
      <c r="A289" t="s">
        <v>446</v>
      </c>
    </row>
    <row r="290" spans="1:1" x14ac:dyDescent="0.25">
      <c r="A290" t="s">
        <v>575</v>
      </c>
    </row>
    <row r="291" spans="1:1" x14ac:dyDescent="0.25">
      <c r="A291" t="s">
        <v>367</v>
      </c>
    </row>
    <row r="292" spans="1:1" x14ac:dyDescent="0.25">
      <c r="A292" t="s">
        <v>595</v>
      </c>
    </row>
    <row r="293" spans="1:1" x14ac:dyDescent="0.25">
      <c r="A293" t="s">
        <v>392</v>
      </c>
    </row>
    <row r="294" spans="1:1" x14ac:dyDescent="0.25">
      <c r="A294" t="s">
        <v>239</v>
      </c>
    </row>
    <row r="295" spans="1:1" x14ac:dyDescent="0.25">
      <c r="A295" t="s">
        <v>424</v>
      </c>
    </row>
    <row r="296" spans="1:1" x14ac:dyDescent="0.25">
      <c r="A296" t="s">
        <v>394</v>
      </c>
    </row>
    <row r="297" spans="1:1" x14ac:dyDescent="0.25">
      <c r="A297" t="s">
        <v>393</v>
      </c>
    </row>
    <row r="298" spans="1:1" x14ac:dyDescent="0.25">
      <c r="A298" t="s">
        <v>596</v>
      </c>
    </row>
    <row r="299" spans="1:1" x14ac:dyDescent="0.25">
      <c r="A299" t="s">
        <v>369</v>
      </c>
    </row>
    <row r="300" spans="1:1" x14ac:dyDescent="0.25">
      <c r="A300" t="s">
        <v>485</v>
      </c>
    </row>
    <row r="301" spans="1:1" x14ac:dyDescent="0.25">
      <c r="A301" t="s">
        <v>180</v>
      </c>
    </row>
    <row r="302" spans="1:1" x14ac:dyDescent="0.25">
      <c r="A302" t="s">
        <v>263</v>
      </c>
    </row>
    <row r="303" spans="1:1" x14ac:dyDescent="0.25">
      <c r="A303" t="s">
        <v>364</v>
      </c>
    </row>
    <row r="304" spans="1:1" x14ac:dyDescent="0.25">
      <c r="A304" t="s">
        <v>528</v>
      </c>
    </row>
    <row r="305" spans="1:1" x14ac:dyDescent="0.25">
      <c r="A305" t="s">
        <v>525</v>
      </c>
    </row>
    <row r="306" spans="1:1" x14ac:dyDescent="0.25">
      <c r="A306" t="s">
        <v>192</v>
      </c>
    </row>
    <row r="307" spans="1:1" x14ac:dyDescent="0.25">
      <c r="A307" t="s">
        <v>375</v>
      </c>
    </row>
    <row r="308" spans="1:1" x14ac:dyDescent="0.25">
      <c r="A308" t="s">
        <v>524</v>
      </c>
    </row>
    <row r="309" spans="1:1" x14ac:dyDescent="0.25">
      <c r="A309" t="s">
        <v>404</v>
      </c>
    </row>
    <row r="310" spans="1:1" x14ac:dyDescent="0.25">
      <c r="A310" t="s">
        <v>576</v>
      </c>
    </row>
    <row r="311" spans="1:1" x14ac:dyDescent="0.25">
      <c r="A311" t="s">
        <v>445</v>
      </c>
    </row>
    <row r="312" spans="1:1" x14ac:dyDescent="0.25">
      <c r="A312" t="s">
        <v>75</v>
      </c>
    </row>
    <row r="313" spans="1:1" x14ac:dyDescent="0.25">
      <c r="A313" t="s">
        <v>502</v>
      </c>
    </row>
    <row r="314" spans="1:1" x14ac:dyDescent="0.25">
      <c r="A314" t="s">
        <v>467</v>
      </c>
    </row>
    <row r="315" spans="1:1" x14ac:dyDescent="0.25">
      <c r="A315" t="s">
        <v>515</v>
      </c>
    </row>
    <row r="316" spans="1:1" x14ac:dyDescent="0.25">
      <c r="A316" t="s">
        <v>535</v>
      </c>
    </row>
    <row r="317" spans="1:1" x14ac:dyDescent="0.25">
      <c r="A317" t="s">
        <v>507</v>
      </c>
    </row>
    <row r="318" spans="1:1" x14ac:dyDescent="0.25">
      <c r="A318" t="s">
        <v>458</v>
      </c>
    </row>
    <row r="319" spans="1:1" x14ac:dyDescent="0.25">
      <c r="A319" t="s">
        <v>552</v>
      </c>
    </row>
    <row r="320" spans="1:1" x14ac:dyDescent="0.25">
      <c r="A320" t="s">
        <v>558</v>
      </c>
    </row>
    <row r="321" spans="1:1" x14ac:dyDescent="0.25">
      <c r="A321" t="s">
        <v>462</v>
      </c>
    </row>
    <row r="322" spans="1:1" x14ac:dyDescent="0.25">
      <c r="A322" t="s">
        <v>551</v>
      </c>
    </row>
    <row r="323" spans="1:1" x14ac:dyDescent="0.25">
      <c r="A323" t="s">
        <v>532</v>
      </c>
    </row>
    <row r="324" spans="1:1" x14ac:dyDescent="0.25">
      <c r="A324" t="s">
        <v>541</v>
      </c>
    </row>
    <row r="325" spans="1:1" x14ac:dyDescent="0.25">
      <c r="A325" t="s">
        <v>276</v>
      </c>
    </row>
    <row r="326" spans="1:1" x14ac:dyDescent="0.25">
      <c r="A326" t="s">
        <v>533</v>
      </c>
    </row>
    <row r="327" spans="1:1" x14ac:dyDescent="0.25">
      <c r="A327" t="s">
        <v>582</v>
      </c>
    </row>
    <row r="328" spans="1:1" x14ac:dyDescent="0.25">
      <c r="A328" t="s">
        <v>479</v>
      </c>
    </row>
    <row r="329" spans="1:1" x14ac:dyDescent="0.25">
      <c r="A329" t="s">
        <v>548</v>
      </c>
    </row>
    <row r="330" spans="1:1" x14ac:dyDescent="0.25">
      <c r="A330" t="s">
        <v>577</v>
      </c>
    </row>
    <row r="331" spans="1:1" x14ac:dyDescent="0.25">
      <c r="A331" t="s">
        <v>513</v>
      </c>
    </row>
    <row r="332" spans="1:1" x14ac:dyDescent="0.25">
      <c r="A332" t="s">
        <v>403</v>
      </c>
    </row>
    <row r="333" spans="1:1" x14ac:dyDescent="0.25">
      <c r="A333" t="s">
        <v>560</v>
      </c>
    </row>
    <row r="334" spans="1:1" x14ac:dyDescent="0.25">
      <c r="A334" t="s">
        <v>578</v>
      </c>
    </row>
    <row r="335" spans="1:1" x14ac:dyDescent="0.25">
      <c r="A335" t="s">
        <v>597</v>
      </c>
    </row>
    <row r="336" spans="1:1" x14ac:dyDescent="0.25">
      <c r="A336" t="s">
        <v>182</v>
      </c>
    </row>
    <row r="337" spans="1:1" x14ac:dyDescent="0.25">
      <c r="A337" t="s">
        <v>290</v>
      </c>
    </row>
    <row r="338" spans="1:1" x14ac:dyDescent="0.25">
      <c r="A338" t="s">
        <v>469</v>
      </c>
    </row>
    <row r="339" spans="1:1" x14ac:dyDescent="0.25">
      <c r="A339" t="s">
        <v>557</v>
      </c>
    </row>
    <row r="340" spans="1:1" x14ac:dyDescent="0.25">
      <c r="A340" t="s">
        <v>496</v>
      </c>
    </row>
    <row r="341" spans="1:1" x14ac:dyDescent="0.25">
      <c r="A341" t="s">
        <v>275</v>
      </c>
    </row>
    <row r="342" spans="1:1" x14ac:dyDescent="0.25">
      <c r="A342" t="s">
        <v>579</v>
      </c>
    </row>
    <row r="343" spans="1:1" x14ac:dyDescent="0.25">
      <c r="A343" t="s">
        <v>487</v>
      </c>
    </row>
    <row r="344" spans="1:1" x14ac:dyDescent="0.25">
      <c r="A344" t="s">
        <v>478</v>
      </c>
    </row>
    <row r="345" spans="1:1" x14ac:dyDescent="0.25">
      <c r="A345" t="s">
        <v>341</v>
      </c>
    </row>
    <row r="346" spans="1:1" x14ac:dyDescent="0.25">
      <c r="A346" t="s">
        <v>473</v>
      </c>
    </row>
    <row r="347" spans="1:1" x14ac:dyDescent="0.25">
      <c r="A347" t="s">
        <v>344</v>
      </c>
    </row>
    <row r="348" spans="1:1" x14ac:dyDescent="0.25">
      <c r="A348" t="s">
        <v>580</v>
      </c>
    </row>
    <row r="349" spans="1:1" x14ac:dyDescent="0.25">
      <c r="A349" t="s">
        <v>270</v>
      </c>
    </row>
    <row r="350" spans="1:1" x14ac:dyDescent="0.25">
      <c r="A350" t="s">
        <v>561</v>
      </c>
    </row>
    <row r="351" spans="1:1" x14ac:dyDescent="0.25">
      <c r="A351" t="s">
        <v>465</v>
      </c>
    </row>
    <row r="352" spans="1:1" x14ac:dyDescent="0.25">
      <c r="A352" t="s">
        <v>598</v>
      </c>
    </row>
    <row r="353" spans="1:1" x14ac:dyDescent="0.25">
      <c r="A353" t="s">
        <v>498</v>
      </c>
    </row>
    <row r="354" spans="1:1" x14ac:dyDescent="0.25">
      <c r="A354" t="s">
        <v>425</v>
      </c>
    </row>
    <row r="355" spans="1:1" x14ac:dyDescent="0.25">
      <c r="A355" t="s">
        <v>474</v>
      </c>
    </row>
    <row r="356" spans="1:1" x14ac:dyDescent="0.25">
      <c r="A356" t="s">
        <v>534</v>
      </c>
    </row>
    <row r="357" spans="1:1" x14ac:dyDescent="0.25">
      <c r="A357" t="s">
        <v>418</v>
      </c>
    </row>
    <row r="358" spans="1:1" x14ac:dyDescent="0.25">
      <c r="A358" t="s">
        <v>486</v>
      </c>
    </row>
    <row r="359" spans="1:1" x14ac:dyDescent="0.25">
      <c r="A359" t="s">
        <v>484</v>
      </c>
    </row>
    <row r="360" spans="1:1" x14ac:dyDescent="0.25">
      <c r="A360" t="s">
        <v>527</v>
      </c>
    </row>
    <row r="361" spans="1:1" x14ac:dyDescent="0.25">
      <c r="A361" t="s">
        <v>417</v>
      </c>
    </row>
    <row r="362" spans="1:1" x14ac:dyDescent="0.25">
      <c r="A362" t="s">
        <v>365</v>
      </c>
    </row>
    <row r="363" spans="1:1" x14ac:dyDescent="0.25">
      <c r="A363" t="s">
        <v>277</v>
      </c>
    </row>
    <row r="364" spans="1:1" x14ac:dyDescent="0.25">
      <c r="A364" t="s">
        <v>79</v>
      </c>
    </row>
    <row r="365" spans="1:1" x14ac:dyDescent="0.25">
      <c r="A365" t="s">
        <v>599</v>
      </c>
    </row>
    <row r="366" spans="1:1" x14ac:dyDescent="0.25">
      <c r="A366" t="s">
        <v>483</v>
      </c>
    </row>
    <row r="367" spans="1:1" x14ac:dyDescent="0.25">
      <c r="A367" t="s">
        <v>249</v>
      </c>
    </row>
    <row r="368" spans="1:1" x14ac:dyDescent="0.25">
      <c r="A368" t="s">
        <v>295</v>
      </c>
    </row>
    <row r="369" spans="1:1" x14ac:dyDescent="0.25">
      <c r="A369" t="s">
        <v>280</v>
      </c>
    </row>
    <row r="370" spans="1:1" x14ac:dyDescent="0.25">
      <c r="A370" t="s">
        <v>477</v>
      </c>
    </row>
    <row r="371" spans="1:1" x14ac:dyDescent="0.25">
      <c r="A371" t="s">
        <v>368</v>
      </c>
    </row>
    <row r="372" spans="1:1" x14ac:dyDescent="0.25">
      <c r="A372" t="s">
        <v>281</v>
      </c>
    </row>
    <row r="373" spans="1:1" x14ac:dyDescent="0.25">
      <c r="A373" t="s">
        <v>185</v>
      </c>
    </row>
    <row r="374" spans="1:1" x14ac:dyDescent="0.25">
      <c r="A374" t="s">
        <v>300</v>
      </c>
    </row>
    <row r="375" spans="1:1" x14ac:dyDescent="0.25">
      <c r="A375" t="s">
        <v>536</v>
      </c>
    </row>
    <row r="376" spans="1:1" x14ac:dyDescent="0.25">
      <c r="A376" t="s">
        <v>600</v>
      </c>
    </row>
    <row r="377" spans="1:1" x14ac:dyDescent="0.25">
      <c r="A377" t="s">
        <v>189</v>
      </c>
    </row>
    <row r="378" spans="1:1" x14ac:dyDescent="0.25">
      <c r="A378" t="s">
        <v>454</v>
      </c>
    </row>
    <row r="379" spans="1:1" x14ac:dyDescent="0.25">
      <c r="A379" t="s">
        <v>453</v>
      </c>
    </row>
    <row r="380" spans="1:1" x14ac:dyDescent="0.25">
      <c r="A380" t="s">
        <v>505</v>
      </c>
    </row>
    <row r="381" spans="1:1" x14ac:dyDescent="0.25">
      <c r="A381" t="s">
        <v>497</v>
      </c>
    </row>
    <row r="382" spans="1:1" x14ac:dyDescent="0.25">
      <c r="A382" t="s">
        <v>495</v>
      </c>
    </row>
    <row r="383" spans="1:1" x14ac:dyDescent="0.25">
      <c r="A383" t="s">
        <v>397</v>
      </c>
    </row>
    <row r="384" spans="1:1" x14ac:dyDescent="0.25">
      <c r="A384" t="s">
        <v>387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120"/>
  <sheetViews>
    <sheetView topLeftCell="A112" workbookViewId="0">
      <selection activeCell="H119" sqref="H119:H120"/>
    </sheetView>
  </sheetViews>
  <sheetFormatPr defaultRowHeight="15" x14ac:dyDescent="0.25"/>
  <cols>
    <col min="1" max="1" width="18.5703125" bestFit="1" customWidth="1"/>
    <col min="2" max="2" width="26.42578125" bestFit="1" customWidth="1"/>
    <col min="3" max="3" width="18.5703125" bestFit="1" customWidth="1"/>
    <col min="5" max="5" width="21" bestFit="1" customWidth="1"/>
    <col min="6" max="6" width="22.5703125" customWidth="1"/>
    <col min="7" max="7" width="18.140625" bestFit="1" customWidth="1"/>
    <col min="8" max="8" width="12.140625" style="5" customWidth="1"/>
    <col min="9" max="9" width="16.7109375" bestFit="1" customWidth="1"/>
  </cols>
  <sheetData>
    <row r="1" spans="1:10" x14ac:dyDescent="0.25">
      <c r="A1" s="7" t="s">
        <v>1432</v>
      </c>
      <c r="B1" s="7" t="s">
        <v>1433</v>
      </c>
      <c r="C1" s="7" t="s">
        <v>244</v>
      </c>
      <c r="E1" s="23" t="s">
        <v>882</v>
      </c>
      <c r="F1" s="27" t="s">
        <v>1544</v>
      </c>
      <c r="G1" s="29" t="s">
        <v>1537</v>
      </c>
      <c r="H1" s="29" t="s">
        <v>742</v>
      </c>
      <c r="J1" s="29"/>
    </row>
    <row r="2" spans="1:10" x14ac:dyDescent="0.25">
      <c r="A2" s="5" t="s">
        <v>61</v>
      </c>
      <c r="B2" s="5" t="s">
        <v>62</v>
      </c>
      <c r="C2" s="5" t="s">
        <v>61</v>
      </c>
      <c r="E2" s="5" t="s">
        <v>869</v>
      </c>
      <c r="F2" s="26" t="s">
        <v>883</v>
      </c>
      <c r="I2" s="34"/>
      <c r="J2" s="34"/>
    </row>
    <row r="3" spans="1:10" x14ac:dyDescent="0.25">
      <c r="A3" t="s">
        <v>65</v>
      </c>
      <c r="B3" s="5" t="s">
        <v>64</v>
      </c>
      <c r="C3" s="5" t="s">
        <v>65</v>
      </c>
      <c r="E3" s="5" t="s">
        <v>872</v>
      </c>
      <c r="F3" s="26" t="s">
        <v>937</v>
      </c>
      <c r="I3" s="34"/>
      <c r="J3" s="34"/>
    </row>
    <row r="4" spans="1:10" x14ac:dyDescent="0.25">
      <c r="A4" t="s">
        <v>66</v>
      </c>
      <c r="B4" t="s">
        <v>67</v>
      </c>
      <c r="C4" s="5" t="s">
        <v>66</v>
      </c>
      <c r="E4" s="5" t="s">
        <v>826</v>
      </c>
      <c r="F4" s="26" t="s">
        <v>964</v>
      </c>
    </row>
    <row r="5" spans="1:10" x14ac:dyDescent="0.25">
      <c r="A5" t="s">
        <v>68</v>
      </c>
      <c r="B5" t="s">
        <v>385</v>
      </c>
      <c r="C5" s="5" t="s">
        <v>385</v>
      </c>
      <c r="E5" s="5" t="s">
        <v>827</v>
      </c>
      <c r="F5" s="26" t="s">
        <v>990</v>
      </c>
    </row>
    <row r="6" spans="1:10" x14ac:dyDescent="0.25">
      <c r="A6" t="s">
        <v>69</v>
      </c>
      <c r="B6" t="s">
        <v>70</v>
      </c>
      <c r="C6" s="5" t="s">
        <v>69</v>
      </c>
      <c r="E6" s="5" t="s">
        <v>851</v>
      </c>
      <c r="F6" s="26" t="s">
        <v>992</v>
      </c>
    </row>
    <row r="7" spans="1:10" x14ac:dyDescent="0.25">
      <c r="A7" t="s">
        <v>71</v>
      </c>
      <c r="B7" t="s">
        <v>72</v>
      </c>
      <c r="C7" s="5" t="s">
        <v>71</v>
      </c>
      <c r="E7" s="5" t="s">
        <v>849</v>
      </c>
      <c r="F7" s="26" t="s">
        <v>919</v>
      </c>
      <c r="G7" s="5" t="s">
        <v>919</v>
      </c>
    </row>
    <row r="8" spans="1:10" x14ac:dyDescent="0.25">
      <c r="A8" t="s">
        <v>75</v>
      </c>
      <c r="B8" t="s">
        <v>73</v>
      </c>
      <c r="C8" s="5" t="s">
        <v>75</v>
      </c>
      <c r="E8" s="5" t="s">
        <v>838</v>
      </c>
      <c r="F8" s="26" t="s">
        <v>972</v>
      </c>
    </row>
    <row r="9" spans="1:10" x14ac:dyDescent="0.25">
      <c r="A9" s="5" t="s">
        <v>76</v>
      </c>
      <c r="B9" s="5" t="s">
        <v>77</v>
      </c>
      <c r="C9" s="5" t="s">
        <v>76</v>
      </c>
      <c r="E9" s="5" t="s">
        <v>852</v>
      </c>
      <c r="F9" s="26" t="s">
        <v>977</v>
      </c>
    </row>
    <row r="10" spans="1:10" x14ac:dyDescent="0.25">
      <c r="A10" t="s">
        <v>78</v>
      </c>
      <c r="B10" t="s">
        <v>74</v>
      </c>
      <c r="C10" s="5" t="s">
        <v>78</v>
      </c>
      <c r="E10" s="5" t="s">
        <v>798</v>
      </c>
      <c r="F10" s="26" t="s">
        <v>941</v>
      </c>
    </row>
    <row r="11" spans="1:10" x14ac:dyDescent="0.25">
      <c r="A11" s="5" t="s">
        <v>79</v>
      </c>
      <c r="B11" s="5" t="s">
        <v>63</v>
      </c>
      <c r="C11" s="5" t="s">
        <v>79</v>
      </c>
      <c r="E11" s="5" t="s">
        <v>787</v>
      </c>
      <c r="F11" s="26" t="s">
        <v>931</v>
      </c>
    </row>
    <row r="12" spans="1:10" x14ac:dyDescent="0.25">
      <c r="A12" s="5" t="s">
        <v>80</v>
      </c>
      <c r="B12" s="5" t="s">
        <v>81</v>
      </c>
      <c r="C12" s="5" t="s">
        <v>80</v>
      </c>
      <c r="E12" s="5" t="s">
        <v>878</v>
      </c>
      <c r="F12" s="26" t="s">
        <v>963</v>
      </c>
    </row>
    <row r="13" spans="1:10" x14ac:dyDescent="0.25">
      <c r="A13" t="s">
        <v>101</v>
      </c>
      <c r="B13" t="s">
        <v>102</v>
      </c>
      <c r="C13" s="5" t="s">
        <v>101</v>
      </c>
      <c r="E13" s="5" t="s">
        <v>796</v>
      </c>
      <c r="F13" s="26" t="s">
        <v>886</v>
      </c>
    </row>
    <row r="14" spans="1:10" x14ac:dyDescent="0.25">
      <c r="A14" t="s">
        <v>103</v>
      </c>
      <c r="B14" t="s">
        <v>104</v>
      </c>
      <c r="C14" s="5" t="s">
        <v>103</v>
      </c>
      <c r="E14" s="5" t="s">
        <v>856</v>
      </c>
      <c r="F14" s="26" t="s">
        <v>980</v>
      </c>
    </row>
    <row r="15" spans="1:10" x14ac:dyDescent="0.25">
      <c r="A15" t="s">
        <v>105</v>
      </c>
      <c r="B15" t="s">
        <v>106</v>
      </c>
      <c r="C15" s="5" t="s">
        <v>105</v>
      </c>
      <c r="E15" s="5" t="s">
        <v>880</v>
      </c>
      <c r="F15" s="26" t="s">
        <v>988</v>
      </c>
    </row>
    <row r="16" spans="1:10" x14ac:dyDescent="0.25">
      <c r="A16" t="s">
        <v>107</v>
      </c>
      <c r="B16" t="s">
        <v>108</v>
      </c>
      <c r="C16" s="5" t="s">
        <v>107</v>
      </c>
      <c r="E16" s="5" t="s">
        <v>795</v>
      </c>
      <c r="F16" s="26" t="s">
        <v>939</v>
      </c>
    </row>
    <row r="17" spans="1:11" x14ac:dyDescent="0.25">
      <c r="A17" t="s">
        <v>99</v>
      </c>
      <c r="B17" t="s">
        <v>100</v>
      </c>
      <c r="C17" s="5" t="s">
        <v>99</v>
      </c>
      <c r="E17" s="5" t="s">
        <v>805</v>
      </c>
      <c r="F17" s="26" t="s">
        <v>947</v>
      </c>
    </row>
    <row r="18" spans="1:11" x14ac:dyDescent="0.25">
      <c r="A18" t="s">
        <v>112</v>
      </c>
      <c r="B18" t="s">
        <v>113</v>
      </c>
      <c r="C18" s="5" t="s">
        <v>112</v>
      </c>
      <c r="E18" s="5" t="s">
        <v>799</v>
      </c>
      <c r="F18" s="26" t="s">
        <v>942</v>
      </c>
    </row>
    <row r="19" spans="1:11" x14ac:dyDescent="0.25">
      <c r="A19" t="s">
        <v>114</v>
      </c>
      <c r="B19" t="s">
        <v>115</v>
      </c>
      <c r="C19" s="5" t="s">
        <v>114</v>
      </c>
      <c r="E19" s="5" t="s">
        <v>863</v>
      </c>
      <c r="F19" s="26" t="s">
        <v>928</v>
      </c>
      <c r="G19" s="5" t="s">
        <v>1525</v>
      </c>
    </row>
    <row r="20" spans="1:11" x14ac:dyDescent="0.25">
      <c r="A20" t="s">
        <v>116</v>
      </c>
      <c r="B20" t="s">
        <v>117</v>
      </c>
      <c r="C20" s="5" t="s">
        <v>116</v>
      </c>
      <c r="E20" s="5" t="s">
        <v>858</v>
      </c>
      <c r="F20" s="26" t="s">
        <v>923</v>
      </c>
      <c r="G20" s="5" t="s">
        <v>923</v>
      </c>
    </row>
    <row r="21" spans="1:11" x14ac:dyDescent="0.25">
      <c r="A21" t="s">
        <v>154</v>
      </c>
      <c r="B21" t="s">
        <v>111</v>
      </c>
      <c r="C21" s="5" t="s">
        <v>154</v>
      </c>
      <c r="E21" s="5" t="s">
        <v>808</v>
      </c>
      <c r="F21" s="26" t="s">
        <v>948</v>
      </c>
    </row>
    <row r="22" spans="1:11" x14ac:dyDescent="0.25">
      <c r="A22" s="5" t="s">
        <v>250</v>
      </c>
      <c r="B22" t="s">
        <v>184</v>
      </c>
      <c r="C22" s="5" t="s">
        <v>250</v>
      </c>
      <c r="E22" s="5" t="s">
        <v>809</v>
      </c>
      <c r="F22" s="26" t="s">
        <v>892</v>
      </c>
      <c r="G22" s="5" t="s">
        <v>892</v>
      </c>
    </row>
    <row r="23" spans="1:11" x14ac:dyDescent="0.25">
      <c r="A23" t="s">
        <v>283</v>
      </c>
      <c r="B23" s="15" t="s">
        <v>234</v>
      </c>
      <c r="C23" s="5" t="s">
        <v>283</v>
      </c>
      <c r="E23" s="5" t="s">
        <v>828</v>
      </c>
      <c r="F23" s="26" t="s">
        <v>970</v>
      </c>
    </row>
    <row r="24" spans="1:11" x14ac:dyDescent="0.25">
      <c r="A24" s="15" t="s">
        <v>258</v>
      </c>
      <c r="B24" s="15" t="s">
        <v>259</v>
      </c>
      <c r="C24" s="15" t="s">
        <v>258</v>
      </c>
      <c r="E24" s="5" t="s">
        <v>829</v>
      </c>
      <c r="F24" s="26" t="s">
        <v>965</v>
      </c>
    </row>
    <row r="25" spans="1:11" x14ac:dyDescent="0.25">
      <c r="A25" s="15" t="s">
        <v>284</v>
      </c>
      <c r="B25" s="15" t="s">
        <v>284</v>
      </c>
      <c r="C25" t="s">
        <v>285</v>
      </c>
      <c r="E25" s="5" t="s">
        <v>842</v>
      </c>
      <c r="F25" s="26" t="s">
        <v>914</v>
      </c>
    </row>
    <row r="26" spans="1:11" x14ac:dyDescent="0.25">
      <c r="A26" s="15" t="s">
        <v>181</v>
      </c>
      <c r="B26" s="15" t="s">
        <v>181</v>
      </c>
      <c r="C26" s="5" t="s">
        <v>287</v>
      </c>
      <c r="E26" s="5" t="s">
        <v>812</v>
      </c>
      <c r="F26" s="26" t="s">
        <v>950</v>
      </c>
    </row>
    <row r="27" spans="1:11" x14ac:dyDescent="0.25">
      <c r="A27" s="15" t="s">
        <v>286</v>
      </c>
      <c r="B27" s="15" t="s">
        <v>286</v>
      </c>
      <c r="C27" s="5" t="s">
        <v>286</v>
      </c>
      <c r="E27" s="5" t="s">
        <v>843</v>
      </c>
      <c r="F27" s="26" t="s">
        <v>915</v>
      </c>
      <c r="G27" s="5" t="s">
        <v>915</v>
      </c>
    </row>
    <row r="28" spans="1:11" ht="15.75" customHeight="1" x14ac:dyDescent="0.25">
      <c r="A28" s="15" t="s">
        <v>291</v>
      </c>
      <c r="B28" s="15" t="s">
        <v>291</v>
      </c>
      <c r="C28" s="5" t="s">
        <v>288</v>
      </c>
      <c r="E28" s="5" t="s">
        <v>875</v>
      </c>
      <c r="F28" s="26" t="s">
        <v>954</v>
      </c>
    </row>
    <row r="29" spans="1:11" x14ac:dyDescent="0.25">
      <c r="A29" t="s">
        <v>289</v>
      </c>
      <c r="B29" s="15" t="s">
        <v>292</v>
      </c>
      <c r="C29" s="5" t="s">
        <v>289</v>
      </c>
      <c r="E29" s="5" t="s">
        <v>873</v>
      </c>
      <c r="F29" s="26" t="s">
        <v>938</v>
      </c>
    </row>
    <row r="30" spans="1:11" x14ac:dyDescent="0.25">
      <c r="A30" s="15" t="s">
        <v>293</v>
      </c>
      <c r="B30" s="15" t="s">
        <v>293</v>
      </c>
      <c r="C30" s="5" t="s">
        <v>293</v>
      </c>
      <c r="E30" s="5" t="s">
        <v>839</v>
      </c>
      <c r="F30" s="26" t="s">
        <v>973</v>
      </c>
      <c r="I30" s="34"/>
      <c r="K30" s="34"/>
    </row>
    <row r="31" spans="1:11" x14ac:dyDescent="0.25">
      <c r="A31" s="15" t="s">
        <v>294</v>
      </c>
      <c r="B31" s="15" t="s">
        <v>294</v>
      </c>
      <c r="C31" s="5" t="s">
        <v>294</v>
      </c>
      <c r="E31" s="5" t="s">
        <v>868</v>
      </c>
      <c r="F31" s="26" t="s">
        <v>987</v>
      </c>
      <c r="I31" s="34"/>
      <c r="K31" s="34"/>
    </row>
    <row r="32" spans="1:11" x14ac:dyDescent="0.25">
      <c r="A32" s="15"/>
      <c r="E32" s="26" t="s">
        <v>835</v>
      </c>
      <c r="F32" s="26" t="s">
        <v>908</v>
      </c>
      <c r="I32" s="34"/>
      <c r="K32" s="34"/>
    </row>
    <row r="33" spans="5:11" x14ac:dyDescent="0.25">
      <c r="E33" s="5" t="s">
        <v>800</v>
      </c>
      <c r="F33" s="26" t="s">
        <v>943</v>
      </c>
      <c r="I33" s="34"/>
      <c r="K33" s="34"/>
    </row>
    <row r="34" spans="5:11" x14ac:dyDescent="0.25">
      <c r="E34" s="5" t="s">
        <v>817</v>
      </c>
      <c r="F34" s="26" t="s">
        <v>956</v>
      </c>
      <c r="I34" s="34"/>
      <c r="K34" s="34"/>
    </row>
    <row r="35" spans="5:11" x14ac:dyDescent="0.25">
      <c r="E35" s="5" t="s">
        <v>823</v>
      </c>
      <c r="F35" s="26" t="s">
        <v>961</v>
      </c>
      <c r="I35" s="34"/>
      <c r="K35" s="34"/>
    </row>
    <row r="36" spans="5:11" x14ac:dyDescent="0.25">
      <c r="E36" s="5" t="s">
        <v>788</v>
      </c>
      <c r="F36" s="26" t="s">
        <v>932</v>
      </c>
    </row>
    <row r="37" spans="5:11" x14ac:dyDescent="0.25">
      <c r="E37" s="5" t="s">
        <v>801</v>
      </c>
      <c r="F37" s="26" t="s">
        <v>944</v>
      </c>
    </row>
    <row r="38" spans="5:11" x14ac:dyDescent="0.25">
      <c r="E38" s="5" t="s">
        <v>841</v>
      </c>
      <c r="F38" s="26" t="s">
        <v>975</v>
      </c>
    </row>
    <row r="39" spans="5:11" x14ac:dyDescent="0.25">
      <c r="E39" s="5" t="s">
        <v>846</v>
      </c>
      <c r="F39" s="26" t="s">
        <v>976</v>
      </c>
    </row>
    <row r="40" spans="5:11" x14ac:dyDescent="0.25">
      <c r="E40" s="5" t="s">
        <v>864</v>
      </c>
      <c r="F40" s="26" t="s">
        <v>864</v>
      </c>
    </row>
    <row r="41" spans="5:11" x14ac:dyDescent="0.25">
      <c r="E41" s="5" t="s">
        <v>853</v>
      </c>
      <c r="F41" s="26" t="s">
        <v>921</v>
      </c>
    </row>
    <row r="42" spans="5:11" x14ac:dyDescent="0.25">
      <c r="E42" s="5" t="s">
        <v>790</v>
      </c>
      <c r="F42" s="26" t="s">
        <v>884</v>
      </c>
      <c r="G42" s="5" t="s">
        <v>884</v>
      </c>
    </row>
    <row r="43" spans="5:11" x14ac:dyDescent="0.25">
      <c r="E43" s="5" t="s">
        <v>804</v>
      </c>
      <c r="F43" s="26" t="s">
        <v>946</v>
      </c>
    </row>
    <row r="44" spans="5:11" x14ac:dyDescent="0.25">
      <c r="E44" s="5" t="s">
        <v>815</v>
      </c>
      <c r="F44" s="26" t="s">
        <v>952</v>
      </c>
    </row>
    <row r="45" spans="5:11" x14ac:dyDescent="0.25">
      <c r="E45" s="5" t="s">
        <v>854</v>
      </c>
      <c r="F45" s="26" t="s">
        <v>978</v>
      </c>
    </row>
    <row r="46" spans="5:11" x14ac:dyDescent="0.25">
      <c r="E46" s="5" t="s">
        <v>806</v>
      </c>
      <c r="F46" s="26" t="s">
        <v>889</v>
      </c>
      <c r="G46" s="5" t="s">
        <v>889</v>
      </c>
    </row>
    <row r="47" spans="5:11" x14ac:dyDescent="0.25">
      <c r="E47" s="5" t="s">
        <v>792</v>
      </c>
      <c r="F47" s="26" t="s">
        <v>893</v>
      </c>
      <c r="G47" s="5" t="s">
        <v>893</v>
      </c>
    </row>
    <row r="48" spans="5:11" x14ac:dyDescent="0.25">
      <c r="E48" s="5" t="s">
        <v>840</v>
      </c>
      <c r="F48" s="26" t="s">
        <v>974</v>
      </c>
    </row>
    <row r="49" spans="5:7" x14ac:dyDescent="0.25">
      <c r="E49" s="5" t="s">
        <v>865</v>
      </c>
      <c r="F49" s="26" t="s">
        <v>984</v>
      </c>
    </row>
    <row r="50" spans="5:7" x14ac:dyDescent="0.25">
      <c r="E50" s="5" t="s">
        <v>834</v>
      </c>
      <c r="F50" s="26" t="s">
        <v>907</v>
      </c>
    </row>
    <row r="51" spans="5:7" x14ac:dyDescent="0.25">
      <c r="E51" s="5" t="s">
        <v>848</v>
      </c>
      <c r="F51" s="26" t="s">
        <v>917</v>
      </c>
    </row>
    <row r="52" spans="5:7" x14ac:dyDescent="0.25">
      <c r="E52" s="5" t="s">
        <v>819</v>
      </c>
      <c r="F52" s="26" t="s">
        <v>902</v>
      </c>
      <c r="G52" s="5" t="s">
        <v>902</v>
      </c>
    </row>
    <row r="53" spans="5:7" x14ac:dyDescent="0.25">
      <c r="E53" s="5" t="s">
        <v>810</v>
      </c>
      <c r="F53" s="26" t="s">
        <v>890</v>
      </c>
    </row>
    <row r="54" spans="5:7" x14ac:dyDescent="0.25">
      <c r="E54" s="5" t="s">
        <v>860</v>
      </c>
      <c r="F54" s="26" t="s">
        <v>983</v>
      </c>
    </row>
    <row r="55" spans="5:7" x14ac:dyDescent="0.25">
      <c r="E55" s="5" t="s">
        <v>830</v>
      </c>
      <c r="F55" s="26" t="s">
        <v>966</v>
      </c>
    </row>
    <row r="56" spans="5:7" x14ac:dyDescent="0.25">
      <c r="E56" s="5" t="s">
        <v>822</v>
      </c>
      <c r="F56" s="26" t="s">
        <v>960</v>
      </c>
    </row>
    <row r="57" spans="5:7" x14ac:dyDescent="0.25">
      <c r="E57" s="5" t="s">
        <v>820</v>
      </c>
      <c r="F57" s="26" t="s">
        <v>903</v>
      </c>
      <c r="G57" s="5" t="s">
        <v>903</v>
      </c>
    </row>
    <row r="58" spans="5:7" x14ac:dyDescent="0.25">
      <c r="E58" s="5" t="s">
        <v>837</v>
      </c>
      <c r="F58" s="26" t="s">
        <v>971</v>
      </c>
    </row>
    <row r="59" spans="5:7" x14ac:dyDescent="0.25">
      <c r="E59" s="5" t="s">
        <v>802</v>
      </c>
      <c r="F59" s="26" t="s">
        <v>945</v>
      </c>
    </row>
    <row r="60" spans="5:7" x14ac:dyDescent="0.25">
      <c r="E60" s="5" t="s">
        <v>879</v>
      </c>
      <c r="F60" s="26" t="s">
        <v>985</v>
      </c>
    </row>
    <row r="61" spans="5:7" x14ac:dyDescent="0.25">
      <c r="E61" s="5" t="s">
        <v>857</v>
      </c>
      <c r="F61" s="26" t="s">
        <v>981</v>
      </c>
    </row>
    <row r="62" spans="5:7" x14ac:dyDescent="0.25">
      <c r="E62" s="5" t="s">
        <v>862</v>
      </c>
      <c r="F62" s="26" t="s">
        <v>927</v>
      </c>
      <c r="G62" t="s">
        <v>927</v>
      </c>
    </row>
    <row r="63" spans="5:7" x14ac:dyDescent="0.25">
      <c r="E63" s="5" t="s">
        <v>844</v>
      </c>
      <c r="F63" s="26" t="s">
        <v>916</v>
      </c>
    </row>
    <row r="64" spans="5:7" x14ac:dyDescent="0.25">
      <c r="E64" s="5" t="s">
        <v>847</v>
      </c>
      <c r="F64" s="26" t="s">
        <v>913</v>
      </c>
      <c r="G64" s="33" t="s">
        <v>913</v>
      </c>
    </row>
    <row r="65" spans="5:7" x14ac:dyDescent="0.25">
      <c r="E65" s="5" t="s">
        <v>825</v>
      </c>
      <c r="F65" s="26" t="s">
        <v>900</v>
      </c>
      <c r="G65" t="s">
        <v>1527</v>
      </c>
    </row>
    <row r="66" spans="5:7" x14ac:dyDescent="0.25">
      <c r="E66" s="5" t="s">
        <v>836</v>
      </c>
      <c r="F66" s="26" t="s">
        <v>911</v>
      </c>
      <c r="G66" s="33" t="s">
        <v>911</v>
      </c>
    </row>
    <row r="67" spans="5:7" x14ac:dyDescent="0.25">
      <c r="E67" s="5" t="s">
        <v>811</v>
      </c>
      <c r="F67" s="26" t="s">
        <v>949</v>
      </c>
    </row>
    <row r="68" spans="5:7" x14ac:dyDescent="0.25">
      <c r="E68" s="5" t="s">
        <v>793</v>
      </c>
      <c r="F68" s="26" t="s">
        <v>989</v>
      </c>
    </row>
    <row r="69" spans="5:7" x14ac:dyDescent="0.25">
      <c r="E69" s="5" t="s">
        <v>797</v>
      </c>
      <c r="F69" s="26" t="s">
        <v>940</v>
      </c>
    </row>
    <row r="70" spans="5:7" x14ac:dyDescent="0.25">
      <c r="E70" s="5" t="s">
        <v>877</v>
      </c>
      <c r="F70" s="26" t="s">
        <v>959</v>
      </c>
    </row>
    <row r="71" spans="5:7" x14ac:dyDescent="0.25">
      <c r="E71" s="5" t="s">
        <v>850</v>
      </c>
      <c r="F71" s="26" t="s">
        <v>991</v>
      </c>
    </row>
    <row r="72" spans="5:7" x14ac:dyDescent="0.25">
      <c r="E72" s="5" t="s">
        <v>855</v>
      </c>
      <c r="F72" s="26" t="s">
        <v>979</v>
      </c>
    </row>
    <row r="73" spans="5:7" x14ac:dyDescent="0.25">
      <c r="E73" s="5" t="s">
        <v>859</v>
      </c>
      <c r="F73" s="26" t="s">
        <v>982</v>
      </c>
    </row>
    <row r="74" spans="5:7" x14ac:dyDescent="0.25">
      <c r="E74" s="5" t="s">
        <v>870</v>
      </c>
      <c r="F74" s="26" t="s">
        <v>934</v>
      </c>
    </row>
    <row r="75" spans="5:7" x14ac:dyDescent="0.25">
      <c r="E75" s="5" t="s">
        <v>794</v>
      </c>
      <c r="F75" s="26" t="s">
        <v>936</v>
      </c>
    </row>
    <row r="76" spans="5:7" x14ac:dyDescent="0.25">
      <c r="E76" s="5" t="s">
        <v>813</v>
      </c>
      <c r="F76" s="26" t="s">
        <v>951</v>
      </c>
    </row>
    <row r="77" spans="5:7" x14ac:dyDescent="0.25">
      <c r="E77" s="5" t="s">
        <v>816</v>
      </c>
      <c r="F77" s="26" t="s">
        <v>955</v>
      </c>
    </row>
    <row r="78" spans="5:7" x14ac:dyDescent="0.25">
      <c r="E78" s="5" t="s">
        <v>831</v>
      </c>
      <c r="F78" s="26" t="s">
        <v>967</v>
      </c>
    </row>
    <row r="79" spans="5:7" x14ac:dyDescent="0.25">
      <c r="E79" s="5" t="s">
        <v>821</v>
      </c>
      <c r="F79" s="26" t="s">
        <v>901</v>
      </c>
      <c r="G79" s="5" t="s">
        <v>901</v>
      </c>
    </row>
    <row r="80" spans="5:7" x14ac:dyDescent="0.25">
      <c r="E80" s="5" t="s">
        <v>832</v>
      </c>
      <c r="F80" s="26" t="s">
        <v>968</v>
      </c>
    </row>
    <row r="81" spans="5:7" x14ac:dyDescent="0.25">
      <c r="E81" s="5" t="s">
        <v>874</v>
      </c>
      <c r="F81" s="26" t="s">
        <v>888</v>
      </c>
    </row>
    <row r="82" spans="5:7" x14ac:dyDescent="0.25">
      <c r="E82" s="5" t="s">
        <v>789</v>
      </c>
      <c r="F82" s="26" t="s">
        <v>933</v>
      </c>
    </row>
    <row r="83" spans="5:7" x14ac:dyDescent="0.25">
      <c r="E83" s="5" t="s">
        <v>876</v>
      </c>
      <c r="F83" s="26" t="s">
        <v>957</v>
      </c>
    </row>
    <row r="84" spans="5:7" x14ac:dyDescent="0.25">
      <c r="E84" s="5" t="s">
        <v>881</v>
      </c>
      <c r="F84" s="26" t="s">
        <v>930</v>
      </c>
    </row>
    <row r="85" spans="5:7" x14ac:dyDescent="0.25">
      <c r="E85" s="5" t="s">
        <v>803</v>
      </c>
      <c r="F85" s="26" t="s">
        <v>887</v>
      </c>
    </row>
    <row r="86" spans="5:7" x14ac:dyDescent="0.25">
      <c r="E86" s="5" t="s">
        <v>871</v>
      </c>
      <c r="F86" s="26" t="s">
        <v>935</v>
      </c>
    </row>
    <row r="87" spans="5:7" x14ac:dyDescent="0.25">
      <c r="E87" s="26" t="s">
        <v>818</v>
      </c>
      <c r="F87" s="26" t="s">
        <v>958</v>
      </c>
    </row>
    <row r="88" spans="5:7" x14ac:dyDescent="0.25">
      <c r="E88" s="5" t="s">
        <v>807</v>
      </c>
      <c r="F88" s="26" t="s">
        <v>891</v>
      </c>
      <c r="G88" s="33" t="s">
        <v>891</v>
      </c>
    </row>
    <row r="89" spans="5:7" x14ac:dyDescent="0.25">
      <c r="E89" s="26" t="s">
        <v>824</v>
      </c>
      <c r="F89" s="26" t="s">
        <v>962</v>
      </c>
    </row>
    <row r="90" spans="5:7" x14ac:dyDescent="0.25">
      <c r="E90" s="5" t="s">
        <v>866</v>
      </c>
      <c r="F90" s="26" t="s">
        <v>929</v>
      </c>
    </row>
    <row r="91" spans="5:7" x14ac:dyDescent="0.25">
      <c r="E91" s="5" t="s">
        <v>861</v>
      </c>
      <c r="F91" s="26" t="s">
        <v>926</v>
      </c>
      <c r="G91" s="36" t="s">
        <v>926</v>
      </c>
    </row>
    <row r="92" spans="5:7" x14ac:dyDescent="0.25">
      <c r="E92" s="5" t="s">
        <v>845</v>
      </c>
      <c r="F92" s="26" t="s">
        <v>912</v>
      </c>
    </row>
    <row r="93" spans="5:7" x14ac:dyDescent="0.25">
      <c r="E93" s="5" t="s">
        <v>833</v>
      </c>
      <c r="F93" s="26" t="s">
        <v>969</v>
      </c>
    </row>
    <row r="94" spans="5:7" x14ac:dyDescent="0.25">
      <c r="E94" s="5" t="s">
        <v>867</v>
      </c>
      <c r="F94" s="26" t="s">
        <v>986</v>
      </c>
    </row>
    <row r="95" spans="5:7" x14ac:dyDescent="0.25">
      <c r="E95" s="5" t="s">
        <v>791</v>
      </c>
      <c r="F95" s="26" t="s">
        <v>885</v>
      </c>
    </row>
    <row r="96" spans="5:7" x14ac:dyDescent="0.25">
      <c r="E96" s="5" t="s">
        <v>814</v>
      </c>
      <c r="F96" s="26" t="s">
        <v>895</v>
      </c>
      <c r="G96" s="36" t="s">
        <v>895</v>
      </c>
    </row>
    <row r="97" spans="5:7" x14ac:dyDescent="0.25">
      <c r="E97" t="s">
        <v>1476</v>
      </c>
      <c r="F97" t="s">
        <v>1477</v>
      </c>
    </row>
    <row r="98" spans="5:7" x14ac:dyDescent="0.25">
      <c r="E98" t="s">
        <v>1478</v>
      </c>
      <c r="F98" t="s">
        <v>1479</v>
      </c>
    </row>
    <row r="99" spans="5:7" x14ac:dyDescent="0.25">
      <c r="E99" t="s">
        <v>1480</v>
      </c>
      <c r="F99" t="s">
        <v>1481</v>
      </c>
    </row>
    <row r="100" spans="5:7" x14ac:dyDescent="0.25">
      <c r="E100" t="s">
        <v>1482</v>
      </c>
      <c r="F100" t="s">
        <v>1483</v>
      </c>
    </row>
    <row r="101" spans="5:7" x14ac:dyDescent="0.25">
      <c r="E101" t="s">
        <v>1484</v>
      </c>
      <c r="F101" t="s">
        <v>1485</v>
      </c>
      <c r="G101" s="26" t="s">
        <v>1485</v>
      </c>
    </row>
    <row r="102" spans="5:7" x14ac:dyDescent="0.25">
      <c r="E102" t="s">
        <v>1486</v>
      </c>
      <c r="F102" t="s">
        <v>1487</v>
      </c>
    </row>
    <row r="103" spans="5:7" x14ac:dyDescent="0.25">
      <c r="E103" t="s">
        <v>1488</v>
      </c>
      <c r="F103" t="s">
        <v>1489</v>
      </c>
      <c r="G103" s="5" t="s">
        <v>1489</v>
      </c>
    </row>
    <row r="104" spans="5:7" x14ac:dyDescent="0.25">
      <c r="E104" t="s">
        <v>1490</v>
      </c>
      <c r="F104" t="s">
        <v>1491</v>
      </c>
    </row>
    <row r="105" spans="5:7" x14ac:dyDescent="0.25">
      <c r="E105" t="s">
        <v>1492</v>
      </c>
      <c r="F105" t="s">
        <v>1493</v>
      </c>
      <c r="G105" s="26" t="s">
        <v>1493</v>
      </c>
    </row>
    <row r="106" spans="5:7" x14ac:dyDescent="0.25">
      <c r="E106" t="s">
        <v>1494</v>
      </c>
      <c r="F106" t="s">
        <v>1495</v>
      </c>
    </row>
    <row r="107" spans="5:7" x14ac:dyDescent="0.25">
      <c r="E107" t="s">
        <v>1496</v>
      </c>
      <c r="F107" t="s">
        <v>1497</v>
      </c>
    </row>
    <row r="108" spans="5:7" x14ac:dyDescent="0.25">
      <c r="E108" t="s">
        <v>1498</v>
      </c>
      <c r="F108" t="s">
        <v>1499</v>
      </c>
    </row>
    <row r="109" spans="5:7" x14ac:dyDescent="0.25">
      <c r="E109" t="s">
        <v>1500</v>
      </c>
      <c r="F109" t="s">
        <v>1501</v>
      </c>
    </row>
    <row r="110" spans="5:7" x14ac:dyDescent="0.25">
      <c r="E110" t="s">
        <v>1502</v>
      </c>
      <c r="F110" t="s">
        <v>1503</v>
      </c>
    </row>
    <row r="111" spans="5:7" x14ac:dyDescent="0.25">
      <c r="E111" t="s">
        <v>1504</v>
      </c>
      <c r="F111" t="s">
        <v>1505</v>
      </c>
    </row>
    <row r="112" spans="5:7" x14ac:dyDescent="0.25">
      <c r="E112" t="s">
        <v>1506</v>
      </c>
      <c r="F112" t="s">
        <v>1507</v>
      </c>
    </row>
    <row r="113" spans="5:9" x14ac:dyDescent="0.25">
      <c r="E113" s="34" t="s">
        <v>1536</v>
      </c>
      <c r="F113" s="34"/>
      <c r="G113" s="34" t="s">
        <v>1526</v>
      </c>
    </row>
    <row r="114" spans="5:9" x14ac:dyDescent="0.25">
      <c r="E114" s="34" t="s">
        <v>1535</v>
      </c>
      <c r="F114" s="34"/>
      <c r="G114" s="34" t="s">
        <v>1531</v>
      </c>
    </row>
    <row r="115" spans="5:9" x14ac:dyDescent="0.25">
      <c r="E115" s="34" t="s">
        <v>1534</v>
      </c>
      <c r="F115" s="34"/>
      <c r="G115" s="34" t="s">
        <v>1529</v>
      </c>
    </row>
    <row r="116" spans="5:9" x14ac:dyDescent="0.25">
      <c r="E116" s="34" t="s">
        <v>1532</v>
      </c>
      <c r="F116" s="34"/>
      <c r="G116" s="34" t="s">
        <v>1528</v>
      </c>
    </row>
    <row r="117" spans="5:9" x14ac:dyDescent="0.25">
      <c r="E117" s="34" t="s">
        <v>847</v>
      </c>
      <c r="F117" s="34"/>
      <c r="G117" s="34" t="s">
        <v>913</v>
      </c>
    </row>
    <row r="118" spans="5:9" x14ac:dyDescent="0.25">
      <c r="E118" s="34" t="s">
        <v>1533</v>
      </c>
      <c r="F118" s="34"/>
      <c r="G118" s="34" t="s">
        <v>1530</v>
      </c>
    </row>
    <row r="119" spans="5:9" x14ac:dyDescent="0.25">
      <c r="E119" s="34" t="s">
        <v>1542</v>
      </c>
      <c r="F119" s="34" t="s">
        <v>1542</v>
      </c>
      <c r="H119" s="34" t="s">
        <v>1539</v>
      </c>
      <c r="I119" s="34"/>
    </row>
    <row r="120" spans="5:9" x14ac:dyDescent="0.25">
      <c r="E120" s="34" t="s">
        <v>1541</v>
      </c>
      <c r="F120" s="34" t="s">
        <v>1541</v>
      </c>
      <c r="H120" s="34" t="s">
        <v>1540</v>
      </c>
      <c r="I120" s="34"/>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22"/>
  <sheetViews>
    <sheetView workbookViewId="0">
      <selection activeCell="G25" sqref="G25"/>
    </sheetView>
  </sheetViews>
  <sheetFormatPr defaultRowHeight="15" x14ac:dyDescent="0.25"/>
  <cols>
    <col min="1" max="1" width="26.5703125" bestFit="1" customWidth="1"/>
    <col min="2" max="2" width="42.42578125" customWidth="1"/>
    <col min="4" max="4" width="16.140625" bestFit="1" customWidth="1"/>
    <col min="5" max="5" width="11.140625" style="5" bestFit="1" customWidth="1"/>
  </cols>
  <sheetData>
    <row r="1" spans="1:16" s="5" customFormat="1" x14ac:dyDescent="0.25">
      <c r="A1" s="5" t="s">
        <v>165</v>
      </c>
      <c r="B1" s="5" t="s">
        <v>166</v>
      </c>
      <c r="C1" s="5" t="s">
        <v>167</v>
      </c>
      <c r="D1" s="5" t="s">
        <v>1474</v>
      </c>
      <c r="E1" s="5" t="s">
        <v>1475</v>
      </c>
      <c r="F1" s="5" t="s">
        <v>168</v>
      </c>
    </row>
    <row r="2" spans="1:16" x14ac:dyDescent="0.25">
      <c r="A2" t="s">
        <v>1549</v>
      </c>
      <c r="B2">
        <v>593</v>
      </c>
      <c r="C2" t="s">
        <v>738</v>
      </c>
      <c r="D2" s="9">
        <v>3.2843163265299999</v>
      </c>
      <c r="E2" s="9">
        <v>-0.202931098591</v>
      </c>
      <c r="F2">
        <v>3400</v>
      </c>
      <c r="J2" s="34" t="s">
        <v>1549</v>
      </c>
    </row>
    <row r="3" spans="1:16" x14ac:dyDescent="0.25">
      <c r="A3" t="s">
        <v>1550</v>
      </c>
      <c r="B3">
        <v>610</v>
      </c>
      <c r="C3" t="s">
        <v>736</v>
      </c>
      <c r="D3" s="9">
        <v>3.3427567216599998</v>
      </c>
      <c r="E3" s="9">
        <v>-0.31491652908099999</v>
      </c>
      <c r="F3">
        <v>4500</v>
      </c>
      <c r="J3" s="34" t="s">
        <v>1550</v>
      </c>
    </row>
    <row r="4" spans="1:16" x14ac:dyDescent="0.25">
      <c r="A4" t="s">
        <v>1551</v>
      </c>
      <c r="B4">
        <v>604</v>
      </c>
      <c r="C4" t="s">
        <v>735</v>
      </c>
      <c r="D4" s="9">
        <v>14.738330046</v>
      </c>
      <c r="E4" s="9">
        <v>0</v>
      </c>
      <c r="F4">
        <v>6000</v>
      </c>
      <c r="J4" s="34" t="s">
        <v>1551</v>
      </c>
    </row>
    <row r="5" spans="1:16" x14ac:dyDescent="0.25">
      <c r="A5" t="s">
        <v>1552</v>
      </c>
      <c r="B5">
        <v>610</v>
      </c>
      <c r="C5" t="s">
        <v>155</v>
      </c>
      <c r="D5" s="9">
        <v>1.9370503597099999</v>
      </c>
      <c r="E5" s="9">
        <v>-5.5910650995799997E-3</v>
      </c>
      <c r="F5">
        <v>3000</v>
      </c>
      <c r="J5" s="34" t="s">
        <v>1552</v>
      </c>
    </row>
    <row r="6" spans="1:16" x14ac:dyDescent="0.25">
      <c r="A6" t="s">
        <v>1553</v>
      </c>
      <c r="B6">
        <v>595</v>
      </c>
      <c r="C6" t="s">
        <v>737</v>
      </c>
      <c r="D6" s="9">
        <v>3.36885634844</v>
      </c>
      <c r="E6" s="9">
        <v>-0.442218928728</v>
      </c>
      <c r="F6">
        <v>3300</v>
      </c>
      <c r="J6" s="34" t="s">
        <v>1553</v>
      </c>
    </row>
    <row r="7" spans="1:16" x14ac:dyDescent="0.25">
      <c r="A7" t="s">
        <v>1554</v>
      </c>
      <c r="B7">
        <v>614</v>
      </c>
      <c r="C7" t="s">
        <v>740</v>
      </c>
      <c r="D7" s="9">
        <v>3.1108918429200001</v>
      </c>
      <c r="E7" s="9">
        <v>-2.00906601354E-2</v>
      </c>
      <c r="F7">
        <v>3900</v>
      </c>
      <c r="J7" s="34" t="s">
        <v>1554</v>
      </c>
    </row>
    <row r="8" spans="1:16" x14ac:dyDescent="0.25">
      <c r="A8" t="s">
        <v>1555</v>
      </c>
      <c r="B8">
        <v>610</v>
      </c>
      <c r="C8" t="s">
        <v>740</v>
      </c>
      <c r="D8" s="9">
        <v>3.33228518091</v>
      </c>
      <c r="E8" s="9">
        <v>1.6186217046200001E-2</v>
      </c>
      <c r="F8">
        <v>3200</v>
      </c>
      <c r="J8" s="34" t="s">
        <v>1555</v>
      </c>
    </row>
    <row r="9" spans="1:16" x14ac:dyDescent="0.25">
      <c r="A9" t="s">
        <v>1556</v>
      </c>
      <c r="B9">
        <v>609</v>
      </c>
      <c r="C9" t="s">
        <v>739</v>
      </c>
      <c r="D9" s="9">
        <v>2.35717548566</v>
      </c>
      <c r="E9" s="9">
        <v>-0.21261555416799999</v>
      </c>
      <c r="F9">
        <v>2900</v>
      </c>
      <c r="J9" s="34" t="s">
        <v>1556</v>
      </c>
    </row>
    <row r="10" spans="1:16" x14ac:dyDescent="0.25">
      <c r="A10" t="s">
        <v>1557</v>
      </c>
      <c r="B10">
        <v>597</v>
      </c>
      <c r="C10" t="s">
        <v>740</v>
      </c>
      <c r="D10" s="9">
        <v>4.2336769688000002</v>
      </c>
      <c r="E10" s="9">
        <v>-1.1971855604899999</v>
      </c>
      <c r="F10">
        <v>4300</v>
      </c>
      <c r="J10" s="34" t="s">
        <v>1557</v>
      </c>
    </row>
    <row r="11" spans="1:16" x14ac:dyDescent="0.25">
      <c r="D11" s="9"/>
      <c r="E11" s="9"/>
    </row>
    <row r="12" spans="1:16" x14ac:dyDescent="0.25">
      <c r="H12" s="34"/>
      <c r="I12" s="34"/>
      <c r="J12" s="34"/>
      <c r="K12" s="34"/>
      <c r="L12" s="34"/>
      <c r="M12" s="34"/>
      <c r="N12" s="34"/>
      <c r="O12" s="34"/>
      <c r="P12" s="34"/>
    </row>
    <row r="14" spans="1:16" x14ac:dyDescent="0.25">
      <c r="A14" s="5"/>
    </row>
    <row r="15" spans="1:16" x14ac:dyDescent="0.25">
      <c r="A15" s="5"/>
    </row>
    <row r="16" spans="1:16" x14ac:dyDescent="0.25">
      <c r="A16" s="5"/>
    </row>
    <row r="17" spans="1:13" x14ac:dyDescent="0.25">
      <c r="A17" s="5"/>
    </row>
    <row r="18" spans="1:13" x14ac:dyDescent="0.25">
      <c r="A18" s="5"/>
    </row>
    <row r="19" spans="1:13" x14ac:dyDescent="0.25">
      <c r="A19" s="5"/>
    </row>
    <row r="20" spans="1:13" x14ac:dyDescent="0.25">
      <c r="A20" s="5"/>
    </row>
    <row r="21" spans="1:13" x14ac:dyDescent="0.25">
      <c r="A21" s="5"/>
    </row>
    <row r="22" spans="1:13" x14ac:dyDescent="0.25">
      <c r="B22" s="15"/>
      <c r="C22" s="15"/>
      <c r="D22" s="15"/>
      <c r="E22" s="15"/>
      <c r="F22" s="15"/>
      <c r="G22" s="15"/>
      <c r="H22" s="15"/>
      <c r="I22" s="15"/>
      <c r="J22" s="15"/>
      <c r="K22" s="17"/>
      <c r="L22" s="15"/>
      <c r="M22" s="15"/>
    </row>
  </sheetData>
  <sortState ref="B1:B702">
    <sortCondition ref="B1:B702"/>
  </sortState>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20"/>
  <sheetViews>
    <sheetView workbookViewId="0">
      <selection activeCell="C32" sqref="C32"/>
    </sheetView>
  </sheetViews>
  <sheetFormatPr defaultRowHeight="15" x14ac:dyDescent="0.25"/>
  <cols>
    <col min="1" max="1" width="9" style="5" bestFit="1" customWidth="1"/>
    <col min="2" max="2" width="10.7109375" style="16" bestFit="1" customWidth="1"/>
    <col min="3" max="3" width="72.28515625" bestFit="1" customWidth="1"/>
    <col min="4" max="4" width="17" bestFit="1" customWidth="1"/>
    <col min="5" max="5" width="4.85546875" bestFit="1" customWidth="1"/>
    <col min="6" max="6" width="7.140625" bestFit="1" customWidth="1"/>
  </cols>
  <sheetData>
    <row r="1" spans="1:7" x14ac:dyDescent="0.25">
      <c r="A1" s="5" t="s">
        <v>315</v>
      </c>
      <c r="B1" s="16" t="s">
        <v>314</v>
      </c>
      <c r="C1" s="5" t="s">
        <v>109</v>
      </c>
      <c r="D1" s="5" t="s">
        <v>317</v>
      </c>
      <c r="E1" t="s">
        <v>119</v>
      </c>
      <c r="F1" t="s">
        <v>120</v>
      </c>
      <c r="G1" t="s">
        <v>316</v>
      </c>
    </row>
    <row r="2" spans="1:7" s="5" customFormat="1" x14ac:dyDescent="0.25">
      <c r="A2" s="5">
        <v>10196255</v>
      </c>
      <c r="B2" s="16">
        <v>42034</v>
      </c>
      <c r="C2" s="5" t="s">
        <v>225</v>
      </c>
      <c r="D2" s="5">
        <v>1329.8</v>
      </c>
      <c r="E2" s="5">
        <v>40</v>
      </c>
      <c r="F2" s="5">
        <v>5</v>
      </c>
      <c r="G2" s="5">
        <v>21</v>
      </c>
    </row>
    <row r="3" spans="1:7" s="5" customFormat="1" x14ac:dyDescent="0.25">
      <c r="A3" s="5">
        <v>10195995</v>
      </c>
      <c r="B3" s="16">
        <v>42034</v>
      </c>
      <c r="C3" s="5" t="s">
        <v>226</v>
      </c>
      <c r="D3" s="5">
        <v>1401.8</v>
      </c>
      <c r="E3" s="5">
        <v>40</v>
      </c>
      <c r="F3" s="5">
        <v>2</v>
      </c>
      <c r="G3" s="5">
        <v>21</v>
      </c>
    </row>
    <row r="4" spans="1:7" x14ac:dyDescent="0.25">
      <c r="A4" s="5">
        <v>10588735</v>
      </c>
      <c r="B4" s="16" t="s">
        <v>309</v>
      </c>
      <c r="C4" t="s">
        <v>310</v>
      </c>
      <c r="D4">
        <v>623.29999999999995</v>
      </c>
      <c r="E4">
        <v>40</v>
      </c>
      <c r="F4">
        <v>2</v>
      </c>
      <c r="G4">
        <v>38</v>
      </c>
    </row>
    <row r="5" spans="1:7" x14ac:dyDescent="0.25">
      <c r="A5" s="5">
        <v>10588737</v>
      </c>
      <c r="B5" s="16" t="s">
        <v>309</v>
      </c>
      <c r="C5" t="s">
        <v>311</v>
      </c>
      <c r="D5">
        <v>951</v>
      </c>
      <c r="E5">
        <v>40</v>
      </c>
      <c r="F5">
        <v>2</v>
      </c>
      <c r="G5">
        <v>35</v>
      </c>
    </row>
    <row r="6" spans="1:7" x14ac:dyDescent="0.25">
      <c r="A6" s="5">
        <v>10588743</v>
      </c>
      <c r="B6" s="16" t="s">
        <v>309</v>
      </c>
      <c r="C6" t="s">
        <v>313</v>
      </c>
      <c r="D6">
        <v>1489.75</v>
      </c>
      <c r="E6">
        <v>30</v>
      </c>
      <c r="F6">
        <v>10</v>
      </c>
      <c r="G6">
        <v>26</v>
      </c>
    </row>
    <row r="7" spans="1:7" x14ac:dyDescent="0.25">
      <c r="A7" s="5">
        <v>10588742</v>
      </c>
      <c r="B7" s="16" t="s">
        <v>309</v>
      </c>
      <c r="C7" t="s">
        <v>312</v>
      </c>
      <c r="D7">
        <v>3074.2</v>
      </c>
      <c r="E7">
        <v>40</v>
      </c>
      <c r="F7">
        <v>5</v>
      </c>
      <c r="G7">
        <v>25</v>
      </c>
    </row>
    <row r="8" spans="1:7" x14ac:dyDescent="0.25">
      <c r="A8" s="5">
        <v>10601885</v>
      </c>
      <c r="B8" s="16" t="s">
        <v>322</v>
      </c>
      <c r="C8" s="1" t="s">
        <v>323</v>
      </c>
      <c r="D8">
        <v>1533.6</v>
      </c>
      <c r="E8">
        <v>80</v>
      </c>
      <c r="F8">
        <v>1</v>
      </c>
      <c r="G8">
        <v>47</v>
      </c>
    </row>
    <row r="9" spans="1:7" x14ac:dyDescent="0.25">
      <c r="A9" s="5">
        <v>10601610</v>
      </c>
      <c r="B9" s="16" t="s">
        <v>322</v>
      </c>
      <c r="C9" t="s">
        <v>324</v>
      </c>
      <c r="D9">
        <v>2391.1</v>
      </c>
      <c r="E9">
        <v>80</v>
      </c>
      <c r="F9">
        <v>1</v>
      </c>
      <c r="G9">
        <v>61</v>
      </c>
    </row>
    <row r="10" spans="1:7" x14ac:dyDescent="0.25">
      <c r="A10" s="5">
        <v>10601690</v>
      </c>
      <c r="B10" s="16" t="s">
        <v>322</v>
      </c>
      <c r="C10" t="s">
        <v>325</v>
      </c>
      <c r="D10">
        <v>2961.2</v>
      </c>
      <c r="E10">
        <v>40</v>
      </c>
      <c r="F10">
        <v>2</v>
      </c>
      <c r="G10">
        <v>29</v>
      </c>
    </row>
    <row r="11" spans="1:7" x14ac:dyDescent="0.25">
      <c r="A11" s="5">
        <v>10601474</v>
      </c>
      <c r="B11" s="16" t="s">
        <v>322</v>
      </c>
      <c r="C11" t="s">
        <v>326</v>
      </c>
      <c r="D11">
        <v>6056.7</v>
      </c>
      <c r="E11">
        <v>40</v>
      </c>
      <c r="F11">
        <v>5</v>
      </c>
      <c r="G11">
        <v>35</v>
      </c>
    </row>
    <row r="12" spans="1:7" x14ac:dyDescent="0.25">
      <c r="A12" s="5">
        <v>10601139</v>
      </c>
      <c r="B12" s="16" t="s">
        <v>322</v>
      </c>
      <c r="C12" t="s">
        <v>327</v>
      </c>
      <c r="D12">
        <v>6694.5</v>
      </c>
      <c r="E12">
        <v>30</v>
      </c>
      <c r="F12">
        <v>10</v>
      </c>
      <c r="G12">
        <v>17</v>
      </c>
    </row>
    <row r="13" spans="1:7" x14ac:dyDescent="0.25">
      <c r="A13" s="5">
        <v>10600615</v>
      </c>
      <c r="B13" s="16" t="s">
        <v>322</v>
      </c>
      <c r="C13" t="s">
        <v>328</v>
      </c>
      <c r="D13">
        <v>7077.25</v>
      </c>
      <c r="E13">
        <v>30</v>
      </c>
      <c r="F13">
        <v>10</v>
      </c>
      <c r="G13">
        <v>27</v>
      </c>
    </row>
    <row r="14" spans="1:7" x14ac:dyDescent="0.25">
      <c r="A14" s="5">
        <v>10602745</v>
      </c>
      <c r="B14" s="16" t="s">
        <v>322</v>
      </c>
      <c r="C14" t="s">
        <v>329</v>
      </c>
      <c r="D14">
        <v>2745.3</v>
      </c>
      <c r="E14">
        <v>40</v>
      </c>
      <c r="F14">
        <v>2</v>
      </c>
      <c r="G14">
        <v>21</v>
      </c>
    </row>
    <row r="15" spans="1:7" x14ac:dyDescent="0.25">
      <c r="A15" s="5">
        <v>10602444</v>
      </c>
      <c r="B15" s="16" t="s">
        <v>322</v>
      </c>
      <c r="C15" t="s">
        <v>330</v>
      </c>
      <c r="D15">
        <v>2788.15</v>
      </c>
      <c r="E15">
        <v>80</v>
      </c>
      <c r="F15">
        <v>1</v>
      </c>
      <c r="G15">
        <v>53</v>
      </c>
    </row>
    <row r="16" spans="1:7" x14ac:dyDescent="0.25">
      <c r="A16" s="5">
        <v>10602274</v>
      </c>
      <c r="B16" s="16" t="s">
        <v>322</v>
      </c>
      <c r="C16" t="s">
        <v>331</v>
      </c>
      <c r="D16">
        <v>3447.3</v>
      </c>
      <c r="E16">
        <v>80</v>
      </c>
      <c r="F16">
        <v>1</v>
      </c>
      <c r="G16">
        <v>74</v>
      </c>
    </row>
    <row r="17" spans="1:7" x14ac:dyDescent="0.25">
      <c r="A17" s="5">
        <v>10602094</v>
      </c>
      <c r="B17" s="16" t="s">
        <v>322</v>
      </c>
      <c r="C17" t="s">
        <v>332</v>
      </c>
      <c r="D17">
        <v>5587.8</v>
      </c>
      <c r="E17">
        <v>40</v>
      </c>
      <c r="F17">
        <v>5</v>
      </c>
      <c r="G17">
        <v>32</v>
      </c>
    </row>
    <row r="18" spans="1:7" x14ac:dyDescent="0.25">
      <c r="A18" s="5">
        <v>10602135</v>
      </c>
      <c r="B18" s="16" t="s">
        <v>322</v>
      </c>
      <c r="C18" t="s">
        <v>333</v>
      </c>
      <c r="D18">
        <v>6139.375</v>
      </c>
      <c r="E18">
        <v>30</v>
      </c>
      <c r="F18">
        <v>10</v>
      </c>
      <c r="G18">
        <v>17</v>
      </c>
    </row>
    <row r="19" spans="1:7" x14ac:dyDescent="0.25">
      <c r="A19" s="5">
        <v>10601139</v>
      </c>
      <c r="B19" s="16" t="s">
        <v>322</v>
      </c>
      <c r="C19" t="s">
        <v>327</v>
      </c>
      <c r="D19">
        <v>6759.875</v>
      </c>
      <c r="E19">
        <v>30</v>
      </c>
      <c r="F19">
        <v>10</v>
      </c>
      <c r="G19">
        <v>29</v>
      </c>
    </row>
    <row r="20" spans="1:7" x14ac:dyDescent="0.25">
      <c r="A20" s="5">
        <v>10601553</v>
      </c>
      <c r="B20" s="16" t="s">
        <v>322</v>
      </c>
      <c r="C20" t="s">
        <v>334</v>
      </c>
      <c r="D20">
        <v>6759.875</v>
      </c>
      <c r="E20">
        <v>30</v>
      </c>
      <c r="F20">
        <v>10</v>
      </c>
      <c r="G20">
        <v>18</v>
      </c>
    </row>
  </sheetData>
  <hyperlinks>
    <hyperlink ref="C8" r:id="rId1"/>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N21"/>
  <sheetViews>
    <sheetView workbookViewId="0">
      <selection activeCell="B2" sqref="B2"/>
    </sheetView>
  </sheetViews>
  <sheetFormatPr defaultRowHeight="15" x14ac:dyDescent="0.25"/>
  <cols>
    <col min="1" max="1" width="9" style="5" bestFit="1" customWidth="1"/>
    <col min="2" max="2" width="10" style="5" bestFit="1" customWidth="1"/>
    <col min="3" max="3" width="12.42578125" style="5" bestFit="1" customWidth="1"/>
    <col min="4" max="4" width="17" style="5" bestFit="1" customWidth="1"/>
    <col min="5" max="5" width="4.5703125" bestFit="1" customWidth="1"/>
    <col min="6" max="6" width="4.85546875" bestFit="1" customWidth="1"/>
    <col min="7" max="7" width="15.85546875" style="5" bestFit="1" customWidth="1"/>
    <col min="8" max="8" width="12.5703125" style="5" bestFit="1" customWidth="1"/>
    <col min="9" max="9" width="12.5703125" style="5" customWidth="1"/>
    <col min="10" max="10" width="10.7109375" style="14" bestFit="1" customWidth="1"/>
    <col min="11" max="11" width="9.28515625" style="14" customWidth="1"/>
    <col min="12" max="13" width="9.28515625" style="5" customWidth="1"/>
    <col min="14" max="14" width="30.7109375" bestFit="1" customWidth="1"/>
  </cols>
  <sheetData>
    <row r="1" spans="1:14" x14ac:dyDescent="0.25">
      <c r="A1" s="5" t="s">
        <v>315</v>
      </c>
      <c r="B1" s="5" t="s">
        <v>118</v>
      </c>
      <c r="C1" s="5" t="s">
        <v>164</v>
      </c>
      <c r="D1" s="5" t="s">
        <v>110</v>
      </c>
      <c r="E1" t="s">
        <v>119</v>
      </c>
      <c r="F1" t="s">
        <v>120</v>
      </c>
      <c r="G1" s="5" t="s">
        <v>227</v>
      </c>
      <c r="H1" s="5" t="s">
        <v>161</v>
      </c>
      <c r="I1" s="5" t="s">
        <v>245</v>
      </c>
      <c r="J1" s="14" t="s">
        <v>121</v>
      </c>
      <c r="K1" s="14" t="s">
        <v>297</v>
      </c>
      <c r="L1" s="5" t="s">
        <v>174</v>
      </c>
      <c r="M1" s="5" t="s">
        <v>173</v>
      </c>
      <c r="N1" t="s">
        <v>3</v>
      </c>
    </row>
    <row r="2" spans="1:14" x14ac:dyDescent="0.25">
      <c r="A2" s="5">
        <v>10582846</v>
      </c>
      <c r="B2" s="5">
        <v>136392304</v>
      </c>
      <c r="C2" s="8"/>
    </row>
    <row r="3" spans="1:14" x14ac:dyDescent="0.25">
      <c r="C3" s="8"/>
      <c r="N3" s="5"/>
    </row>
    <row r="4" spans="1:14" x14ac:dyDescent="0.25">
      <c r="C4" s="8"/>
      <c r="N4" s="5"/>
    </row>
    <row r="5" spans="1:14" x14ac:dyDescent="0.25">
      <c r="C5" s="8"/>
      <c r="N5" s="5"/>
    </row>
    <row r="6" spans="1:14" x14ac:dyDescent="0.25">
      <c r="C6" s="8"/>
      <c r="N6" s="5"/>
    </row>
    <row r="7" spans="1:14" x14ac:dyDescent="0.25">
      <c r="C7" s="8"/>
      <c r="N7" s="5"/>
    </row>
    <row r="8" spans="1:14" x14ac:dyDescent="0.25">
      <c r="C8" s="8"/>
      <c r="N8" s="5"/>
    </row>
    <row r="9" spans="1:14" x14ac:dyDescent="0.25">
      <c r="C9" s="8"/>
      <c r="N9" s="5"/>
    </row>
    <row r="10" spans="1:14" x14ac:dyDescent="0.25">
      <c r="A10"/>
      <c r="C10" s="8"/>
      <c r="N10" s="5"/>
    </row>
    <row r="11" spans="1:14" x14ac:dyDescent="0.25">
      <c r="C11" s="8"/>
      <c r="N11" s="5"/>
    </row>
    <row r="12" spans="1:14" x14ac:dyDescent="0.25">
      <c r="C12" s="8"/>
      <c r="N12" s="5"/>
    </row>
    <row r="13" spans="1:14" x14ac:dyDescent="0.25">
      <c r="C13" s="8"/>
      <c r="E13" s="5"/>
      <c r="F13" s="5"/>
      <c r="N13" s="5"/>
    </row>
    <row r="14" spans="1:14" x14ac:dyDescent="0.25">
      <c r="C14" s="8"/>
      <c r="E14" s="5"/>
      <c r="F14" s="5"/>
      <c r="N14" s="5"/>
    </row>
    <row r="15" spans="1:14" x14ac:dyDescent="0.25">
      <c r="C15" s="8"/>
      <c r="N15" s="5"/>
    </row>
    <row r="16" spans="1:14" x14ac:dyDescent="0.25">
      <c r="C16" s="8"/>
      <c r="N16" s="5"/>
    </row>
    <row r="17" spans="3:14" x14ac:dyDescent="0.25">
      <c r="C17" s="8"/>
      <c r="N17" s="5"/>
    </row>
    <row r="18" spans="3:14" x14ac:dyDescent="0.25">
      <c r="C18" s="8"/>
      <c r="N18" s="5"/>
    </row>
    <row r="19" spans="3:14" x14ac:dyDescent="0.25">
      <c r="C19" s="8"/>
      <c r="N19" s="5"/>
    </row>
    <row r="20" spans="3:14" x14ac:dyDescent="0.25">
      <c r="C20" s="8"/>
      <c r="N20" s="5"/>
    </row>
    <row r="21" spans="3:14" x14ac:dyDescent="0.25">
      <c r="C21" s="8"/>
      <c r="N21" s="5"/>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31"/>
  <sheetViews>
    <sheetView zoomScale="85" zoomScaleNormal="85" workbookViewId="0">
      <selection activeCell="A23" sqref="A23:XFD23"/>
    </sheetView>
  </sheetViews>
  <sheetFormatPr defaultRowHeight="15" x14ac:dyDescent="0.25"/>
  <cols>
    <col min="1" max="1" width="18.42578125" bestFit="1" customWidth="1"/>
    <col min="2" max="2" width="19.42578125" bestFit="1" customWidth="1"/>
    <col min="3" max="3" width="11.28515625" bestFit="1" customWidth="1"/>
    <col min="6" max="6" width="18.42578125" bestFit="1" customWidth="1"/>
    <col min="7" max="7" width="16.42578125" bestFit="1" customWidth="1"/>
    <col min="8" max="8" width="22.42578125" style="5" bestFit="1" customWidth="1"/>
    <col min="9" max="9" width="16.42578125" style="5" customWidth="1"/>
    <col min="10" max="10" width="15.85546875" bestFit="1" customWidth="1"/>
    <col min="12" max="12" width="19.42578125" bestFit="1" customWidth="1"/>
    <col min="13" max="13" width="17.5703125" bestFit="1" customWidth="1"/>
  </cols>
  <sheetData>
    <row r="1" spans="1:13" x14ac:dyDescent="0.25">
      <c r="A1" t="s">
        <v>123</v>
      </c>
      <c r="B1" t="s">
        <v>122</v>
      </c>
      <c r="C1" t="s">
        <v>1430</v>
      </c>
      <c r="F1" s="5" t="s">
        <v>123</v>
      </c>
      <c r="G1" s="5" t="s">
        <v>1429</v>
      </c>
      <c r="H1" s="5" t="s">
        <v>1470</v>
      </c>
      <c r="I1" s="5" t="s">
        <v>1508</v>
      </c>
      <c r="J1" t="s">
        <v>766</v>
      </c>
      <c r="L1" s="5" t="s">
        <v>123</v>
      </c>
      <c r="M1" s="5" t="s">
        <v>1431</v>
      </c>
    </row>
    <row r="2" spans="1:13" x14ac:dyDescent="0.25">
      <c r="A2" t="s">
        <v>124</v>
      </c>
      <c r="B2">
        <v>13</v>
      </c>
      <c r="C2" t="s">
        <v>689</v>
      </c>
      <c r="F2" s="5" t="s">
        <v>146</v>
      </c>
      <c r="G2" s="5" t="s">
        <v>660</v>
      </c>
      <c r="H2" s="2" t="s">
        <v>1459</v>
      </c>
      <c r="I2" s="2" t="s">
        <v>146</v>
      </c>
      <c r="J2" s="28"/>
      <c r="M2" s="5" t="s">
        <v>1395</v>
      </c>
    </row>
    <row r="3" spans="1:13" x14ac:dyDescent="0.25">
      <c r="A3" t="s">
        <v>152</v>
      </c>
      <c r="B3">
        <v>14</v>
      </c>
      <c r="C3" t="s">
        <v>679</v>
      </c>
      <c r="F3" s="5" t="s">
        <v>767</v>
      </c>
      <c r="G3" s="5" t="s">
        <v>1410</v>
      </c>
      <c r="H3" s="2" t="s">
        <v>1462</v>
      </c>
      <c r="I3" s="2" t="s">
        <v>1548</v>
      </c>
      <c r="J3" s="28"/>
      <c r="M3" s="5" t="s">
        <v>1402</v>
      </c>
    </row>
    <row r="4" spans="1:13" x14ac:dyDescent="0.25">
      <c r="A4" t="s">
        <v>126</v>
      </c>
      <c r="B4">
        <v>15</v>
      </c>
      <c r="C4" t="s">
        <v>665</v>
      </c>
      <c r="F4" s="5" t="s">
        <v>768</v>
      </c>
      <c r="G4" s="5" t="s">
        <v>1395</v>
      </c>
      <c r="H4" s="2" t="s">
        <v>1453</v>
      </c>
      <c r="I4" s="2" t="s">
        <v>768</v>
      </c>
      <c r="J4" s="28"/>
      <c r="M4" s="5" t="s">
        <v>676</v>
      </c>
    </row>
    <row r="5" spans="1:13" x14ac:dyDescent="0.25">
      <c r="A5" t="s">
        <v>133</v>
      </c>
      <c r="B5">
        <v>16</v>
      </c>
      <c r="C5" t="s">
        <v>680</v>
      </c>
      <c r="F5" s="5" t="s">
        <v>125</v>
      </c>
      <c r="G5" s="5" t="s">
        <v>686</v>
      </c>
      <c r="H5" s="2" t="s">
        <v>1468</v>
      </c>
      <c r="I5" s="2" t="s">
        <v>125</v>
      </c>
      <c r="J5" s="28"/>
      <c r="M5" s="5" t="s">
        <v>664</v>
      </c>
    </row>
    <row r="6" spans="1:13" x14ac:dyDescent="0.25">
      <c r="A6" t="s">
        <v>127</v>
      </c>
      <c r="B6">
        <v>17</v>
      </c>
      <c r="C6" t="s">
        <v>670</v>
      </c>
      <c r="F6" s="5" t="s">
        <v>769</v>
      </c>
      <c r="G6" s="5" t="s">
        <v>1393</v>
      </c>
      <c r="H6" s="2" t="s">
        <v>1454</v>
      </c>
      <c r="I6" s="2" t="s">
        <v>769</v>
      </c>
      <c r="J6" s="28"/>
      <c r="M6" s="5" t="s">
        <v>682</v>
      </c>
    </row>
    <row r="7" spans="1:13" x14ac:dyDescent="0.25">
      <c r="A7" t="s">
        <v>128</v>
      </c>
      <c r="B7">
        <v>18</v>
      </c>
      <c r="C7" t="s">
        <v>677</v>
      </c>
      <c r="F7" s="5" t="s">
        <v>770</v>
      </c>
      <c r="G7" s="5" t="s">
        <v>682</v>
      </c>
      <c r="H7" s="2" t="s">
        <v>1452</v>
      </c>
      <c r="I7" s="2" t="s">
        <v>770</v>
      </c>
      <c r="J7" s="28"/>
      <c r="M7" s="5" t="s">
        <v>1398</v>
      </c>
    </row>
    <row r="8" spans="1:13" x14ac:dyDescent="0.25">
      <c r="A8" t="s">
        <v>129</v>
      </c>
      <c r="B8">
        <v>19</v>
      </c>
      <c r="C8" t="s">
        <v>676</v>
      </c>
      <c r="F8" s="5" t="s">
        <v>145</v>
      </c>
      <c r="G8" s="5" t="s">
        <v>672</v>
      </c>
      <c r="H8" s="2" t="s">
        <v>1448</v>
      </c>
      <c r="I8" s="2" t="s">
        <v>145</v>
      </c>
      <c r="J8" s="28"/>
      <c r="M8" s="5" t="s">
        <v>665</v>
      </c>
    </row>
    <row r="9" spans="1:13" x14ac:dyDescent="0.25">
      <c r="A9" t="s">
        <v>130</v>
      </c>
      <c r="B9">
        <v>20</v>
      </c>
      <c r="C9" t="s">
        <v>687</v>
      </c>
      <c r="F9" s="5" t="s">
        <v>150</v>
      </c>
      <c r="G9" t="s">
        <v>664</v>
      </c>
      <c r="H9" s="2" t="s">
        <v>1441</v>
      </c>
      <c r="I9" s="2" t="s">
        <v>150</v>
      </c>
      <c r="J9" s="28"/>
      <c r="M9" s="5" t="s">
        <v>1414</v>
      </c>
    </row>
    <row r="10" spans="1:13" x14ac:dyDescent="0.25">
      <c r="A10" t="s">
        <v>134</v>
      </c>
      <c r="B10">
        <v>21</v>
      </c>
      <c r="C10" t="s">
        <v>661</v>
      </c>
      <c r="F10" s="5" t="s">
        <v>138</v>
      </c>
      <c r="G10" s="5" t="s">
        <v>663</v>
      </c>
      <c r="H10" s="2" t="s">
        <v>1443</v>
      </c>
      <c r="I10" s="2" t="s">
        <v>138</v>
      </c>
      <c r="J10" s="28"/>
      <c r="M10" s="5" t="s">
        <v>1419</v>
      </c>
    </row>
    <row r="11" spans="1:13" x14ac:dyDescent="0.25">
      <c r="A11" t="s">
        <v>131</v>
      </c>
      <c r="B11" s="5">
        <v>22</v>
      </c>
      <c r="C11" t="s">
        <v>668</v>
      </c>
      <c r="F11" s="5" t="s">
        <v>771</v>
      </c>
      <c r="G11" s="5" t="s">
        <v>1403</v>
      </c>
      <c r="H11" s="2" t="s">
        <v>1455</v>
      </c>
      <c r="I11" s="2" t="s">
        <v>1510</v>
      </c>
      <c r="J11" s="28"/>
      <c r="M11" s="5" t="s">
        <v>1393</v>
      </c>
    </row>
    <row r="12" spans="1:13" x14ac:dyDescent="0.25">
      <c r="A12" t="s">
        <v>132</v>
      </c>
      <c r="B12" s="5">
        <v>23</v>
      </c>
      <c r="C12" t="s">
        <v>662</v>
      </c>
      <c r="F12" s="5" t="s">
        <v>772</v>
      </c>
      <c r="G12" s="5" t="s">
        <v>1405</v>
      </c>
      <c r="H12" s="2" t="s">
        <v>1449</v>
      </c>
      <c r="I12" s="2" t="s">
        <v>772</v>
      </c>
      <c r="J12" s="28"/>
      <c r="M12" s="5" t="s">
        <v>1420</v>
      </c>
    </row>
    <row r="13" spans="1:13" x14ac:dyDescent="0.25">
      <c r="A13" t="s">
        <v>135</v>
      </c>
      <c r="B13" s="5">
        <v>24</v>
      </c>
      <c r="C13" t="s">
        <v>671</v>
      </c>
      <c r="F13" s="5" t="s">
        <v>773</v>
      </c>
      <c r="G13" s="5" t="s">
        <v>1398</v>
      </c>
      <c r="H13" s="2" t="s">
        <v>1446</v>
      </c>
      <c r="I13" s="2" t="s">
        <v>773</v>
      </c>
      <c r="J13" s="28"/>
      <c r="M13" s="5" t="s">
        <v>662</v>
      </c>
    </row>
    <row r="14" spans="1:13" x14ac:dyDescent="0.25">
      <c r="A14" t="s">
        <v>136</v>
      </c>
      <c r="B14" s="5">
        <v>25</v>
      </c>
      <c r="C14" t="s">
        <v>674</v>
      </c>
      <c r="F14" s="5" t="s">
        <v>130</v>
      </c>
      <c r="G14" s="5" t="s">
        <v>687</v>
      </c>
      <c r="H14" s="2" t="s">
        <v>1445</v>
      </c>
      <c r="I14" s="2" t="s">
        <v>130</v>
      </c>
      <c r="J14" s="28"/>
      <c r="M14" s="5" t="s">
        <v>1421</v>
      </c>
    </row>
    <row r="15" spans="1:13" x14ac:dyDescent="0.25">
      <c r="A15" t="s">
        <v>137</v>
      </c>
      <c r="B15" s="5">
        <v>26</v>
      </c>
      <c r="C15" t="s">
        <v>688</v>
      </c>
      <c r="F15" s="5" t="s">
        <v>774</v>
      </c>
      <c r="G15" s="5" t="s">
        <v>1399</v>
      </c>
      <c r="H15" s="2" t="s">
        <v>1465</v>
      </c>
      <c r="I15" s="2" t="s">
        <v>774</v>
      </c>
      <c r="J15" s="28"/>
      <c r="M15" s="5" t="s">
        <v>672</v>
      </c>
    </row>
    <row r="16" spans="1:13" x14ac:dyDescent="0.25">
      <c r="A16" t="s">
        <v>138</v>
      </c>
      <c r="B16" s="5">
        <v>27</v>
      </c>
      <c r="C16" t="s">
        <v>663</v>
      </c>
      <c r="F16" s="5" t="s">
        <v>148</v>
      </c>
      <c r="G16" s="5" t="s">
        <v>675</v>
      </c>
      <c r="H16" s="2" t="s">
        <v>1469</v>
      </c>
      <c r="I16" s="2" t="s">
        <v>148</v>
      </c>
      <c r="J16" s="28"/>
      <c r="M16" s="5" t="s">
        <v>1422</v>
      </c>
    </row>
    <row r="17" spans="1:13" x14ac:dyDescent="0.25">
      <c r="A17" t="s">
        <v>139</v>
      </c>
      <c r="B17" s="5">
        <v>28</v>
      </c>
      <c r="C17" t="s">
        <v>673</v>
      </c>
      <c r="F17" s="5" t="s">
        <v>775</v>
      </c>
      <c r="G17" s="5" t="s">
        <v>1394</v>
      </c>
      <c r="H17" s="5" t="s">
        <v>1442</v>
      </c>
      <c r="I17" s="5" t="s">
        <v>775</v>
      </c>
      <c r="J17" s="28"/>
      <c r="M17" s="5" t="s">
        <v>1417</v>
      </c>
    </row>
    <row r="18" spans="1:13" x14ac:dyDescent="0.25">
      <c r="A18" t="s">
        <v>140</v>
      </c>
      <c r="B18" s="5">
        <v>29</v>
      </c>
      <c r="C18" t="s">
        <v>669</v>
      </c>
      <c r="F18" s="5" t="s">
        <v>776</v>
      </c>
      <c r="G18" s="5" t="s">
        <v>1409</v>
      </c>
      <c r="H18" s="2" t="s">
        <v>1457</v>
      </c>
      <c r="I18" s="5" t="s">
        <v>776</v>
      </c>
      <c r="J18" s="28"/>
      <c r="M18" s="5" t="s">
        <v>1400</v>
      </c>
    </row>
    <row r="19" spans="1:13" x14ac:dyDescent="0.25">
      <c r="A19" t="s">
        <v>141</v>
      </c>
      <c r="B19" s="5">
        <v>30</v>
      </c>
      <c r="C19" t="s">
        <v>666</v>
      </c>
      <c r="F19" s="5" t="s">
        <v>132</v>
      </c>
      <c r="G19" s="5" t="s">
        <v>662</v>
      </c>
      <c r="H19" s="2" t="s">
        <v>1444</v>
      </c>
      <c r="I19" s="5" t="s">
        <v>132</v>
      </c>
      <c r="J19" s="28"/>
      <c r="M19" s="5" t="s">
        <v>1416</v>
      </c>
    </row>
    <row r="20" spans="1:13" x14ac:dyDescent="0.25">
      <c r="A20" t="s">
        <v>142</v>
      </c>
      <c r="B20" s="5">
        <v>31</v>
      </c>
      <c r="C20" t="s">
        <v>681</v>
      </c>
      <c r="F20" s="5" t="s">
        <v>777</v>
      </c>
      <c r="G20" s="5" t="s">
        <v>1406</v>
      </c>
      <c r="H20" s="2" t="s">
        <v>1456</v>
      </c>
      <c r="I20" s="5" t="s">
        <v>1509</v>
      </c>
      <c r="J20" s="28"/>
      <c r="M20" s="5" t="s">
        <v>1412</v>
      </c>
    </row>
    <row r="21" spans="1:13" x14ac:dyDescent="0.25">
      <c r="A21" t="s">
        <v>143</v>
      </c>
      <c r="B21" s="5">
        <v>32</v>
      </c>
      <c r="C21" t="s">
        <v>667</v>
      </c>
      <c r="F21" s="5" t="s">
        <v>778</v>
      </c>
      <c r="G21" s="5" t="s">
        <v>1396</v>
      </c>
      <c r="H21" s="5" t="s">
        <v>1451</v>
      </c>
      <c r="I21" s="5" t="s">
        <v>778</v>
      </c>
      <c r="J21" s="28"/>
      <c r="M21" s="5" t="s">
        <v>1413</v>
      </c>
    </row>
    <row r="22" spans="1:13" x14ac:dyDescent="0.25">
      <c r="A22" t="s">
        <v>144</v>
      </c>
      <c r="B22" s="5">
        <v>33</v>
      </c>
      <c r="C22" t="s">
        <v>683</v>
      </c>
      <c r="F22" s="5" t="s">
        <v>779</v>
      </c>
      <c r="G22" s="5" t="s">
        <v>1407</v>
      </c>
      <c r="H22" s="2" t="s">
        <v>1461</v>
      </c>
      <c r="I22" s="5" t="s">
        <v>1546</v>
      </c>
      <c r="J22" s="28"/>
      <c r="M22" s="5" t="s">
        <v>1415</v>
      </c>
    </row>
    <row r="23" spans="1:13" x14ac:dyDescent="0.25">
      <c r="A23" t="s">
        <v>145</v>
      </c>
      <c r="B23" s="5">
        <v>34</v>
      </c>
      <c r="C23" t="s">
        <v>672</v>
      </c>
      <c r="F23" s="5" t="s">
        <v>126</v>
      </c>
      <c r="G23" s="5" t="s">
        <v>665</v>
      </c>
      <c r="H23" s="2" t="s">
        <v>1447</v>
      </c>
      <c r="I23" s="5" t="s">
        <v>126</v>
      </c>
      <c r="J23" s="28"/>
      <c r="M23" s="5" t="s">
        <v>668</v>
      </c>
    </row>
    <row r="24" spans="1:13" x14ac:dyDescent="0.25">
      <c r="A24" t="s">
        <v>125</v>
      </c>
      <c r="B24" s="5">
        <v>35</v>
      </c>
      <c r="C24" t="s">
        <v>686</v>
      </c>
      <c r="F24" s="5" t="s">
        <v>780</v>
      </c>
      <c r="G24" s="5" t="s">
        <v>684</v>
      </c>
      <c r="H24" s="2" t="s">
        <v>1450</v>
      </c>
      <c r="I24" s="5" t="s">
        <v>1545</v>
      </c>
      <c r="J24" s="28"/>
      <c r="M24" s="5" t="s">
        <v>1418</v>
      </c>
    </row>
    <row r="25" spans="1:13" x14ac:dyDescent="0.25">
      <c r="A25" t="s">
        <v>146</v>
      </c>
      <c r="B25" s="5">
        <v>36</v>
      </c>
      <c r="C25" t="s">
        <v>660</v>
      </c>
      <c r="F25" s="5" t="s">
        <v>746</v>
      </c>
      <c r="G25" s="5" t="s">
        <v>1411</v>
      </c>
      <c r="H25" s="2" t="s">
        <v>1467</v>
      </c>
      <c r="I25" s="5" t="s">
        <v>1547</v>
      </c>
      <c r="J25" s="28"/>
      <c r="M25" s="5" t="s">
        <v>1423</v>
      </c>
    </row>
    <row r="26" spans="1:13" x14ac:dyDescent="0.25">
      <c r="A26" t="s">
        <v>147</v>
      </c>
      <c r="B26" s="5">
        <v>37</v>
      </c>
      <c r="C26" t="s">
        <v>685</v>
      </c>
      <c r="F26" s="5" t="s">
        <v>781</v>
      </c>
      <c r="G26" s="5" t="s">
        <v>1397</v>
      </c>
      <c r="H26" s="2" t="s">
        <v>1460</v>
      </c>
      <c r="I26" s="5" t="s">
        <v>781</v>
      </c>
      <c r="J26" s="28"/>
      <c r="M26" s="5" t="s">
        <v>1424</v>
      </c>
    </row>
    <row r="27" spans="1:13" x14ac:dyDescent="0.25">
      <c r="A27" t="s">
        <v>148</v>
      </c>
      <c r="B27" s="5">
        <v>38</v>
      </c>
      <c r="C27" t="s">
        <v>675</v>
      </c>
      <c r="F27" s="5" t="s">
        <v>782</v>
      </c>
      <c r="G27" s="5" t="s">
        <v>1404</v>
      </c>
      <c r="H27" s="2" t="s">
        <v>1471</v>
      </c>
      <c r="I27" s="5" t="s">
        <v>782</v>
      </c>
      <c r="J27" s="28"/>
      <c r="M27" s="5" t="s">
        <v>1425</v>
      </c>
    </row>
    <row r="28" spans="1:13" x14ac:dyDescent="0.25">
      <c r="A28" t="s">
        <v>149</v>
      </c>
      <c r="B28" s="5">
        <v>39</v>
      </c>
      <c r="C28" t="s">
        <v>684</v>
      </c>
      <c r="F28" s="5" t="s">
        <v>783</v>
      </c>
      <c r="G28" s="5" t="s">
        <v>1402</v>
      </c>
      <c r="H28" s="2" t="s">
        <v>1463</v>
      </c>
      <c r="I28" s="5" t="s">
        <v>783</v>
      </c>
      <c r="J28" s="28"/>
      <c r="M28" s="5" t="s">
        <v>1426</v>
      </c>
    </row>
    <row r="29" spans="1:13" x14ac:dyDescent="0.25">
      <c r="A29" t="s">
        <v>150</v>
      </c>
      <c r="B29" s="5">
        <v>40</v>
      </c>
      <c r="C29" t="s">
        <v>664</v>
      </c>
      <c r="F29" s="5" t="s">
        <v>784</v>
      </c>
      <c r="G29" s="5" t="s">
        <v>1400</v>
      </c>
      <c r="H29" s="2" t="s">
        <v>1464</v>
      </c>
      <c r="I29" s="5" t="s">
        <v>784</v>
      </c>
      <c r="J29" s="28"/>
      <c r="M29" s="5" t="s">
        <v>1427</v>
      </c>
    </row>
    <row r="30" spans="1:13" x14ac:dyDescent="0.25">
      <c r="A30" t="s">
        <v>151</v>
      </c>
      <c r="B30" s="5">
        <v>41</v>
      </c>
      <c r="C30" t="s">
        <v>678</v>
      </c>
      <c r="F30" s="5" t="s">
        <v>785</v>
      </c>
      <c r="G30" s="5" t="s">
        <v>1401</v>
      </c>
      <c r="H30" s="2" t="s">
        <v>1458</v>
      </c>
      <c r="I30" s="5" t="s">
        <v>785</v>
      </c>
      <c r="J30" s="28"/>
      <c r="M30" s="5" t="s">
        <v>1428</v>
      </c>
    </row>
    <row r="31" spans="1:13" x14ac:dyDescent="0.25">
      <c r="A31" t="s">
        <v>421</v>
      </c>
      <c r="B31" s="5">
        <v>42</v>
      </c>
      <c r="C31" t="s">
        <v>682</v>
      </c>
      <c r="F31" s="5" t="s">
        <v>786</v>
      </c>
      <c r="G31" s="5" t="s">
        <v>1408</v>
      </c>
      <c r="H31" s="2" t="s">
        <v>1466</v>
      </c>
      <c r="I31" s="5" t="s">
        <v>786</v>
      </c>
      <c r="J31" s="28"/>
      <c r="M31" s="5" t="s">
        <v>663</v>
      </c>
    </row>
  </sheetData>
  <sortState ref="A2:B31">
    <sortCondition ref="B2:B31"/>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394"/>
  <sheetViews>
    <sheetView topLeftCell="A19" zoomScaleNormal="100" workbookViewId="0">
      <selection activeCell="C27" sqref="C27"/>
    </sheetView>
  </sheetViews>
  <sheetFormatPr defaultRowHeight="15" x14ac:dyDescent="0.25"/>
  <cols>
    <col min="1" max="1" width="18.85546875" style="5" customWidth="1"/>
    <col min="2" max="2" width="13.85546875" style="5" bestFit="1" customWidth="1"/>
    <col min="3" max="3" width="102.85546875" style="5" bestFit="1" customWidth="1"/>
    <col min="4" max="4" width="15.28515625" customWidth="1"/>
    <col min="8" max="8" width="18.85546875" bestFit="1" customWidth="1"/>
    <col min="9" max="9" width="15.140625" customWidth="1"/>
  </cols>
  <sheetData>
    <row r="1" spans="1:9" ht="17.25" customHeight="1" x14ac:dyDescent="0.25">
      <c r="A1" s="37" t="s">
        <v>1613</v>
      </c>
      <c r="B1" s="35"/>
      <c r="C1" s="38"/>
      <c r="D1" s="35"/>
      <c r="E1" s="35"/>
      <c r="H1" s="22"/>
      <c r="I1" s="5"/>
    </row>
    <row r="2" spans="1:9" ht="13.5" customHeight="1" x14ac:dyDescent="0.25">
      <c r="A2" s="37"/>
      <c r="B2" s="35"/>
      <c r="C2" s="37"/>
      <c r="D2" s="39"/>
      <c r="E2" s="13"/>
      <c r="H2" s="2"/>
      <c r="I2" s="5"/>
    </row>
    <row r="3" spans="1:9" ht="21.75" customHeight="1" x14ac:dyDescent="0.25">
      <c r="A3" s="37"/>
      <c r="B3" s="35"/>
      <c r="C3" s="37"/>
      <c r="D3" s="39"/>
      <c r="E3" s="13"/>
      <c r="H3" s="5"/>
      <c r="I3" s="5"/>
    </row>
    <row r="4" spans="1:9" ht="13.5" customHeight="1" x14ac:dyDescent="0.25">
      <c r="A4" s="8"/>
      <c r="B4" s="35"/>
      <c r="C4" s="8"/>
      <c r="D4" s="39"/>
      <c r="E4" s="13"/>
      <c r="H4" s="5"/>
      <c r="I4" s="5"/>
    </row>
    <row r="5" spans="1:9" x14ac:dyDescent="0.25">
      <c r="A5" s="8"/>
      <c r="B5" s="35"/>
      <c r="C5" s="8"/>
      <c r="D5" s="39"/>
      <c r="E5" s="13"/>
      <c r="H5" s="5"/>
      <c r="I5" s="5"/>
    </row>
    <row r="6" spans="1:9" x14ac:dyDescent="0.25">
      <c r="A6" s="8"/>
      <c r="B6" s="35"/>
      <c r="C6" s="8"/>
      <c r="D6" s="39"/>
      <c r="E6" s="40"/>
      <c r="H6" s="5"/>
      <c r="I6" s="5"/>
    </row>
    <row r="7" spans="1:9" x14ac:dyDescent="0.25">
      <c r="A7" s="8"/>
      <c r="B7" s="35"/>
      <c r="C7" s="8"/>
      <c r="D7" s="39"/>
      <c r="E7" s="13"/>
      <c r="F7" s="5"/>
      <c r="H7" s="5"/>
      <c r="I7" s="5"/>
    </row>
    <row r="8" spans="1:9" x14ac:dyDescent="0.25">
      <c r="A8" s="8"/>
      <c r="B8" s="35"/>
      <c r="C8" s="8"/>
      <c r="D8" s="39"/>
      <c r="E8" s="13"/>
      <c r="F8" s="5"/>
      <c r="H8" s="5"/>
      <c r="I8" s="5"/>
    </row>
    <row r="9" spans="1:9" x14ac:dyDescent="0.25">
      <c r="A9" s="8"/>
      <c r="B9" s="35"/>
      <c r="C9" s="8"/>
      <c r="D9" s="39"/>
      <c r="E9" s="13"/>
      <c r="F9" s="5"/>
      <c r="H9" s="5"/>
      <c r="I9" s="5"/>
    </row>
    <row r="10" spans="1:9" x14ac:dyDescent="0.25">
      <c r="A10" s="8"/>
      <c r="B10" s="35"/>
      <c r="C10" s="8"/>
      <c r="D10" s="39"/>
      <c r="E10" s="13"/>
      <c r="F10" s="5"/>
      <c r="H10" s="5"/>
      <c r="I10" s="5"/>
    </row>
    <row r="11" spans="1:9" x14ac:dyDescent="0.25">
      <c r="A11" s="8"/>
      <c r="B11" s="35"/>
      <c r="D11" s="5"/>
      <c r="F11" s="5"/>
      <c r="H11" s="5"/>
      <c r="I11" s="5"/>
    </row>
    <row r="12" spans="1:9" x14ac:dyDescent="0.25">
      <c r="A12" s="8"/>
      <c r="B12" s="35"/>
      <c r="D12" s="5"/>
      <c r="F12" s="5"/>
    </row>
    <row r="13" spans="1:9" x14ac:dyDescent="0.25">
      <c r="A13" s="8"/>
      <c r="B13" s="35"/>
      <c r="D13" s="5"/>
      <c r="F13" s="5"/>
    </row>
    <row r="14" spans="1:9" ht="15" customHeight="1" x14ac:dyDescent="0.25">
      <c r="A14" s="8"/>
      <c r="B14" s="35"/>
      <c r="D14" s="5"/>
      <c r="F14" s="5"/>
    </row>
    <row r="15" spans="1:9" x14ac:dyDescent="0.25">
      <c r="A15" s="8"/>
      <c r="B15" s="35"/>
      <c r="D15" s="5"/>
      <c r="F15" s="5"/>
    </row>
    <row r="16" spans="1:9" x14ac:dyDescent="0.25">
      <c r="A16" s="31"/>
      <c r="B16" s="35"/>
      <c r="D16" s="5"/>
      <c r="E16" s="5"/>
      <c r="F16" s="5"/>
    </row>
    <row r="17" spans="1:11" x14ac:dyDescent="0.25">
      <c r="A17" s="8"/>
      <c r="B17" s="35"/>
      <c r="D17" s="5"/>
      <c r="F17" s="5"/>
    </row>
    <row r="18" spans="1:11" x14ac:dyDescent="0.25">
      <c r="A18" s="8"/>
      <c r="B18" s="35"/>
      <c r="D18" s="5"/>
      <c r="F18" s="5"/>
    </row>
    <row r="19" spans="1:11" x14ac:dyDescent="0.25">
      <c r="A19" s="8"/>
      <c r="B19" s="35"/>
      <c r="D19" s="5"/>
      <c r="F19" s="5"/>
    </row>
    <row r="20" spans="1:11" x14ac:dyDescent="0.25">
      <c r="A20" s="8"/>
      <c r="B20" s="35"/>
      <c r="D20" s="5"/>
      <c r="F20" s="5"/>
    </row>
    <row r="21" spans="1:11" x14ac:dyDescent="0.25">
      <c r="A21" s="8"/>
      <c r="B21" s="35"/>
      <c r="D21" s="5"/>
      <c r="F21" s="5"/>
    </row>
    <row r="22" spans="1:11" x14ac:dyDescent="0.25">
      <c r="A22" s="8"/>
      <c r="B22" s="35"/>
      <c r="D22" s="5"/>
      <c r="F22" s="5"/>
    </row>
    <row r="23" spans="1:11" x14ac:dyDescent="0.25">
      <c r="A23" s="8"/>
      <c r="B23" s="35"/>
      <c r="D23" s="5"/>
      <c r="F23" s="5"/>
      <c r="H23" s="24"/>
      <c r="K23" s="24"/>
    </row>
    <row r="24" spans="1:11" x14ac:dyDescent="0.25">
      <c r="A24" s="8"/>
      <c r="B24" s="35"/>
      <c r="D24" s="5"/>
      <c r="E24" s="5"/>
      <c r="F24" s="5"/>
      <c r="H24" s="24"/>
      <c r="K24" s="24"/>
    </row>
    <row r="25" spans="1:11" x14ac:dyDescent="0.25">
      <c r="A25" s="8"/>
      <c r="B25" s="35"/>
      <c r="D25" s="5"/>
      <c r="F25" s="5"/>
      <c r="H25" s="24"/>
      <c r="K25" s="24"/>
    </row>
    <row r="26" spans="1:11" x14ac:dyDescent="0.25">
      <c r="A26" s="8"/>
      <c r="B26" s="35"/>
      <c r="D26" s="5"/>
      <c r="F26" s="5"/>
      <c r="H26" s="24"/>
      <c r="K26" s="24"/>
    </row>
    <row r="27" spans="1:11" x14ac:dyDescent="0.25">
      <c r="A27" s="8"/>
      <c r="B27" s="35"/>
      <c r="D27" s="5"/>
      <c r="E27" s="5"/>
      <c r="F27" s="5"/>
      <c r="H27" s="24"/>
      <c r="K27" s="24"/>
    </row>
    <row r="28" spans="1:11" x14ac:dyDescent="0.25">
      <c r="A28" s="8"/>
      <c r="B28" s="35"/>
      <c r="D28" s="5"/>
      <c r="E28" s="5"/>
      <c r="F28" s="5"/>
      <c r="H28" s="24"/>
      <c r="K28" s="24"/>
    </row>
    <row r="29" spans="1:11" x14ac:dyDescent="0.25">
      <c r="A29" s="13"/>
      <c r="D29" s="5"/>
      <c r="E29" s="5"/>
      <c r="F29" s="5"/>
      <c r="H29" s="24"/>
      <c r="K29" s="24"/>
    </row>
    <row r="30" spans="1:11" x14ac:dyDescent="0.25">
      <c r="A30" s="13"/>
      <c r="D30" s="5"/>
      <c r="F30" s="5"/>
      <c r="H30" s="24"/>
      <c r="K30" s="24"/>
    </row>
    <row r="31" spans="1:11" x14ac:dyDescent="0.25">
      <c r="A31" s="13"/>
      <c r="D31" s="5"/>
      <c r="F31" s="5"/>
      <c r="H31" s="24"/>
      <c r="K31" s="24"/>
    </row>
    <row r="32" spans="1:11" x14ac:dyDescent="0.25">
      <c r="D32" s="5"/>
      <c r="E32" s="5"/>
      <c r="F32" s="5"/>
      <c r="H32" s="24"/>
      <c r="K32" s="24"/>
    </row>
    <row r="33" spans="3:11" x14ac:dyDescent="0.25">
      <c r="D33" s="5"/>
      <c r="F33" s="5"/>
      <c r="H33" s="24"/>
      <c r="K33" s="24"/>
    </row>
    <row r="34" spans="3:11" x14ac:dyDescent="0.25">
      <c r="D34" s="5"/>
      <c r="F34" s="5"/>
      <c r="H34" s="24"/>
      <c r="K34" s="24"/>
    </row>
    <row r="35" spans="3:11" x14ac:dyDescent="0.25">
      <c r="D35" s="5"/>
      <c r="E35" s="5"/>
      <c r="F35" s="5"/>
      <c r="H35" s="24"/>
      <c r="J35" s="24"/>
      <c r="K35" s="24"/>
    </row>
    <row r="36" spans="3:11" x14ac:dyDescent="0.25">
      <c r="D36" s="5"/>
      <c r="F36" s="5"/>
      <c r="G36" s="25"/>
      <c r="H36" s="24"/>
      <c r="I36" s="24"/>
      <c r="J36" s="25"/>
      <c r="K36" s="24"/>
    </row>
    <row r="37" spans="3:11" x14ac:dyDescent="0.25">
      <c r="D37" s="5"/>
      <c r="F37" s="5"/>
      <c r="G37" s="25"/>
      <c r="H37" s="24"/>
      <c r="I37" s="24"/>
      <c r="J37" s="25"/>
      <c r="K37" s="24"/>
    </row>
    <row r="38" spans="3:11" x14ac:dyDescent="0.25">
      <c r="D38" s="5"/>
      <c r="F38" s="5"/>
      <c r="H38" s="24"/>
      <c r="K38" s="24"/>
    </row>
    <row r="39" spans="3:11" x14ac:dyDescent="0.25">
      <c r="D39" s="5"/>
      <c r="F39" s="5"/>
      <c r="H39" s="24"/>
      <c r="K39" s="24"/>
    </row>
    <row r="40" spans="3:11" x14ac:dyDescent="0.25">
      <c r="C40" s="26"/>
      <c r="D40" s="5"/>
      <c r="F40" s="5"/>
      <c r="H40" s="24"/>
      <c r="K40" s="24"/>
    </row>
    <row r="41" spans="3:11" x14ac:dyDescent="0.25">
      <c r="D41" s="5"/>
      <c r="F41" s="5"/>
      <c r="H41" s="24"/>
      <c r="K41" s="24"/>
    </row>
    <row r="42" spans="3:11" x14ac:dyDescent="0.25">
      <c r="D42" s="5"/>
      <c r="F42" s="5"/>
      <c r="H42" s="24"/>
      <c r="K42" s="24"/>
    </row>
    <row r="43" spans="3:11" x14ac:dyDescent="0.25">
      <c r="C43" s="26"/>
      <c r="D43" s="5"/>
      <c r="E43" s="5"/>
      <c r="F43" s="5"/>
      <c r="H43" s="24"/>
      <c r="K43" s="24"/>
    </row>
    <row r="44" spans="3:11" x14ac:dyDescent="0.25">
      <c r="D44" s="5"/>
      <c r="F44" s="5"/>
      <c r="H44" s="24"/>
      <c r="K44" s="24"/>
    </row>
    <row r="45" spans="3:11" x14ac:dyDescent="0.25">
      <c r="D45" s="5"/>
      <c r="F45" s="5"/>
      <c r="H45" s="24"/>
      <c r="J45" s="24"/>
      <c r="K45" s="24"/>
    </row>
    <row r="46" spans="3:11" x14ac:dyDescent="0.25">
      <c r="D46" s="5"/>
      <c r="F46" s="5"/>
      <c r="H46" s="24"/>
      <c r="J46" s="24"/>
      <c r="K46" s="24"/>
    </row>
    <row r="47" spans="3:11" x14ac:dyDescent="0.25">
      <c r="D47" s="5"/>
      <c r="F47" s="5"/>
      <c r="G47" s="25"/>
      <c r="H47" s="24"/>
      <c r="I47" s="24"/>
      <c r="J47" s="25"/>
      <c r="K47" s="24"/>
    </row>
    <row r="48" spans="3:11" x14ac:dyDescent="0.25">
      <c r="D48" s="5"/>
      <c r="F48" s="5"/>
      <c r="G48" s="25"/>
      <c r="H48" s="24"/>
      <c r="I48" s="25"/>
      <c r="J48" s="25"/>
    </row>
    <row r="49" spans="3:6" x14ac:dyDescent="0.25">
      <c r="C49" s="26"/>
      <c r="D49" s="5"/>
      <c r="E49" s="5"/>
      <c r="F49" s="5"/>
    </row>
    <row r="50" spans="3:6" x14ac:dyDescent="0.25">
      <c r="C50" s="26"/>
      <c r="D50" s="5"/>
      <c r="E50" s="5"/>
      <c r="F50" s="5"/>
    </row>
    <row r="51" spans="3:6" x14ac:dyDescent="0.25">
      <c r="C51" s="26"/>
      <c r="D51" s="5"/>
      <c r="F51" s="5"/>
    </row>
    <row r="52" spans="3:6" x14ac:dyDescent="0.25">
      <c r="C52" s="26"/>
      <c r="D52" s="5"/>
      <c r="F52" s="5"/>
    </row>
    <row r="53" spans="3:6" x14ac:dyDescent="0.25">
      <c r="C53" s="26"/>
      <c r="D53" s="5"/>
      <c r="E53" s="5"/>
      <c r="F53" s="5"/>
    </row>
    <row r="54" spans="3:6" x14ac:dyDescent="0.25">
      <c r="C54" s="26"/>
      <c r="D54" s="5"/>
      <c r="E54" s="5"/>
      <c r="F54" s="5"/>
    </row>
    <row r="55" spans="3:6" x14ac:dyDescent="0.25">
      <c r="D55" s="5"/>
      <c r="F55" s="5"/>
    </row>
    <row r="56" spans="3:6" x14ac:dyDescent="0.25">
      <c r="D56" s="5"/>
      <c r="F56" s="5"/>
    </row>
    <row r="57" spans="3:6" x14ac:dyDescent="0.25">
      <c r="D57" s="5"/>
      <c r="F57" s="5"/>
    </row>
    <row r="58" spans="3:6" x14ac:dyDescent="0.25">
      <c r="C58" s="26"/>
      <c r="D58" s="5"/>
      <c r="F58" s="5"/>
    </row>
    <row r="59" spans="3:6" x14ac:dyDescent="0.25">
      <c r="D59" s="5"/>
      <c r="F59" s="5"/>
    </row>
    <row r="60" spans="3:6" x14ac:dyDescent="0.25">
      <c r="D60" s="5"/>
      <c r="F60" s="5"/>
    </row>
    <row r="61" spans="3:6" x14ac:dyDescent="0.25">
      <c r="C61" s="26"/>
      <c r="D61" s="5"/>
      <c r="E61" s="5"/>
      <c r="F61" s="5"/>
    </row>
    <row r="62" spans="3:6" x14ac:dyDescent="0.25">
      <c r="C62" s="26"/>
      <c r="D62" s="5"/>
      <c r="E62" s="5"/>
      <c r="F62" s="5"/>
    </row>
    <row r="63" spans="3:6" x14ac:dyDescent="0.25">
      <c r="C63" s="26"/>
      <c r="D63" s="5"/>
      <c r="F63" s="5"/>
    </row>
    <row r="64" spans="3:6" x14ac:dyDescent="0.25">
      <c r="C64" s="26"/>
      <c r="D64" s="5"/>
      <c r="E64" s="5"/>
      <c r="F64" s="5"/>
    </row>
    <row r="65" spans="1:6" x14ac:dyDescent="0.25">
      <c r="C65" s="26"/>
      <c r="D65" s="5"/>
      <c r="E65" s="5"/>
      <c r="F65" s="5"/>
    </row>
    <row r="66" spans="1:6" x14ac:dyDescent="0.25">
      <c r="C66" s="26"/>
      <c r="D66" s="5"/>
      <c r="E66" s="5"/>
      <c r="F66" s="5"/>
    </row>
    <row r="67" spans="1:6" x14ac:dyDescent="0.25">
      <c r="C67" s="26"/>
      <c r="D67" s="5"/>
      <c r="F67" s="5"/>
    </row>
    <row r="68" spans="1:6" x14ac:dyDescent="0.25">
      <c r="D68" s="5"/>
      <c r="F68" s="5"/>
    </row>
    <row r="69" spans="1:6" x14ac:dyDescent="0.25">
      <c r="C69" s="26"/>
      <c r="D69" s="5"/>
      <c r="E69" s="5"/>
      <c r="F69" s="5"/>
    </row>
    <row r="70" spans="1:6" x14ac:dyDescent="0.25">
      <c r="A70" s="2"/>
      <c r="C70" s="26"/>
      <c r="D70" s="5"/>
      <c r="E70" s="5"/>
      <c r="F70" s="5"/>
    </row>
    <row r="71" spans="1:6" x14ac:dyDescent="0.25">
      <c r="C71" s="26"/>
      <c r="D71" s="5"/>
      <c r="E71" s="5"/>
      <c r="F71" s="5"/>
    </row>
    <row r="72" spans="1:6" x14ac:dyDescent="0.25">
      <c r="C72" s="26"/>
      <c r="D72" s="5"/>
      <c r="F72" s="5"/>
    </row>
    <row r="73" spans="1:6" x14ac:dyDescent="0.25">
      <c r="C73" s="26"/>
      <c r="D73" s="5"/>
      <c r="F73" s="5"/>
    </row>
    <row r="74" spans="1:6" x14ac:dyDescent="0.25">
      <c r="C74" s="26"/>
      <c r="D74" s="5"/>
      <c r="E74" s="5"/>
      <c r="F74" s="5"/>
    </row>
    <row r="75" spans="1:6" x14ac:dyDescent="0.25">
      <c r="C75" s="26"/>
      <c r="D75" s="5"/>
      <c r="E75" s="5"/>
      <c r="F75" s="5"/>
    </row>
    <row r="76" spans="1:6" x14ac:dyDescent="0.25">
      <c r="C76" s="26"/>
      <c r="D76" s="5"/>
      <c r="F76" s="5"/>
    </row>
    <row r="77" spans="1:6" x14ac:dyDescent="0.25">
      <c r="C77" s="26"/>
      <c r="D77" s="5"/>
      <c r="F77" s="5"/>
    </row>
    <row r="78" spans="1:6" x14ac:dyDescent="0.25">
      <c r="C78" s="26"/>
      <c r="D78" s="5"/>
      <c r="E78" s="5"/>
      <c r="F78" s="5"/>
    </row>
    <row r="79" spans="1:6" x14ac:dyDescent="0.25">
      <c r="D79" s="5"/>
      <c r="F79" s="5"/>
    </row>
    <row r="80" spans="1:6" x14ac:dyDescent="0.25">
      <c r="C80" s="26"/>
      <c r="D80" s="5"/>
      <c r="E80" s="5"/>
      <c r="F80" s="5"/>
    </row>
    <row r="81" spans="1:6" x14ac:dyDescent="0.25">
      <c r="C81" s="26"/>
      <c r="D81" s="5"/>
      <c r="E81" s="5"/>
      <c r="F81" s="5"/>
    </row>
    <row r="82" spans="1:6" x14ac:dyDescent="0.25">
      <c r="A82" s="2"/>
      <c r="C82" s="26"/>
      <c r="D82" s="5"/>
      <c r="E82" s="5"/>
      <c r="F82" s="5"/>
    </row>
    <row r="83" spans="1:6" x14ac:dyDescent="0.25">
      <c r="C83" s="26"/>
      <c r="D83" s="5"/>
      <c r="F83" s="5"/>
    </row>
    <row r="84" spans="1:6" x14ac:dyDescent="0.25">
      <c r="C84" s="26"/>
      <c r="D84" s="5"/>
      <c r="E84" s="5"/>
      <c r="F84" s="5"/>
    </row>
    <row r="85" spans="1:6" x14ac:dyDescent="0.25">
      <c r="C85" s="26"/>
      <c r="D85" s="5"/>
      <c r="F85" s="5"/>
    </row>
    <row r="86" spans="1:6" x14ac:dyDescent="0.25">
      <c r="C86" s="26"/>
      <c r="D86" s="5"/>
      <c r="F86" s="5"/>
    </row>
    <row r="87" spans="1:6" x14ac:dyDescent="0.25">
      <c r="D87" s="5"/>
      <c r="F87" s="5"/>
    </row>
    <row r="88" spans="1:6" x14ac:dyDescent="0.25">
      <c r="D88" s="5"/>
      <c r="F88" s="5"/>
    </row>
    <row r="89" spans="1:6" x14ac:dyDescent="0.25">
      <c r="D89" s="5"/>
      <c r="F89" s="5"/>
    </row>
    <row r="90" spans="1:6" x14ac:dyDescent="0.25">
      <c r="C90" s="26"/>
      <c r="D90" s="5"/>
      <c r="E90" s="5"/>
      <c r="F90" s="5"/>
    </row>
    <row r="91" spans="1:6" x14ac:dyDescent="0.25">
      <c r="C91" s="26"/>
      <c r="D91" s="5"/>
      <c r="E91" s="5"/>
      <c r="F91" s="5"/>
    </row>
    <row r="92" spans="1:6" x14ac:dyDescent="0.25">
      <c r="D92" s="5"/>
      <c r="E92" s="5"/>
      <c r="F92" s="5"/>
    </row>
    <row r="93" spans="1:6" x14ac:dyDescent="0.25">
      <c r="D93" s="5"/>
      <c r="F93" s="5"/>
    </row>
    <row r="94" spans="1:6" x14ac:dyDescent="0.25">
      <c r="C94" s="26"/>
      <c r="D94" s="5"/>
      <c r="F94" s="5"/>
    </row>
    <row r="95" spans="1:6" x14ac:dyDescent="0.25">
      <c r="C95" s="26"/>
      <c r="D95" s="5"/>
      <c r="F95" s="5"/>
    </row>
    <row r="96" spans="1:6" x14ac:dyDescent="0.25">
      <c r="D96" s="5"/>
      <c r="F96" s="5"/>
    </row>
    <row r="97" spans="3:6" x14ac:dyDescent="0.25">
      <c r="D97" s="5"/>
      <c r="F97" s="5"/>
    </row>
    <row r="98" spans="3:6" x14ac:dyDescent="0.25">
      <c r="D98" s="5"/>
      <c r="F98" s="5"/>
    </row>
    <row r="99" spans="3:6" x14ac:dyDescent="0.25">
      <c r="D99" s="5"/>
      <c r="F99" s="5"/>
    </row>
    <row r="100" spans="3:6" x14ac:dyDescent="0.25">
      <c r="C100" s="26"/>
      <c r="D100" s="5"/>
      <c r="E100" s="5"/>
      <c r="F100" s="5"/>
    </row>
    <row r="101" spans="3:6" x14ac:dyDescent="0.25">
      <c r="D101" s="5"/>
      <c r="F101" s="5"/>
    </row>
    <row r="102" spans="3:6" x14ac:dyDescent="0.25">
      <c r="D102" s="5"/>
      <c r="F102" s="5"/>
    </row>
    <row r="103" spans="3:6" x14ac:dyDescent="0.25">
      <c r="C103" s="26"/>
      <c r="D103" s="5"/>
      <c r="E103" s="5"/>
      <c r="F103" s="5"/>
    </row>
    <row r="104" spans="3:6" x14ac:dyDescent="0.25">
      <c r="C104" s="26"/>
      <c r="D104" s="5"/>
      <c r="E104" s="5"/>
      <c r="F104" s="5"/>
    </row>
    <row r="105" spans="3:6" x14ac:dyDescent="0.25">
      <c r="C105" s="26"/>
      <c r="D105" s="5"/>
      <c r="E105" s="5"/>
      <c r="F105" s="5"/>
    </row>
    <row r="106" spans="3:6" x14ac:dyDescent="0.25">
      <c r="C106" s="26"/>
      <c r="D106" s="5"/>
      <c r="E106" s="5"/>
      <c r="F106" s="5"/>
    </row>
    <row r="107" spans="3:6" x14ac:dyDescent="0.25">
      <c r="C107" s="26"/>
      <c r="D107" s="5"/>
      <c r="E107" s="5"/>
      <c r="F107" s="5"/>
    </row>
    <row r="108" spans="3:6" x14ac:dyDescent="0.25">
      <c r="C108" s="26"/>
      <c r="D108" s="5"/>
      <c r="E108" s="5"/>
      <c r="F108" s="5"/>
    </row>
    <row r="109" spans="3:6" x14ac:dyDescent="0.25">
      <c r="C109" s="26"/>
      <c r="D109" s="5"/>
      <c r="E109" s="5"/>
      <c r="F109" s="5"/>
    </row>
    <row r="110" spans="3:6" x14ac:dyDescent="0.25">
      <c r="C110" s="26"/>
      <c r="D110" s="5"/>
      <c r="F110" s="5"/>
    </row>
    <row r="111" spans="3:6" x14ac:dyDescent="0.25">
      <c r="C111" s="26"/>
      <c r="D111" s="5"/>
      <c r="E111" s="5"/>
      <c r="F111" s="5"/>
    </row>
    <row r="112" spans="3:6" x14ac:dyDescent="0.25">
      <c r="D112" s="7"/>
    </row>
    <row r="113" spans="4:4" x14ac:dyDescent="0.25">
      <c r="D113" s="7"/>
    </row>
    <row r="114" spans="4:4" x14ac:dyDescent="0.25">
      <c r="D114" s="7"/>
    </row>
    <row r="115" spans="4:4" x14ac:dyDescent="0.25">
      <c r="D115" s="7"/>
    </row>
    <row r="116" spans="4:4" x14ac:dyDescent="0.25">
      <c r="D116" s="7"/>
    </row>
    <row r="117" spans="4:4" x14ac:dyDescent="0.25">
      <c r="D117" s="7"/>
    </row>
    <row r="118" spans="4:4" x14ac:dyDescent="0.25">
      <c r="D118" s="7"/>
    </row>
    <row r="119" spans="4:4" x14ac:dyDescent="0.25">
      <c r="D119" s="7"/>
    </row>
    <row r="120" spans="4:4" x14ac:dyDescent="0.25">
      <c r="D120" s="7"/>
    </row>
    <row r="121" spans="4:4" x14ac:dyDescent="0.25">
      <c r="D121" s="7"/>
    </row>
    <row r="122" spans="4:4" x14ac:dyDescent="0.25">
      <c r="D122" s="7"/>
    </row>
    <row r="123" spans="4:4" x14ac:dyDescent="0.25">
      <c r="D123" s="7"/>
    </row>
    <row r="124" spans="4:4" x14ac:dyDescent="0.25">
      <c r="D124" s="7"/>
    </row>
    <row r="125" spans="4:4" x14ac:dyDescent="0.25">
      <c r="D125" s="7"/>
    </row>
    <row r="126" spans="4:4" x14ac:dyDescent="0.25">
      <c r="D126" s="7"/>
    </row>
    <row r="127" spans="4:4" x14ac:dyDescent="0.25">
      <c r="D127" s="7"/>
    </row>
    <row r="128" spans="4:4" x14ac:dyDescent="0.25">
      <c r="D128" s="7"/>
    </row>
    <row r="129" spans="4:4" x14ac:dyDescent="0.25">
      <c r="D129" s="7"/>
    </row>
    <row r="130" spans="4:4" x14ac:dyDescent="0.25">
      <c r="D130" s="7"/>
    </row>
    <row r="131" spans="4:4" x14ac:dyDescent="0.25">
      <c r="D131" s="7"/>
    </row>
    <row r="132" spans="4:4" x14ac:dyDescent="0.25">
      <c r="D132" s="7"/>
    </row>
    <row r="133" spans="4:4" x14ac:dyDescent="0.25">
      <c r="D133" s="7"/>
    </row>
    <row r="134" spans="4:4" x14ac:dyDescent="0.25">
      <c r="D134" s="7"/>
    </row>
    <row r="135" spans="4:4" x14ac:dyDescent="0.25">
      <c r="D135" s="7"/>
    </row>
    <row r="136" spans="4:4" x14ac:dyDescent="0.25">
      <c r="D136" s="7"/>
    </row>
    <row r="137" spans="4:4" x14ac:dyDescent="0.25">
      <c r="D137" s="5"/>
    </row>
    <row r="138" spans="4:4" x14ac:dyDescent="0.25">
      <c r="D138" s="5"/>
    </row>
    <row r="139" spans="4:4" x14ac:dyDescent="0.25">
      <c r="D139" s="5"/>
    </row>
    <row r="140" spans="4:4" x14ac:dyDescent="0.25">
      <c r="D140" s="5"/>
    </row>
    <row r="141" spans="4:4" x14ac:dyDescent="0.25">
      <c r="D141" s="5"/>
    </row>
    <row r="142" spans="4:4" x14ac:dyDescent="0.25">
      <c r="D142" s="5"/>
    </row>
    <row r="143" spans="4:4" x14ac:dyDescent="0.25">
      <c r="D143" s="5"/>
    </row>
    <row r="144" spans="4:4" x14ac:dyDescent="0.25">
      <c r="D144" s="5"/>
    </row>
    <row r="145" spans="1:4" x14ac:dyDescent="0.25">
      <c r="D145" s="5"/>
    </row>
    <row r="146" spans="1:4" x14ac:dyDescent="0.25">
      <c r="D146" s="5"/>
    </row>
    <row r="147" spans="1:4" x14ac:dyDescent="0.25">
      <c r="D147" s="5"/>
    </row>
    <row r="148" spans="1:4" x14ac:dyDescent="0.25">
      <c r="D148" s="5"/>
    </row>
    <row r="149" spans="1:4" x14ac:dyDescent="0.25">
      <c r="D149" s="5"/>
    </row>
    <row r="150" spans="1:4" x14ac:dyDescent="0.25">
      <c r="D150" s="5"/>
    </row>
    <row r="151" spans="1:4" x14ac:dyDescent="0.25">
      <c r="D151" s="5"/>
    </row>
    <row r="152" spans="1:4" x14ac:dyDescent="0.25">
      <c r="A152" s="2"/>
      <c r="D152" s="5"/>
    </row>
    <row r="153" spans="1:4" x14ac:dyDescent="0.25">
      <c r="D153" s="5"/>
    </row>
    <row r="154" spans="1:4" x14ac:dyDescent="0.25">
      <c r="D154" s="5"/>
    </row>
    <row r="155" spans="1:4" x14ac:dyDescent="0.25">
      <c r="D155" s="5"/>
    </row>
    <row r="156" spans="1:4" x14ac:dyDescent="0.25">
      <c r="A156" s="2"/>
      <c r="D156" s="5"/>
    </row>
    <row r="157" spans="1:4" x14ac:dyDescent="0.25">
      <c r="D157" s="5"/>
    </row>
    <row r="158" spans="1:4" x14ac:dyDescent="0.25">
      <c r="D158" s="5"/>
    </row>
    <row r="159" spans="1:4" x14ac:dyDescent="0.25">
      <c r="D159" s="5"/>
    </row>
    <row r="160" spans="1:4" x14ac:dyDescent="0.25">
      <c r="D160" s="5"/>
    </row>
    <row r="161" spans="4:4" x14ac:dyDescent="0.25">
      <c r="D161" s="5"/>
    </row>
    <row r="162" spans="4:4" x14ac:dyDescent="0.25">
      <c r="D162" s="5"/>
    </row>
    <row r="163" spans="4:4" x14ac:dyDescent="0.25">
      <c r="D163" s="5"/>
    </row>
    <row r="164" spans="4:4" x14ac:dyDescent="0.25">
      <c r="D164" s="5"/>
    </row>
    <row r="165" spans="4:4" x14ac:dyDescent="0.25">
      <c r="D165" s="5"/>
    </row>
    <row r="166" spans="4:4" x14ac:dyDescent="0.25">
      <c r="D166" s="5"/>
    </row>
    <row r="167" spans="4:4" x14ac:dyDescent="0.25">
      <c r="D167" s="5"/>
    </row>
    <row r="168" spans="4:4" x14ac:dyDescent="0.25">
      <c r="D168" s="5"/>
    </row>
    <row r="169" spans="4:4" x14ac:dyDescent="0.25">
      <c r="D169" s="5"/>
    </row>
    <row r="170" spans="4:4" x14ac:dyDescent="0.25">
      <c r="D170" s="5"/>
    </row>
    <row r="171" spans="4:4" x14ac:dyDescent="0.25">
      <c r="D171" s="5"/>
    </row>
    <row r="172" spans="4:4" x14ac:dyDescent="0.25">
      <c r="D172" s="5"/>
    </row>
    <row r="173" spans="4:4" x14ac:dyDescent="0.25">
      <c r="D173" s="5"/>
    </row>
    <row r="174" spans="4:4" x14ac:dyDescent="0.25">
      <c r="D174" s="5"/>
    </row>
    <row r="175" spans="4:4" x14ac:dyDescent="0.25">
      <c r="D175" s="5"/>
    </row>
    <row r="176" spans="4:4" x14ac:dyDescent="0.25">
      <c r="D176" s="5"/>
    </row>
    <row r="177" spans="4:4" x14ac:dyDescent="0.25">
      <c r="D177" s="5"/>
    </row>
    <row r="178" spans="4:4" x14ac:dyDescent="0.25">
      <c r="D178" s="5"/>
    </row>
    <row r="179" spans="4:4" x14ac:dyDescent="0.25">
      <c r="D179" s="5"/>
    </row>
    <row r="180" spans="4:4" x14ac:dyDescent="0.25">
      <c r="D180" s="5"/>
    </row>
    <row r="181" spans="4:4" x14ac:dyDescent="0.25">
      <c r="D181" s="5"/>
    </row>
    <row r="182" spans="4:4" x14ac:dyDescent="0.25">
      <c r="D182" s="5"/>
    </row>
    <row r="183" spans="4:4" x14ac:dyDescent="0.25">
      <c r="D183" s="5"/>
    </row>
    <row r="184" spans="4:4" x14ac:dyDescent="0.25">
      <c r="D184" s="5"/>
    </row>
    <row r="185" spans="4:4" x14ac:dyDescent="0.25">
      <c r="D185" s="5"/>
    </row>
    <row r="186" spans="4:4" x14ac:dyDescent="0.25">
      <c r="D186" s="5"/>
    </row>
    <row r="187" spans="4:4" x14ac:dyDescent="0.25">
      <c r="D187" s="5"/>
    </row>
    <row r="188" spans="4:4" x14ac:dyDescent="0.25">
      <c r="D188" s="5"/>
    </row>
    <row r="189" spans="4:4" x14ac:dyDescent="0.25">
      <c r="D189" s="5"/>
    </row>
    <row r="190" spans="4:4" x14ac:dyDescent="0.25">
      <c r="D190" s="5"/>
    </row>
    <row r="191" spans="4:4" x14ac:dyDescent="0.25">
      <c r="D191" s="5"/>
    </row>
    <row r="192" spans="4:4" x14ac:dyDescent="0.25">
      <c r="D192" s="5"/>
    </row>
    <row r="193" spans="4:4" x14ac:dyDescent="0.25">
      <c r="D193" s="5"/>
    </row>
    <row r="194" spans="4:4" x14ac:dyDescent="0.25">
      <c r="D194" s="5"/>
    </row>
    <row r="195" spans="4:4" x14ac:dyDescent="0.25">
      <c r="D195" s="5"/>
    </row>
    <row r="196" spans="4:4" x14ac:dyDescent="0.25">
      <c r="D196" s="5"/>
    </row>
    <row r="197" spans="4:4" x14ac:dyDescent="0.25">
      <c r="D197" s="5"/>
    </row>
    <row r="198" spans="4:4" x14ac:dyDescent="0.25">
      <c r="D198" s="5"/>
    </row>
    <row r="199" spans="4:4" x14ac:dyDescent="0.25">
      <c r="D199" s="5"/>
    </row>
    <row r="200" spans="4:4" x14ac:dyDescent="0.25">
      <c r="D200" s="5"/>
    </row>
    <row r="201" spans="4:4" x14ac:dyDescent="0.25">
      <c r="D201" s="5"/>
    </row>
    <row r="202" spans="4:4" x14ac:dyDescent="0.25">
      <c r="D202" s="5"/>
    </row>
    <row r="203" spans="4:4" x14ac:dyDescent="0.25">
      <c r="D203" s="5"/>
    </row>
    <row r="204" spans="4:4" x14ac:dyDescent="0.25">
      <c r="D204" s="5"/>
    </row>
    <row r="205" spans="4:4" x14ac:dyDescent="0.25">
      <c r="D205" s="5"/>
    </row>
    <row r="206" spans="4:4" x14ac:dyDescent="0.25">
      <c r="D206" s="5"/>
    </row>
    <row r="207" spans="4:4" x14ac:dyDescent="0.25">
      <c r="D207" s="5"/>
    </row>
    <row r="208" spans="4:4" x14ac:dyDescent="0.25">
      <c r="D208" s="5"/>
    </row>
    <row r="209" spans="1:4" x14ac:dyDescent="0.25">
      <c r="D209" s="5"/>
    </row>
    <row r="210" spans="1:4" x14ac:dyDescent="0.25">
      <c r="D210" s="5"/>
    </row>
    <row r="211" spans="1:4" x14ac:dyDescent="0.25">
      <c r="D211" s="5"/>
    </row>
    <row r="212" spans="1:4" x14ac:dyDescent="0.25">
      <c r="D212" s="5"/>
    </row>
    <row r="213" spans="1:4" x14ac:dyDescent="0.25">
      <c r="D213" s="5"/>
    </row>
    <row r="214" spans="1:4" x14ac:dyDescent="0.25">
      <c r="D214" s="5"/>
    </row>
    <row r="215" spans="1:4" x14ac:dyDescent="0.25">
      <c r="D215" s="5"/>
    </row>
    <row r="216" spans="1:4" x14ac:dyDescent="0.25">
      <c r="D216" s="5"/>
    </row>
    <row r="217" spans="1:4" x14ac:dyDescent="0.25">
      <c r="D217" s="5"/>
    </row>
    <row r="218" spans="1:4" x14ac:dyDescent="0.25">
      <c r="D218" s="5"/>
    </row>
    <row r="219" spans="1:4" x14ac:dyDescent="0.25">
      <c r="A219" s="2"/>
      <c r="D219" s="5"/>
    </row>
    <row r="220" spans="1:4" x14ac:dyDescent="0.25">
      <c r="D220" s="5"/>
    </row>
    <row r="221" spans="1:4" x14ac:dyDescent="0.25">
      <c r="D221" s="5"/>
    </row>
    <row r="222" spans="1:4" x14ac:dyDescent="0.25">
      <c r="D222" s="5"/>
    </row>
    <row r="223" spans="1:4" x14ac:dyDescent="0.25">
      <c r="D223" s="5"/>
    </row>
    <row r="224" spans="1:4" x14ac:dyDescent="0.25">
      <c r="D224" s="5"/>
    </row>
    <row r="225" spans="4:4" x14ac:dyDescent="0.25">
      <c r="D225" s="5"/>
    </row>
    <row r="226" spans="4:4" x14ac:dyDescent="0.25">
      <c r="D226" s="5"/>
    </row>
    <row r="227" spans="4:4" x14ac:dyDescent="0.25">
      <c r="D227" s="5"/>
    </row>
    <row r="228" spans="4:4" x14ac:dyDescent="0.25">
      <c r="D228" s="5"/>
    </row>
    <row r="229" spans="4:4" x14ac:dyDescent="0.25">
      <c r="D229" s="5"/>
    </row>
    <row r="230" spans="4:4" x14ac:dyDescent="0.25">
      <c r="D230" s="5"/>
    </row>
    <row r="231" spans="4:4" x14ac:dyDescent="0.25">
      <c r="D231" s="5"/>
    </row>
    <row r="232" spans="4:4" x14ac:dyDescent="0.25">
      <c r="D232" s="5"/>
    </row>
    <row r="233" spans="4:4" x14ac:dyDescent="0.25">
      <c r="D233" s="5"/>
    </row>
    <row r="234" spans="4:4" x14ac:dyDescent="0.25">
      <c r="D234" s="5"/>
    </row>
    <row r="235" spans="4:4" x14ac:dyDescent="0.25">
      <c r="D235" s="5"/>
    </row>
    <row r="236" spans="4:4" x14ac:dyDescent="0.25">
      <c r="D236" s="5"/>
    </row>
    <row r="237" spans="4:4" x14ac:dyDescent="0.25">
      <c r="D237" s="5"/>
    </row>
    <row r="238" spans="4:4" x14ac:dyDescent="0.25">
      <c r="D238" s="5"/>
    </row>
    <row r="239" spans="4:4" x14ac:dyDescent="0.25">
      <c r="D239" s="5"/>
    </row>
    <row r="240" spans="4:4" x14ac:dyDescent="0.25">
      <c r="D240" s="5"/>
    </row>
    <row r="241" spans="4:4" x14ac:dyDescent="0.25">
      <c r="D241" s="5"/>
    </row>
    <row r="242" spans="4:4" x14ac:dyDescent="0.25">
      <c r="D242" s="5"/>
    </row>
    <row r="243" spans="4:4" x14ac:dyDescent="0.25">
      <c r="D243" s="5"/>
    </row>
    <row r="244" spans="4:4" x14ac:dyDescent="0.25">
      <c r="D244" s="5"/>
    </row>
    <row r="245" spans="4:4" x14ac:dyDescent="0.25">
      <c r="D245" s="5"/>
    </row>
    <row r="246" spans="4:4" x14ac:dyDescent="0.25">
      <c r="D246" s="5"/>
    </row>
    <row r="247" spans="4:4" x14ac:dyDescent="0.25">
      <c r="D247" s="5"/>
    </row>
    <row r="248" spans="4:4" x14ac:dyDescent="0.25">
      <c r="D248" s="5"/>
    </row>
    <row r="249" spans="4:4" x14ac:dyDescent="0.25">
      <c r="D249" s="5"/>
    </row>
    <row r="250" spans="4:4" x14ac:dyDescent="0.25">
      <c r="D250" s="5"/>
    </row>
    <row r="251" spans="4:4" x14ac:dyDescent="0.25">
      <c r="D251" s="5"/>
    </row>
    <row r="252" spans="4:4" x14ac:dyDescent="0.25">
      <c r="D252" s="5"/>
    </row>
    <row r="253" spans="4:4" x14ac:dyDescent="0.25">
      <c r="D253" s="5"/>
    </row>
    <row r="254" spans="4:4" x14ac:dyDescent="0.25">
      <c r="D254" s="5"/>
    </row>
    <row r="255" spans="4:4" x14ac:dyDescent="0.25">
      <c r="D255" s="5"/>
    </row>
    <row r="256" spans="4:4" x14ac:dyDescent="0.25">
      <c r="D256" s="5"/>
    </row>
    <row r="257" spans="1:4" x14ac:dyDescent="0.25">
      <c r="D257" s="5"/>
    </row>
    <row r="258" spans="1:4" x14ac:dyDescent="0.25">
      <c r="D258" s="5"/>
    </row>
    <row r="259" spans="1:4" x14ac:dyDescent="0.25">
      <c r="D259" s="5"/>
    </row>
    <row r="260" spans="1:4" x14ac:dyDescent="0.25">
      <c r="D260" s="5"/>
    </row>
    <row r="261" spans="1:4" x14ac:dyDescent="0.25">
      <c r="D261" s="5"/>
    </row>
    <row r="262" spans="1:4" x14ac:dyDescent="0.25">
      <c r="D262" s="5"/>
    </row>
    <row r="263" spans="1:4" x14ac:dyDescent="0.25">
      <c r="D263" s="5"/>
    </row>
    <row r="264" spans="1:4" x14ac:dyDescent="0.25">
      <c r="D264" s="5"/>
    </row>
    <row r="265" spans="1:4" x14ac:dyDescent="0.25">
      <c r="D265" s="5"/>
    </row>
    <row r="266" spans="1:4" x14ac:dyDescent="0.25">
      <c r="D266" s="5"/>
    </row>
    <row r="267" spans="1:4" x14ac:dyDescent="0.25">
      <c r="A267" s="2"/>
      <c r="D267" s="5"/>
    </row>
    <row r="268" spans="1:4" x14ac:dyDescent="0.25">
      <c r="D268" s="5"/>
    </row>
    <row r="269" spans="1:4" x14ac:dyDescent="0.25">
      <c r="D269" s="5"/>
    </row>
    <row r="270" spans="1:4" x14ac:dyDescent="0.25">
      <c r="D270" s="5"/>
    </row>
    <row r="271" spans="1:4" x14ac:dyDescent="0.25">
      <c r="D271" s="5"/>
    </row>
    <row r="272" spans="1:4" x14ac:dyDescent="0.25">
      <c r="D272" s="5"/>
    </row>
    <row r="273" spans="1:4" x14ac:dyDescent="0.25">
      <c r="A273" s="2"/>
      <c r="D273" s="5"/>
    </row>
    <row r="274" spans="1:4" x14ac:dyDescent="0.25">
      <c r="D274" s="5"/>
    </row>
    <row r="275" spans="1:4" x14ac:dyDescent="0.25">
      <c r="D275" s="5"/>
    </row>
    <row r="276" spans="1:4" x14ac:dyDescent="0.25">
      <c r="D276" s="5"/>
    </row>
    <row r="277" spans="1:4" x14ac:dyDescent="0.25">
      <c r="D277" s="5"/>
    </row>
    <row r="278" spans="1:4" x14ac:dyDescent="0.25">
      <c r="D278" s="5"/>
    </row>
    <row r="279" spans="1:4" x14ac:dyDescent="0.25">
      <c r="D279" s="5"/>
    </row>
    <row r="295" spans="1:1" x14ac:dyDescent="0.25">
      <c r="A295" s="2"/>
    </row>
    <row r="303" spans="1:1" x14ac:dyDescent="0.25">
      <c r="A303" s="2"/>
    </row>
    <row r="329" spans="1:1" x14ac:dyDescent="0.25">
      <c r="A329" s="2"/>
    </row>
    <row r="364" spans="1:1" x14ac:dyDescent="0.25">
      <c r="A364" s="2"/>
    </row>
    <row r="371" spans="1:1" x14ac:dyDescent="0.25">
      <c r="A371" s="2"/>
    </row>
    <row r="394" spans="1:1" x14ac:dyDescent="0.25">
      <c r="A394" s="2"/>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K394"/>
  <sheetViews>
    <sheetView zoomScale="55" zoomScaleNormal="55" workbookViewId="0">
      <selection activeCell="D34" sqref="D34"/>
    </sheetView>
  </sheetViews>
  <sheetFormatPr defaultRowHeight="15" x14ac:dyDescent="0.25"/>
  <cols>
    <col min="1" max="1" width="16.7109375" style="34" customWidth="1"/>
    <col min="2" max="2" width="13.85546875" style="34" bestFit="1" customWidth="1"/>
    <col min="3" max="3" width="13.85546875" style="34" customWidth="1"/>
    <col min="4" max="4" width="34.140625" style="34" bestFit="1" customWidth="1"/>
    <col min="5" max="5" width="34.5703125" style="34" bestFit="1" customWidth="1"/>
    <col min="6" max="7" width="9.140625" style="34"/>
    <col min="8" max="8" width="18.85546875" style="34" bestFit="1" customWidth="1"/>
    <col min="9" max="9" width="15.140625" style="34" customWidth="1"/>
    <col min="10" max="16384" width="9.140625" style="34"/>
  </cols>
  <sheetData>
    <row r="1" spans="1:8" ht="16.5" customHeight="1" x14ac:dyDescent="0.25">
      <c r="A1" s="35" t="s">
        <v>314</v>
      </c>
      <c r="B1" s="35" t="s">
        <v>1543</v>
      </c>
      <c r="C1" s="35"/>
      <c r="D1" s="29"/>
      <c r="H1" s="22"/>
    </row>
    <row r="2" spans="1:8" x14ac:dyDescent="0.25">
      <c r="A2" s="8">
        <v>42106</v>
      </c>
      <c r="B2" s="34">
        <v>44.75</v>
      </c>
      <c r="C2" s="34">
        <v>1</v>
      </c>
      <c r="D2" s="34">
        <f>AVERAGEIF(C2:C22,"&lt;2",B2:B22)</f>
        <v>39.147222222222226</v>
      </c>
      <c r="H2" s="2"/>
    </row>
    <row r="3" spans="1:8" x14ac:dyDescent="0.25">
      <c r="A3" s="32">
        <v>42107</v>
      </c>
      <c r="B3" s="34">
        <v>28.25</v>
      </c>
      <c r="C3" s="34">
        <v>0</v>
      </c>
      <c r="D3" s="34">
        <f>AVERAGEIF(C2:C22,"&lt;1",B2:B22)</f>
        <v>39.529166666666669</v>
      </c>
    </row>
    <row r="4" spans="1:8" x14ac:dyDescent="0.25">
      <c r="A4" s="8">
        <v>42108</v>
      </c>
      <c r="B4" s="34">
        <v>27.5</v>
      </c>
      <c r="C4" s="34">
        <v>0</v>
      </c>
    </row>
    <row r="5" spans="1:8" x14ac:dyDescent="0.25">
      <c r="A5" s="8">
        <v>42109</v>
      </c>
      <c r="B5" s="34">
        <v>39</v>
      </c>
      <c r="C5" s="34">
        <v>0</v>
      </c>
    </row>
    <row r="6" spans="1:8" x14ac:dyDescent="0.25">
      <c r="A6" s="8">
        <v>42111</v>
      </c>
      <c r="B6" s="34">
        <v>37.75</v>
      </c>
      <c r="C6" s="34">
        <v>0</v>
      </c>
    </row>
    <row r="7" spans="1:8" x14ac:dyDescent="0.25">
      <c r="A7" s="8">
        <v>42112</v>
      </c>
      <c r="B7" s="34">
        <v>42.25</v>
      </c>
      <c r="C7" s="34">
        <v>0</v>
      </c>
    </row>
    <row r="8" spans="1:8" x14ac:dyDescent="0.25">
      <c r="A8" s="8">
        <v>42113</v>
      </c>
      <c r="B8" s="34">
        <v>45.5</v>
      </c>
      <c r="C8" s="34">
        <v>0</v>
      </c>
    </row>
    <row r="9" spans="1:8" x14ac:dyDescent="0.25">
      <c r="A9" s="8">
        <v>42114</v>
      </c>
      <c r="B9" s="34">
        <v>37.75</v>
      </c>
      <c r="C9" s="34">
        <v>1</v>
      </c>
    </row>
    <row r="10" spans="1:8" x14ac:dyDescent="0.25">
      <c r="A10" s="8">
        <v>42115</v>
      </c>
      <c r="B10" s="34">
        <v>38.1</v>
      </c>
      <c r="C10" s="34">
        <v>1</v>
      </c>
    </row>
    <row r="11" spans="1:8" x14ac:dyDescent="0.25">
      <c r="A11" s="8">
        <v>42116</v>
      </c>
      <c r="B11" s="34">
        <v>42.5</v>
      </c>
      <c r="C11" s="34">
        <v>1</v>
      </c>
    </row>
    <row r="12" spans="1:8" x14ac:dyDescent="0.25">
      <c r="A12" s="8">
        <v>42117</v>
      </c>
      <c r="B12" s="34">
        <v>38.5</v>
      </c>
      <c r="C12" s="34">
        <v>0</v>
      </c>
    </row>
    <row r="13" spans="1:8" x14ac:dyDescent="0.25">
      <c r="A13" s="8">
        <v>42118</v>
      </c>
      <c r="B13" s="34">
        <v>57.25</v>
      </c>
      <c r="C13" s="34">
        <v>0</v>
      </c>
    </row>
    <row r="14" spans="1:8" ht="15" customHeight="1" x14ac:dyDescent="0.25">
      <c r="A14" s="8">
        <v>42119</v>
      </c>
      <c r="B14" s="34">
        <v>40.25</v>
      </c>
      <c r="C14" s="34">
        <v>1</v>
      </c>
    </row>
    <row r="15" spans="1:8" x14ac:dyDescent="0.25">
      <c r="A15" s="8">
        <v>42120</v>
      </c>
      <c r="B15" s="34">
        <v>21.85</v>
      </c>
      <c r="C15" s="34">
        <v>3</v>
      </c>
    </row>
    <row r="16" spans="1:8" x14ac:dyDescent="0.25">
      <c r="A16" s="31">
        <v>42121</v>
      </c>
      <c r="B16" s="30">
        <v>35.85</v>
      </c>
      <c r="C16" s="30">
        <v>0</v>
      </c>
    </row>
    <row r="17" spans="1:11" x14ac:dyDescent="0.25">
      <c r="A17" s="8">
        <v>42122</v>
      </c>
      <c r="B17" s="34">
        <v>39</v>
      </c>
      <c r="C17" s="34">
        <v>2</v>
      </c>
    </row>
    <row r="18" spans="1:11" x14ac:dyDescent="0.25">
      <c r="A18" s="8">
        <v>42123</v>
      </c>
      <c r="B18" s="34">
        <v>26.95</v>
      </c>
      <c r="C18" s="34">
        <v>1</v>
      </c>
    </row>
    <row r="19" spans="1:11" x14ac:dyDescent="0.25">
      <c r="A19" s="8">
        <v>42125</v>
      </c>
      <c r="B19" s="34">
        <v>26.75</v>
      </c>
      <c r="C19" s="34">
        <v>2</v>
      </c>
    </row>
    <row r="20" spans="1:11" x14ac:dyDescent="0.25">
      <c r="A20" s="8">
        <v>42126</v>
      </c>
      <c r="B20" s="34">
        <v>46.5</v>
      </c>
      <c r="C20" s="34">
        <v>0</v>
      </c>
    </row>
    <row r="21" spans="1:11" x14ac:dyDescent="0.25">
      <c r="A21" s="8">
        <v>42105</v>
      </c>
      <c r="B21" s="34">
        <v>38</v>
      </c>
      <c r="C21" s="34">
        <v>0</v>
      </c>
    </row>
    <row r="22" spans="1:11" x14ac:dyDescent="0.25">
      <c r="A22" s="8">
        <v>42126</v>
      </c>
      <c r="B22" s="34">
        <v>38</v>
      </c>
      <c r="C22" s="34">
        <v>0</v>
      </c>
    </row>
    <row r="23" spans="1:11" x14ac:dyDescent="0.25">
      <c r="H23" s="24"/>
      <c r="K23" s="24"/>
    </row>
    <row r="24" spans="1:11" x14ac:dyDescent="0.25">
      <c r="H24" s="24"/>
      <c r="K24" s="24"/>
    </row>
    <row r="25" spans="1:11" x14ac:dyDescent="0.25">
      <c r="H25" s="24"/>
      <c r="K25" s="24"/>
    </row>
    <row r="26" spans="1:11" x14ac:dyDescent="0.25">
      <c r="H26" s="24"/>
      <c r="K26" s="24"/>
    </row>
    <row r="27" spans="1:11" x14ac:dyDescent="0.25">
      <c r="H27" s="24"/>
      <c r="K27" s="24"/>
    </row>
    <row r="28" spans="1:11" x14ac:dyDescent="0.25">
      <c r="H28" s="24"/>
      <c r="K28" s="24"/>
    </row>
    <row r="29" spans="1:11" x14ac:dyDescent="0.25">
      <c r="H29" s="24"/>
      <c r="K29" s="24"/>
    </row>
    <row r="30" spans="1:11" x14ac:dyDescent="0.25">
      <c r="H30" s="24"/>
      <c r="K30" s="24"/>
    </row>
    <row r="31" spans="1:11" x14ac:dyDescent="0.25">
      <c r="H31" s="24"/>
      <c r="K31" s="24"/>
    </row>
    <row r="32" spans="1:11" x14ac:dyDescent="0.25">
      <c r="H32" s="24"/>
      <c r="K32" s="24"/>
    </row>
    <row r="33" spans="4:11" x14ac:dyDescent="0.25">
      <c r="H33" s="24"/>
      <c r="K33" s="24"/>
    </row>
    <row r="34" spans="4:11" x14ac:dyDescent="0.25">
      <c r="H34" s="24"/>
      <c r="K34" s="24"/>
    </row>
    <row r="35" spans="4:11" x14ac:dyDescent="0.25">
      <c r="H35" s="24"/>
      <c r="J35" s="24"/>
      <c r="K35" s="24"/>
    </row>
    <row r="36" spans="4:11" x14ac:dyDescent="0.25">
      <c r="G36" s="25"/>
      <c r="H36" s="24"/>
      <c r="I36" s="24"/>
      <c r="J36" s="25"/>
      <c r="K36" s="24"/>
    </row>
    <row r="37" spans="4:11" x14ac:dyDescent="0.25">
      <c r="G37" s="25"/>
      <c r="H37" s="24"/>
      <c r="I37" s="24"/>
      <c r="J37" s="25"/>
      <c r="K37" s="24"/>
    </row>
    <row r="38" spans="4:11" x14ac:dyDescent="0.25">
      <c r="D38" s="34" t="s">
        <v>1558</v>
      </c>
      <c r="E38" s="8">
        <v>42133</v>
      </c>
      <c r="F38" s="34">
        <v>158</v>
      </c>
      <c r="G38" s="34">
        <v>51.1</v>
      </c>
      <c r="H38" s="24"/>
      <c r="K38" s="24"/>
    </row>
    <row r="39" spans="4:11" x14ac:dyDescent="0.25">
      <c r="D39" s="34" t="s">
        <v>1566</v>
      </c>
      <c r="E39" s="8">
        <v>42133</v>
      </c>
      <c r="F39" s="34">
        <v>57</v>
      </c>
      <c r="G39" s="34">
        <v>44.25</v>
      </c>
      <c r="H39" s="24"/>
      <c r="K39" s="24"/>
    </row>
    <row r="40" spans="4:11" x14ac:dyDescent="0.25">
      <c r="D40" s="34" t="s">
        <v>1560</v>
      </c>
      <c r="E40" s="8">
        <v>42132</v>
      </c>
      <c r="F40" s="34">
        <v>263</v>
      </c>
      <c r="G40" s="34">
        <v>47.75</v>
      </c>
      <c r="H40" s="24"/>
      <c r="K40" s="24"/>
    </row>
    <row r="41" spans="4:11" x14ac:dyDescent="0.25">
      <c r="D41" s="34" t="s">
        <v>1561</v>
      </c>
      <c r="E41" s="8">
        <v>42131</v>
      </c>
      <c r="F41" s="34">
        <v>112</v>
      </c>
      <c r="G41" s="34">
        <v>52.6</v>
      </c>
      <c r="H41" s="24"/>
      <c r="K41" s="24"/>
    </row>
    <row r="42" spans="4:11" x14ac:dyDescent="0.25">
      <c r="D42" s="34" t="s">
        <v>1562</v>
      </c>
      <c r="E42" s="8">
        <v>42130</v>
      </c>
      <c r="F42" s="34">
        <v>226</v>
      </c>
      <c r="G42" s="34">
        <v>64</v>
      </c>
      <c r="H42" s="24"/>
      <c r="K42" s="24"/>
    </row>
    <row r="43" spans="4:11" x14ac:dyDescent="0.25">
      <c r="D43" s="34" t="s">
        <v>1568</v>
      </c>
      <c r="E43" s="8">
        <v>42129</v>
      </c>
      <c r="F43" s="34">
        <v>263</v>
      </c>
      <c r="G43" s="34">
        <v>60</v>
      </c>
      <c r="H43" s="24"/>
      <c r="K43" s="24"/>
    </row>
    <row r="44" spans="4:11" x14ac:dyDescent="0.25">
      <c r="D44" s="34" t="s">
        <v>1569</v>
      </c>
      <c r="E44" s="8">
        <v>42128</v>
      </c>
      <c r="F44" s="34">
        <v>188</v>
      </c>
      <c r="G44" s="34">
        <v>52.6</v>
      </c>
      <c r="H44" s="24"/>
      <c r="K44" s="24"/>
    </row>
    <row r="45" spans="4:11" x14ac:dyDescent="0.25">
      <c r="D45" s="34" t="s">
        <v>1570</v>
      </c>
      <c r="E45" s="8">
        <v>42128</v>
      </c>
      <c r="F45" s="34">
        <v>58</v>
      </c>
      <c r="G45" s="34">
        <v>51.5</v>
      </c>
      <c r="H45" s="24"/>
      <c r="J45" s="24"/>
      <c r="K45" s="24"/>
    </row>
    <row r="46" spans="4:11" x14ac:dyDescent="0.25">
      <c r="D46" s="34" t="s">
        <v>1571</v>
      </c>
      <c r="E46" s="8">
        <v>42128</v>
      </c>
      <c r="F46" s="34">
        <v>38</v>
      </c>
      <c r="G46" s="34">
        <v>34.25</v>
      </c>
      <c r="H46" s="24"/>
      <c r="J46" s="24"/>
      <c r="K46" s="24"/>
    </row>
    <row r="47" spans="4:11" x14ac:dyDescent="0.25">
      <c r="D47" s="34" t="s">
        <v>1572</v>
      </c>
      <c r="E47" s="8">
        <v>42127</v>
      </c>
      <c r="F47" s="34">
        <v>73</v>
      </c>
      <c r="G47" s="34">
        <v>52.95</v>
      </c>
      <c r="H47" s="24"/>
      <c r="I47" s="24"/>
      <c r="J47" s="25"/>
      <c r="K47" s="24"/>
    </row>
    <row r="48" spans="4:11" x14ac:dyDescent="0.25">
      <c r="D48" s="34" t="s">
        <v>1574</v>
      </c>
      <c r="E48" s="8">
        <v>42126</v>
      </c>
      <c r="F48" s="34">
        <v>280</v>
      </c>
      <c r="G48" s="34">
        <v>59</v>
      </c>
      <c r="H48" s="24"/>
      <c r="I48" s="25"/>
      <c r="J48" s="25"/>
    </row>
    <row r="49" spans="4:7" x14ac:dyDescent="0.25">
      <c r="D49" s="34" t="s">
        <v>1575</v>
      </c>
      <c r="E49" s="8">
        <v>42126</v>
      </c>
      <c r="F49" s="34">
        <v>129</v>
      </c>
      <c r="G49" s="34">
        <v>54</v>
      </c>
    </row>
    <row r="50" spans="4:7" x14ac:dyDescent="0.25">
      <c r="D50" s="34" t="s">
        <v>1576</v>
      </c>
      <c r="E50" s="8">
        <v>42126</v>
      </c>
      <c r="F50" s="34">
        <v>151</v>
      </c>
      <c r="G50" s="34">
        <v>61.25</v>
      </c>
    </row>
    <row r="51" spans="4:7" x14ac:dyDescent="0.25">
      <c r="D51" s="34" t="s">
        <v>1577</v>
      </c>
      <c r="E51" s="8">
        <v>42126</v>
      </c>
      <c r="F51" s="34">
        <v>54</v>
      </c>
      <c r="G51" s="34">
        <v>50.25</v>
      </c>
    </row>
    <row r="70" spans="1:1" x14ac:dyDescent="0.25">
      <c r="A70" s="2"/>
    </row>
    <row r="82" spans="1:1" x14ac:dyDescent="0.25">
      <c r="A82" s="2"/>
    </row>
    <row r="112" spans="4:4" x14ac:dyDescent="0.25">
      <c r="D112" s="35"/>
    </row>
    <row r="113" spans="4:4" x14ac:dyDescent="0.25">
      <c r="D113" s="35"/>
    </row>
    <row r="114" spans="4:4" x14ac:dyDescent="0.25">
      <c r="D114" s="35"/>
    </row>
    <row r="115" spans="4:4" x14ac:dyDescent="0.25">
      <c r="D115" s="35"/>
    </row>
    <row r="116" spans="4:4" x14ac:dyDescent="0.25">
      <c r="D116" s="35"/>
    </row>
    <row r="117" spans="4:4" x14ac:dyDescent="0.25">
      <c r="D117" s="35"/>
    </row>
    <row r="118" spans="4:4" x14ac:dyDescent="0.25">
      <c r="D118" s="35"/>
    </row>
    <row r="119" spans="4:4" x14ac:dyDescent="0.25">
      <c r="D119" s="35"/>
    </row>
    <row r="120" spans="4:4" x14ac:dyDescent="0.25">
      <c r="D120" s="35"/>
    </row>
    <row r="121" spans="4:4" x14ac:dyDescent="0.25">
      <c r="D121" s="35"/>
    </row>
    <row r="122" spans="4:4" x14ac:dyDescent="0.25">
      <c r="D122" s="35"/>
    </row>
    <row r="123" spans="4:4" x14ac:dyDescent="0.25">
      <c r="D123" s="35"/>
    </row>
    <row r="124" spans="4:4" x14ac:dyDescent="0.25">
      <c r="D124" s="35"/>
    </row>
    <row r="125" spans="4:4" x14ac:dyDescent="0.25">
      <c r="D125" s="35"/>
    </row>
    <row r="126" spans="4:4" x14ac:dyDescent="0.25">
      <c r="D126" s="35"/>
    </row>
    <row r="127" spans="4:4" x14ac:dyDescent="0.25">
      <c r="D127" s="35"/>
    </row>
    <row r="128" spans="4:4" x14ac:dyDescent="0.25">
      <c r="D128" s="35"/>
    </row>
    <row r="129" spans="4:4" x14ac:dyDescent="0.25">
      <c r="D129" s="35"/>
    </row>
    <row r="130" spans="4:4" x14ac:dyDescent="0.25">
      <c r="D130" s="35"/>
    </row>
    <row r="131" spans="4:4" x14ac:dyDescent="0.25">
      <c r="D131" s="35"/>
    </row>
    <row r="132" spans="4:4" x14ac:dyDescent="0.25">
      <c r="D132" s="35"/>
    </row>
    <row r="133" spans="4:4" x14ac:dyDescent="0.25">
      <c r="D133" s="35"/>
    </row>
    <row r="134" spans="4:4" x14ac:dyDescent="0.25">
      <c r="D134" s="35"/>
    </row>
    <row r="135" spans="4:4" x14ac:dyDescent="0.25">
      <c r="D135" s="35"/>
    </row>
    <row r="136" spans="4:4" x14ac:dyDescent="0.25">
      <c r="D136" s="35"/>
    </row>
    <row r="152" spans="1:1" x14ac:dyDescent="0.25">
      <c r="A152" s="2"/>
    </row>
    <row r="156" spans="1:1" x14ac:dyDescent="0.25">
      <c r="A156" s="2"/>
    </row>
    <row r="219" spans="1:1" x14ac:dyDescent="0.25">
      <c r="A219" s="2"/>
    </row>
    <row r="267" spans="1:1" x14ac:dyDescent="0.25">
      <c r="A267" s="2"/>
    </row>
    <row r="273" spans="1:1" x14ac:dyDescent="0.25">
      <c r="A273" s="2"/>
    </row>
    <row r="295" spans="1:1" x14ac:dyDescent="0.25">
      <c r="A295" s="2"/>
    </row>
    <row r="303" spans="1:1" x14ac:dyDescent="0.25">
      <c r="A303" s="2"/>
    </row>
    <row r="329" spans="1:1" x14ac:dyDescent="0.25">
      <c r="A329" s="2"/>
    </row>
    <row r="364" spans="1:1" x14ac:dyDescent="0.25">
      <c r="A364" s="2"/>
    </row>
    <row r="371" spans="1:1" x14ac:dyDescent="0.25">
      <c r="A371" s="2"/>
    </row>
    <row r="394" spans="1:1" x14ac:dyDescent="0.25">
      <c r="A394" s="2"/>
    </row>
  </sheetData>
  <autoFilter ref="A1:B21">
    <sortState ref="A2:B21">
      <sortCondition ref="A1:A21"/>
    </sortState>
  </autoFilter>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15</vt:i4>
      </vt:variant>
    </vt:vector>
  </HeadingPairs>
  <TitlesOfParts>
    <vt:vector size="28" baseType="lpstr">
      <vt:lpstr>To Do</vt:lpstr>
      <vt:lpstr>Dashboard</vt:lpstr>
      <vt:lpstr>Backtest_Parameters</vt:lpstr>
      <vt:lpstr>Backtest_Output</vt:lpstr>
      <vt:lpstr>Parameters</vt:lpstr>
      <vt:lpstr>Player Mapping</vt:lpstr>
      <vt:lpstr>Player Map</vt:lpstr>
      <vt:lpstr>Roster</vt:lpstr>
      <vt:lpstr>Best Contests</vt:lpstr>
      <vt:lpstr>Performance Monitoring</vt:lpstr>
      <vt:lpstr>Team Map</vt:lpstr>
      <vt:lpstr>Output</vt:lpstr>
      <vt:lpstr>Output (2)</vt:lpstr>
      <vt:lpstr>clBCLastRow</vt:lpstr>
      <vt:lpstr>Backtest_Parameters!clDFNNBA</vt:lpstr>
      <vt:lpstr>clEntryLimit</vt:lpstr>
      <vt:lpstr>cLineUpURL</vt:lpstr>
      <vt:lpstr>Backtest_Parameters!clLastDate</vt:lpstr>
      <vt:lpstr>clLastGameDataID</vt:lpstr>
      <vt:lpstr>clLineupsCache</vt:lpstr>
      <vt:lpstr>clMaxAvgWins</vt:lpstr>
      <vt:lpstr>clPMLastRow</vt:lpstr>
      <vt:lpstr>clRNMLB</vt:lpstr>
      <vt:lpstr>clRNNBA</vt:lpstr>
      <vt:lpstr>clRNNHL</vt:lpstr>
      <vt:lpstr>Backtest_Parameters!clRWMLB</vt:lpstr>
      <vt:lpstr>Backtest_Parameters!clRWNBA</vt:lpstr>
      <vt:lpstr>clRWNHL</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Cole MacLean</dc:creator>
  <cp:lastModifiedBy>Ian Whitestone</cp:lastModifiedBy>
  <dcterms:created xsi:type="dcterms:W3CDTF">2014-05-13T03:02:49Z</dcterms:created>
  <dcterms:modified xsi:type="dcterms:W3CDTF">2015-05-13T00:48:40Z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bb2478bf-3f3a-49e3-aacd-818351a3f46d</vt:lpwstr>
  </property>
</Properties>
</file>